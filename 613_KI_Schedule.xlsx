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25"/>
  <workbookPr/>
  <mc:AlternateContent xmlns:mc="http://schemas.openxmlformats.org/markup-compatibility/2006">
    <mc:Choice Requires="x15">
      <x15ac:absPath xmlns:x15ac="http://schemas.microsoft.com/office/spreadsheetml/2010/11/ac" url="https://usmc.sharepoint-mil.us/sites/mcipac_gf_pwb_faim/Shared Documents/AE (MARKON) REAL PROPERTY/01. BY FY25/PLUS drawings/Ready for submission/Batch 2 - 2025June/"/>
    </mc:Choice>
  </mc:AlternateContent>
  <xr:revisionPtr revIDLastSave="22" documentId="13_ncr:1_{0D7B2B13-329A-472F-A5B3-FCC5A7812F16}" xr6:coauthVersionLast="47" xr6:coauthVersionMax="47" xr10:uidLastSave="{928873E4-F4FE-4E40-995B-90A889237674}"/>
  <bookViews>
    <workbookView xWindow="-3600" yWindow="-16320" windowWidth="29040" windowHeight="15720" xr2:uid="{AE0E5D40-005B-400E-B989-10F4662F11E1}"/>
  </bookViews>
  <sheets>
    <sheet name="Utilization" sheetId="1" r:id="rId1"/>
    <sheet name="UIC JPN" sheetId="2" state="hidden" r:id="rId2"/>
    <sheet name="CATEGORY_CODE" sheetId="3" state="hidden"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0" i="1" l="1"/>
  <c r="K20" i="1"/>
  <c r="G2" i="1" a="1"/>
  <c r="G2" i="1" s="1"/>
  <c r="E2" i="1" a="1"/>
  <c r="E2" i="1" s="1"/>
  <c r="J2" i="1" a="1"/>
  <c r="J2" i="1" s="1"/>
  <c r="K18" i="1" l="1"/>
  <c r="K19" i="1"/>
  <c r="K21" i="1"/>
  <c r="K22" i="1"/>
  <c r="K23" i="1"/>
  <c r="K24" i="1"/>
  <c r="K25" i="1"/>
  <c r="K26" i="1"/>
  <c r="K27" i="1"/>
  <c r="K28" i="1"/>
  <c r="K29" i="1"/>
  <c r="K30" i="1"/>
  <c r="K31" i="1"/>
  <c r="K32" i="1"/>
  <c r="K33" i="1"/>
  <c r="K34" i="1"/>
  <c r="K35" i="1"/>
  <c r="K36" i="1"/>
  <c r="K37" i="1"/>
  <c r="K38" i="1"/>
  <c r="K39" i="1"/>
  <c r="K40" i="1"/>
  <c r="K41" i="1"/>
  <c r="K42" i="1"/>
  <c r="K43" i="1"/>
  <c r="K44" i="1"/>
  <c r="K45"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<sst xmlns="http://schemas.openxmlformats.org/spreadsheetml/2006/main" count="24361" uniqueCount="4921">
  <si>
    <t>Building</t>
  </si>
  <si>
    <t>Room Name</t>
  </si>
  <si>
    <t>Room Number</t>
  </si>
  <si>
    <t>UIC</t>
  </si>
  <si>
    <t>UIC Description</t>
  </si>
  <si>
    <t>Subordinate UIC</t>
  </si>
  <si>
    <t>Security</t>
  </si>
  <si>
    <t>CCN</t>
  </si>
  <si>
    <t>CCN Description</t>
  </si>
  <si>
    <t>Area SF</t>
  </si>
  <si>
    <t>SF</t>
  </si>
  <si>
    <t>Storage</t>
  </si>
  <si>
    <t>M29002</t>
  </si>
  <si>
    <t>Unclassified</t>
  </si>
  <si>
    <t>415 SF</t>
  </si>
  <si>
    <t>355 SF</t>
  </si>
  <si>
    <t>Locker Rm</t>
  </si>
  <si>
    <t>144 SF</t>
  </si>
  <si>
    <t>Office</t>
  </si>
  <si>
    <t>232 SF</t>
  </si>
  <si>
    <t>Tool Room</t>
  </si>
  <si>
    <t>260 SF</t>
  </si>
  <si>
    <t>240 SF</t>
  </si>
  <si>
    <t>Mech Rm</t>
  </si>
  <si>
    <t>210 SF</t>
  </si>
  <si>
    <t>JC</t>
  </si>
  <si>
    <t>29 SF</t>
  </si>
  <si>
    <t>357 SF</t>
  </si>
  <si>
    <t>159 SF</t>
  </si>
  <si>
    <t>1837 SF</t>
  </si>
  <si>
    <t>Break Rm</t>
  </si>
  <si>
    <t>456 SF</t>
  </si>
  <si>
    <t>FH</t>
  </si>
  <si>
    <t>168 SF</t>
  </si>
  <si>
    <t>Bay</t>
  </si>
  <si>
    <t>101-1</t>
  </si>
  <si>
    <t>5893 SF</t>
  </si>
  <si>
    <t>M20320</t>
  </si>
  <si>
    <t>4813 SF</t>
  </si>
  <si>
    <t>MH</t>
  </si>
  <si>
    <t>428 SF</t>
  </si>
  <si>
    <t>UNIT TITLE</t>
  </si>
  <si>
    <t>HOST TENANT CODE</t>
  </si>
  <si>
    <t>HOST UIC</t>
  </si>
  <si>
    <t>OPERATING FORCES IND</t>
  </si>
  <si>
    <t>DISESTABLISHED IND</t>
  </si>
  <si>
    <t>FEC UIC</t>
  </si>
  <si>
    <t>FEC NAME</t>
  </si>
  <si>
    <t>REGION</t>
  </si>
  <si>
    <t>MANPOWER BSO</t>
  </si>
  <si>
    <t>SMC</t>
  </si>
  <si>
    <t>RESOURCE SPONSOR CODE</t>
  </si>
  <si>
    <t>FR ENTERPRISE CODE</t>
  </si>
  <si>
    <t>WARFARE ENTERPRISE CODE</t>
  </si>
  <si>
    <t>PROVIDER CODE</t>
  </si>
  <si>
    <t>PROPERTY RECORD COUNT</t>
  </si>
  <si>
    <t>COUNTRY CODE</t>
  </si>
  <si>
    <t>STATE CODE</t>
  </si>
  <si>
    <t>COUNTY CODE</t>
  </si>
  <si>
    <t>CITY CODE</t>
  </si>
  <si>
    <t>ZIP CODE</t>
  </si>
  <si>
    <t>ECHELON</t>
  </si>
  <si>
    <t>PARENT UIC</t>
  </si>
  <si>
    <t>BRAC ACTION TYPE CODE</t>
  </si>
  <si>
    <t>BRAC ROUND YEAR</t>
  </si>
  <si>
    <t>BRAC STATUTORY FY</t>
  </si>
  <si>
    <t>SITE PRIMARY IND</t>
  </si>
  <si>
    <t>SITE TYPE CODE</t>
  </si>
  <si>
    <t>REIMBURSABLE TYPE</t>
  </si>
  <si>
    <t>SEA SHORE CODE</t>
  </si>
  <si>
    <t>UNIT MISSION TYPE INDICATOR</t>
  </si>
  <si>
    <t>MANPOWER BSO TYPE</t>
  </si>
  <si>
    <t>ESTIMATED GIS ACREAGE</t>
  </si>
  <si>
    <t>ACTIVITY CODE</t>
  </si>
  <si>
    <t>ACTIVITY TYPE</t>
  </si>
  <si>
    <t>ACTIVITY TYPE NAME</t>
  </si>
  <si>
    <t>N3508B</t>
  </si>
  <si>
    <t>DLA DOT OK CITY</t>
  </si>
  <si>
    <t>N61054</t>
  </si>
  <si>
    <t>N</t>
  </si>
  <si>
    <t>N40084</t>
  </si>
  <si>
    <t>NAVFAC FAR EAST</t>
  </si>
  <si>
    <t>CNR JAPAN</t>
  </si>
  <si>
    <t>DLA</t>
  </si>
  <si>
    <t>1J</t>
  </si>
  <si>
    <t>OTH AGENCY</t>
  </si>
  <si>
    <t>JPN</t>
  </si>
  <si>
    <t>COMPONENT</t>
  </si>
  <si>
    <t>N31093</t>
  </si>
  <si>
    <t>OP00</t>
  </si>
  <si>
    <t>Not Applicable</t>
  </si>
  <si>
    <t>SUPPORT (INDIRECT)</t>
  </si>
  <si>
    <t>DOD</t>
  </si>
  <si>
    <t>N3657A</t>
  </si>
  <si>
    <t>PRIORITY MATERIAL OFF DET YOKO</t>
  </si>
  <si>
    <t>COMPACFLT</t>
  </si>
  <si>
    <t>PACFLT COMSUBPAC</t>
  </si>
  <si>
    <t>USE</t>
  </si>
  <si>
    <t>CNIC</t>
  </si>
  <si>
    <t>N00441</t>
  </si>
  <si>
    <t>1B1B</t>
  </si>
  <si>
    <t>OPERATIONAL (INDIRECT)</t>
  </si>
  <si>
    <t>NAVY</t>
  </si>
  <si>
    <t>PRIORITY MAT OFF</t>
  </si>
  <si>
    <t>N37400</t>
  </si>
  <si>
    <t>NAVINFOWARTRADET YOKO</t>
  </si>
  <si>
    <t>CFFC</t>
  </si>
  <si>
    <t>FLTFORCOM NAVIDCFOR</t>
  </si>
  <si>
    <t>IWE</t>
  </si>
  <si>
    <t>N3239A</t>
  </si>
  <si>
    <t>1C5C</t>
  </si>
  <si>
    <t>CYBER</t>
  </si>
  <si>
    <t>N39962</t>
  </si>
  <si>
    <t>COMFLEACT YOKOSUKA DET IKEGO</t>
  </si>
  <si>
    <t>CNI</t>
  </si>
  <si>
    <t>CNIC JAPAN</t>
  </si>
  <si>
    <t>BSS1</t>
  </si>
  <si>
    <t>FLEET ACT</t>
  </si>
  <si>
    <t>NAVFACSYSCOM FAR EAST</t>
  </si>
  <si>
    <t>NFACENGCOM</t>
  </si>
  <si>
    <t>N62742</t>
  </si>
  <si>
    <t>4B2N</t>
  </si>
  <si>
    <t>NAVFACENGCOM</t>
  </si>
  <si>
    <t>N53268</t>
  </si>
  <si>
    <t>NIMITZ OP INTEL CTR YOKOSUKA</t>
  </si>
  <si>
    <t>Y</t>
  </si>
  <si>
    <t>N53260</t>
  </si>
  <si>
    <t>OPINTELCEN</t>
  </si>
  <si>
    <t>N61155</t>
  </si>
  <si>
    <t>CFA SASEBO REGIONAL TPD</t>
  </si>
  <si>
    <t>N61058</t>
  </si>
  <si>
    <t>N3580A</t>
  </si>
  <si>
    <t>NCMS TRAINING TEAM OKINAWA JAP</t>
  </si>
  <si>
    <t>N61056</t>
  </si>
  <si>
    <t>N32858</t>
  </si>
  <si>
    <t>NI6M</t>
  </si>
  <si>
    <t>DEFCOMMUSECMATS</t>
  </si>
  <si>
    <t>N50165</t>
  </si>
  <si>
    <t>EXPED MED FAC (EMF 150) DELTA</t>
  </si>
  <si>
    <t>*</t>
  </si>
  <si>
    <t>******</t>
  </si>
  <si>
    <t>N68470</t>
  </si>
  <si>
    <t>M9M9</t>
  </si>
  <si>
    <t>NAVAL HOSPITAL</t>
  </si>
  <si>
    <t>N3865A</t>
  </si>
  <si>
    <t>NAVMARSPECCN FAR EAST</t>
  </si>
  <si>
    <t>N41518</t>
  </si>
  <si>
    <t>1C1C</t>
  </si>
  <si>
    <t>COMNAVNETWARCOM</t>
  </si>
  <si>
    <t>N46350</t>
  </si>
  <si>
    <t>CSCS DET YOKOSUKA STU COMP</t>
  </si>
  <si>
    <t>N40085</t>
  </si>
  <si>
    <t>NAVFAC MID ATLANTIC</t>
  </si>
  <si>
    <t>NETC</t>
  </si>
  <si>
    <t>CENSURFCOMBATSYS (CSCS)</t>
  </si>
  <si>
    <t>SWE</t>
  </si>
  <si>
    <t>MPT&amp;E</t>
  </si>
  <si>
    <t>SUB-COMP</t>
  </si>
  <si>
    <t>N49017</t>
  </si>
  <si>
    <t>S</t>
  </si>
  <si>
    <t>SUPPORT (DIRECT)</t>
  </si>
  <si>
    <t>N20103</t>
  </si>
  <si>
    <t>LHA 6 AMERICA</t>
  </si>
  <si>
    <t>PACFLT COMNAVSURFPAC</t>
  </si>
  <si>
    <t>N36139</t>
  </si>
  <si>
    <t>OPERATIONAL (DIRECT TYPE 1)</t>
  </si>
  <si>
    <t>PHIB ASSAULTSHP</t>
  </si>
  <si>
    <t>N23162</t>
  </si>
  <si>
    <t>DDG 105 DEWEY</t>
  </si>
  <si>
    <t>GUIDED MISSLE DESTROYER</t>
  </si>
  <si>
    <t>N49623</t>
  </si>
  <si>
    <t>DLA DISTRBUTON YOKO JPN N-DWCF</t>
  </si>
  <si>
    <t>N40523</t>
  </si>
  <si>
    <t>RLSO JAPAN BROFF ATSUGI JA</t>
  </si>
  <si>
    <t>N61057</t>
  </si>
  <si>
    <t>FSA</t>
  </si>
  <si>
    <t>FSA-LEGAL</t>
  </si>
  <si>
    <t>OTH NAVY</t>
  </si>
  <si>
    <t>N31848</t>
  </si>
  <si>
    <t>4A1M</t>
  </si>
  <si>
    <t>NAVLEGSVCOFF</t>
  </si>
  <si>
    <t>N54871</t>
  </si>
  <si>
    <t>COM CVW 5 WEAPONS DET</t>
  </si>
  <si>
    <t>M62613</t>
  </si>
  <si>
    <t>PACFLT COMNAVAIRPAC</t>
  </si>
  <si>
    <t>NAE</t>
  </si>
  <si>
    <t>N09733</t>
  </si>
  <si>
    <t>COM CAR AIR WNG</t>
  </si>
  <si>
    <t>N67705</t>
  </si>
  <si>
    <t>NAVRES USMC RELSUP III MEF DET</t>
  </si>
  <si>
    <t>M67400</t>
  </si>
  <si>
    <t>CMC</t>
  </si>
  <si>
    <t>III MEF</t>
  </si>
  <si>
    <t>N55211</t>
  </si>
  <si>
    <t>HDQTRS MAR CORP</t>
  </si>
  <si>
    <t>N4031B</t>
  </si>
  <si>
    <t>NIOC HI/DSF YOKO</t>
  </si>
  <si>
    <t>N43456</t>
  </si>
  <si>
    <t>MIP1</t>
  </si>
  <si>
    <t>NAVINFOOPSCMD</t>
  </si>
  <si>
    <t>N32855</t>
  </si>
  <si>
    <t>NH OKI 3D FSSG FWD DET</t>
  </si>
  <si>
    <t>N3977A</t>
  </si>
  <si>
    <t>COMFAIRWESTPAC AIMD KADENA JA</t>
  </si>
  <si>
    <t>N09356</t>
  </si>
  <si>
    <t>1A1A</t>
  </si>
  <si>
    <t>COM FLT AIR RES</t>
  </si>
  <si>
    <t>N30250</t>
  </si>
  <si>
    <t>FLEET SURGICAL TEAM SEVEN</t>
  </si>
  <si>
    <t>N55468</t>
  </si>
  <si>
    <t>1C6C</t>
  </si>
  <si>
    <t>FLTSURGTEAM</t>
  </si>
  <si>
    <t>N43309</t>
  </si>
  <si>
    <t>NETC SITE WESTPAC YOKOSUKA JA</t>
  </si>
  <si>
    <t>NETC MISCELLANEOUS</t>
  </si>
  <si>
    <t>N00076</t>
  </si>
  <si>
    <t>3B1K</t>
  </si>
  <si>
    <t>N57078</t>
  </si>
  <si>
    <t>NAVAL BEACH UNIT SEVEN</t>
  </si>
  <si>
    <t>N57066</t>
  </si>
  <si>
    <t>ASSAULT CRAFTUN</t>
  </si>
  <si>
    <t>N39106</t>
  </si>
  <si>
    <t>DMA OPERATIONS YOKOSUKA</t>
  </si>
  <si>
    <t>COA</t>
  </si>
  <si>
    <t>DEFENSE MEDIA AGENCY (DMA)</t>
  </si>
  <si>
    <t>N38995</t>
  </si>
  <si>
    <t>DM01</t>
  </si>
  <si>
    <t>DEF MEDIA ACTY</t>
  </si>
  <si>
    <t>N3900A</t>
  </si>
  <si>
    <t>RLSO JAPAN BROFF MISAWA JA</t>
  </si>
  <si>
    <t>N3901A</t>
  </si>
  <si>
    <t>RLSO JAPAN BROFF SASEBO JA</t>
  </si>
  <si>
    <t>N44225</t>
  </si>
  <si>
    <t>PUBLIC WORKS DEPT MISAWA</t>
  </si>
  <si>
    <t>N44163</t>
  </si>
  <si>
    <t>NAVY RECRUITING STATION YOKO</t>
  </si>
  <si>
    <t>RECRUITING</t>
  </si>
  <si>
    <t>MT&amp;E</t>
  </si>
  <si>
    <t>N62441</t>
  </si>
  <si>
    <t>3C1L</t>
  </si>
  <si>
    <t>NAVCRUITDIST</t>
  </si>
  <si>
    <t>M20738</t>
  </si>
  <si>
    <t>HQ CO 3D INTEL BN MIG III MEF</t>
  </si>
  <si>
    <t>OTH MARCORP</t>
  </si>
  <si>
    <t>M20373</t>
  </si>
  <si>
    <t>PGBAB</t>
  </si>
  <si>
    <t>INTEL/COUNTERINTEL</t>
  </si>
  <si>
    <t>M20129</t>
  </si>
  <si>
    <t>CE III MEF</t>
  </si>
  <si>
    <t>M20120</t>
  </si>
  <si>
    <t>CBSAA</t>
  </si>
  <si>
    <t>COMMAND HQ</t>
  </si>
  <si>
    <t>M20175</t>
  </si>
  <si>
    <t>CE 31ST MEU III MEF</t>
  </si>
  <si>
    <t>M19102</t>
  </si>
  <si>
    <t>CCVAA</t>
  </si>
  <si>
    <t>M20381</t>
  </si>
  <si>
    <t>HQTRS MIG III MEF</t>
  </si>
  <si>
    <t>M20380</t>
  </si>
  <si>
    <t>CBSAP</t>
  </si>
  <si>
    <t>N3902A</t>
  </si>
  <si>
    <t>RLSO JAPAN BROFF KADENA JA</t>
  </si>
  <si>
    <t>M13330</t>
  </si>
  <si>
    <t>3/12 3D MARDIV (R/U)</t>
  </si>
  <si>
    <t>M13300</t>
  </si>
  <si>
    <t>1HDAA</t>
  </si>
  <si>
    <t>ARTILLERY</t>
  </si>
  <si>
    <t>N39406</t>
  </si>
  <si>
    <t>CSF LS YOKOSUKA STU COMP</t>
  </si>
  <si>
    <t>CENSECFOR (CSF)</t>
  </si>
  <si>
    <t>NECE</t>
  </si>
  <si>
    <t>N61074</t>
  </si>
  <si>
    <t>STUDENTS</t>
  </si>
  <si>
    <t>N51211</t>
  </si>
  <si>
    <t>COMFAIRWESTPAC ASD IWAKUNI JA</t>
  </si>
  <si>
    <t>N70581</t>
  </si>
  <si>
    <t>USSOCOM SUPPORT TO JAPAN</t>
  </si>
  <si>
    <t>N47030</t>
  </si>
  <si>
    <t>OM00</t>
  </si>
  <si>
    <t>USSOCOM</t>
  </si>
  <si>
    <t>N33417</t>
  </si>
  <si>
    <t>CFAF AIMD ATSUGI SEAOPDET</t>
  </si>
  <si>
    <t>N70203</t>
  </si>
  <si>
    <t>DHA DET OKINAWA JP</t>
  </si>
  <si>
    <t>DEFENSE HEALTH AGENCY (DHA)</t>
  </si>
  <si>
    <t>N45147</t>
  </si>
  <si>
    <t>O900</t>
  </si>
  <si>
    <t>OSD</t>
  </si>
  <si>
    <t>N63069</t>
  </si>
  <si>
    <t>NCIS GL OPS POFO DET JAPAN</t>
  </si>
  <si>
    <t>N63054</t>
  </si>
  <si>
    <t>4C1P</t>
  </si>
  <si>
    <t>NAVINVESTSVCOFF</t>
  </si>
  <si>
    <t>N39844</t>
  </si>
  <si>
    <t>JIST JAPAN</t>
  </si>
  <si>
    <t>DIA</t>
  </si>
  <si>
    <t>N39906</t>
  </si>
  <si>
    <t>N51212</t>
  </si>
  <si>
    <t>COMFAIRWESTPAC ASD ATSUGI JA</t>
  </si>
  <si>
    <t>N42755</t>
  </si>
  <si>
    <t>CNSSC YOKOSUKA NWCF</t>
  </si>
  <si>
    <t>NSUPSYSCOM</t>
  </si>
  <si>
    <t>NAVSUP HQ</t>
  </si>
  <si>
    <t>N00023</t>
  </si>
  <si>
    <t>SBSB</t>
  </si>
  <si>
    <t>NWCF (NAVY WORKING CAPITAL FUND)</t>
  </si>
  <si>
    <t>NAVSUPSYSCOM</t>
  </si>
  <si>
    <t>N36130</t>
  </si>
  <si>
    <t>U.S. NMRTC NDC OKI DET IWAKUNI</t>
  </si>
  <si>
    <t>N68582</t>
  </si>
  <si>
    <t>MRMR</t>
  </si>
  <si>
    <t>NAVDENCL</t>
  </si>
  <si>
    <t>N50035</t>
  </si>
  <si>
    <t>CNSSC NALC YOKOSUKA</t>
  </si>
  <si>
    <t>4B3N</t>
  </si>
  <si>
    <t>N63911</t>
  </si>
  <si>
    <t>COMSEVENTHFLT DS NSG</t>
  </si>
  <si>
    <t>N57024</t>
  </si>
  <si>
    <t>FLT CMD &amp; STAFF</t>
  </si>
  <si>
    <t>N32710</t>
  </si>
  <si>
    <t>NIOC HAWAII SITE KAFB OKINAWA</t>
  </si>
  <si>
    <t>N41975</t>
  </si>
  <si>
    <t>1ST MAW IWAKUNI</t>
  </si>
  <si>
    <t>N57079</t>
  </si>
  <si>
    <t>MARINE AIR WING</t>
  </si>
  <si>
    <t>N42066</t>
  </si>
  <si>
    <t>DEFPROPDISHOLDACTYOKOSUKAJAPAN</t>
  </si>
  <si>
    <t>UNASSIGNED</t>
  </si>
  <si>
    <t>N42211</t>
  </si>
  <si>
    <t>NCTS FE DET MISAWA</t>
  </si>
  <si>
    <t>N70278</t>
  </si>
  <si>
    <t>NAVCOMPUTELESTA</t>
  </si>
  <si>
    <t>N42205</t>
  </si>
  <si>
    <t>TSCOMM DET KADENA JA</t>
  </si>
  <si>
    <t>N42549</t>
  </si>
  <si>
    <t>ENVNSPT TM SEACOMP YOKOSUKA JP</t>
  </si>
  <si>
    <t>N0453A</t>
  </si>
  <si>
    <t>NAVDENCLBR YOKOSUKA JA</t>
  </si>
  <si>
    <t>N62499</t>
  </si>
  <si>
    <t>N0765A</t>
  </si>
  <si>
    <t>NCIS FAR EAST FIELD OFFICE</t>
  </si>
  <si>
    <t>DON/AA</t>
  </si>
  <si>
    <t>NAVCRIMINVSV</t>
  </si>
  <si>
    <t>SRB</t>
  </si>
  <si>
    <t>N63435</t>
  </si>
  <si>
    <t>N09081</t>
  </si>
  <si>
    <t>FAIRECONRON ONE DET MISAWA JA</t>
  </si>
  <si>
    <t>N09451</t>
  </si>
  <si>
    <t>COMPATRECONWING ONE</t>
  </si>
  <si>
    <t>COMPATWING</t>
  </si>
  <si>
    <t>N33181</t>
  </si>
  <si>
    <t>NAVPHIBGR1 NAHA OKINAWA JA</t>
  </si>
  <si>
    <t>N33174</t>
  </si>
  <si>
    <t>COMSUBGRU 7</t>
  </si>
  <si>
    <t>N57020</t>
  </si>
  <si>
    <t>COMSUBGRU</t>
  </si>
  <si>
    <t>N35421</t>
  </si>
  <si>
    <t>CPRF CSG DETACHMENT MISAWA</t>
  </si>
  <si>
    <t>N57047</t>
  </si>
  <si>
    <t>COMUSNAVFOR JAPAN DET YOKOTA</t>
  </si>
  <si>
    <t>N43385</t>
  </si>
  <si>
    <t>RSC YOKOSUKA DET OKINAWA</t>
  </si>
  <si>
    <t>CNAVPERSCM</t>
  </si>
  <si>
    <t>PAY &amp; PERS SUPT CTRS</t>
  </si>
  <si>
    <t>N40389</t>
  </si>
  <si>
    <t>4A4M</t>
  </si>
  <si>
    <t>CHNAVPERS</t>
  </si>
  <si>
    <t>N44022</t>
  </si>
  <si>
    <t>COMUSJAPAN/WWMCCS</t>
  </si>
  <si>
    <t>N32829</t>
  </si>
  <si>
    <t>DMA OPERATIONS MISAWA</t>
  </si>
  <si>
    <t>N32828</t>
  </si>
  <si>
    <t>DMA OPERATIONS IWAKUNI</t>
  </si>
  <si>
    <t>N32827</t>
  </si>
  <si>
    <t>DMA OPERATIONS TOKYO</t>
  </si>
  <si>
    <t>N64382</t>
  </si>
  <si>
    <t>N32806</t>
  </si>
  <si>
    <t>NAVDATACOM YOKOSUKA</t>
  </si>
  <si>
    <t>N62853</t>
  </si>
  <si>
    <t>OCEANO SYS</t>
  </si>
  <si>
    <t>N32774</t>
  </si>
  <si>
    <t>SPINTCOM COMNAVPHIBGRU 1</t>
  </si>
  <si>
    <t>N30247</t>
  </si>
  <si>
    <t>FLTCOORGRU YOKOSUKA JP</t>
  </si>
  <si>
    <t>PACFLT COM7THFLT</t>
  </si>
  <si>
    <t>FCRC</t>
  </si>
  <si>
    <t>FLT COORD GROUP</t>
  </si>
  <si>
    <t>N61581</t>
  </si>
  <si>
    <t>NMCPAC EAD UNIT YOKOSUKA</t>
  </si>
  <si>
    <t>PACFLT HQ STAFF &amp; COMP</t>
  </si>
  <si>
    <t>N40629</t>
  </si>
  <si>
    <t>1B2B</t>
  </si>
  <si>
    <t>NAV WEAP STA</t>
  </si>
  <si>
    <t>N62254</t>
  </si>
  <si>
    <t>NMCPAC EAD UNIT OKINAWA</t>
  </si>
  <si>
    <t>N62217</t>
  </si>
  <si>
    <t>MARBKS YOKOSUKA JA</t>
  </si>
  <si>
    <t>N62507</t>
  </si>
  <si>
    <t>NAF ATSUGI</t>
  </si>
  <si>
    <t>USNH YOKOSUKA</t>
  </si>
  <si>
    <t>N62736</t>
  </si>
  <si>
    <t>NAVORDEPT FLTACT YOKOSUKA JA</t>
  </si>
  <si>
    <t>N62735</t>
  </si>
  <si>
    <t>NMCPAC EAD UNIT SASEBO</t>
  </si>
  <si>
    <t>N62649</t>
  </si>
  <si>
    <t>NAVSUP FLT LOG CTR YOKOSUKA</t>
  </si>
  <si>
    <t>NAVSUP FLC YOKOSUKA</t>
  </si>
  <si>
    <t>SUPPLY DEPOT</t>
  </si>
  <si>
    <t>N68472</t>
  </si>
  <si>
    <t>NAVMEDLAB HONSHU</t>
  </si>
  <si>
    <t>U.S. NMRTC OKINAWA JA</t>
  </si>
  <si>
    <t>BUMED</t>
  </si>
  <si>
    <t>NAVMED WEST</t>
  </si>
  <si>
    <t>N68906</t>
  </si>
  <si>
    <t>N68646</t>
  </si>
  <si>
    <t>NAVCOM&amp;CONTROLSYS KAMI SEYA JA</t>
  </si>
  <si>
    <t>N68639</t>
  </si>
  <si>
    <t>PERSUPPACT FE YOKOSUKA JA</t>
  </si>
  <si>
    <t>US NAVDENCEN OKINAWA JA</t>
  </si>
  <si>
    <t>N68665</t>
  </si>
  <si>
    <t>SHORSTAMPS COMFAIRWESTPAC</t>
  </si>
  <si>
    <t>N70291</t>
  </si>
  <si>
    <t>NAVSECGRUACT KAMISEYA JA</t>
  </si>
  <si>
    <t>N70284</t>
  </si>
  <si>
    <t>NAVSECGRUACT HANZA OKINAWA JA</t>
  </si>
  <si>
    <t>NAVCOMTELSTA FAR EAST YOKO JA</t>
  </si>
  <si>
    <t>N36001</t>
  </si>
  <si>
    <t>N40008</t>
  </si>
  <si>
    <t>UNSEAWARDEVECEN ASW DET YOKO</t>
  </si>
  <si>
    <t>FLTFORCOM COMSUBLANT</t>
  </si>
  <si>
    <t>N53220</t>
  </si>
  <si>
    <t>1C4C</t>
  </si>
  <si>
    <t>UNDERSEA WARFIGHTING DEVELOPMENT CENTER (UWDC)</t>
  </si>
  <si>
    <t>N40509</t>
  </si>
  <si>
    <t>DNI SPT DET CNJF YOKOSUKA</t>
  </si>
  <si>
    <t>N00015</t>
  </si>
  <si>
    <t>NIA</t>
  </si>
  <si>
    <t>N46196</t>
  </si>
  <si>
    <t>NAVSUP FLT LOG CTR YOKO REGION</t>
  </si>
  <si>
    <t>N49628</t>
  </si>
  <si>
    <t>DLA DISTRIBUTION YOKOSUKA JPN</t>
  </si>
  <si>
    <t>D1SA</t>
  </si>
  <si>
    <t>DWCF (DEFENSE WORKING CAPITAL FUND)</t>
  </si>
  <si>
    <t>N65955</t>
  </si>
  <si>
    <t>NAVEXCHFLTACTS NAHA RQ</t>
  </si>
  <si>
    <t>N33023</t>
  </si>
  <si>
    <t>NAVSECGRUDET KAMI SEYA JA</t>
  </si>
  <si>
    <t>N33152</t>
  </si>
  <si>
    <t>MARSCITECHCEN YOKOSUKA JAPAN</t>
  </si>
  <si>
    <t>N33261</t>
  </si>
  <si>
    <t>NCTS FE DET OKINAWA JA</t>
  </si>
  <si>
    <t>N33217</t>
  </si>
  <si>
    <t>NAVCOMTELSTA FE DET ATSUGI JA</t>
  </si>
  <si>
    <t>4A6M</t>
  </si>
  <si>
    <t>N33344</t>
  </si>
  <si>
    <t>COMNAVFORJAP ICR YOKUSKA</t>
  </si>
  <si>
    <t>N33343</t>
  </si>
  <si>
    <t>COMNAVFORJAP ICR SASEBO</t>
  </si>
  <si>
    <t>N35024</t>
  </si>
  <si>
    <t>US NIS RES AGY YOKOSUKA</t>
  </si>
  <si>
    <t>N35278</t>
  </si>
  <si>
    <t>NAVCLINBR TOTSUKA JA</t>
  </si>
  <si>
    <t>N35277</t>
  </si>
  <si>
    <t>NAVCLINBR KAMI SEYA JA</t>
  </si>
  <si>
    <t>N35276</t>
  </si>
  <si>
    <t>U.S. NMRTU ATSUGI JA</t>
  </si>
  <si>
    <t>N68292</t>
  </si>
  <si>
    <t>N35275</t>
  </si>
  <si>
    <t>U.S. NMRTU IWAKUNI JA</t>
  </si>
  <si>
    <t>N35274</t>
  </si>
  <si>
    <t>U.S. NMRTU SASEBO JA</t>
  </si>
  <si>
    <t>N35243</t>
  </si>
  <si>
    <t>OECEN  YOKOSUKA JA</t>
  </si>
  <si>
    <t>N35354</t>
  </si>
  <si>
    <t>DMA STARS&amp;STRIPES PACIFIC</t>
  </si>
  <si>
    <t>N39001</t>
  </si>
  <si>
    <t>N35484</t>
  </si>
  <si>
    <t>DMA OPERATIONS SASEBO</t>
  </si>
  <si>
    <t>N35480</t>
  </si>
  <si>
    <t>FISA TU168.1.1 KAMISEYA JA</t>
  </si>
  <si>
    <t>N35469</t>
  </si>
  <si>
    <t>DS SGDET KAMI-CSG 7TH FLT</t>
  </si>
  <si>
    <t>N35466</t>
  </si>
  <si>
    <t>DS NSGA HANZA JAPAN</t>
  </si>
  <si>
    <t>N35465</t>
  </si>
  <si>
    <t>NIOC MISAWA/DS</t>
  </si>
  <si>
    <t>N66752</t>
  </si>
  <si>
    <t>N35463</t>
  </si>
  <si>
    <t>NSGA DS MISAWA</t>
  </si>
  <si>
    <t>JUSAF</t>
  </si>
  <si>
    <t>N35708</t>
  </si>
  <si>
    <t>DRMO IWAKUNI JA</t>
  </si>
  <si>
    <t>N35706</t>
  </si>
  <si>
    <t>DRMO GQ</t>
  </si>
  <si>
    <t>N35667</t>
  </si>
  <si>
    <t>PATRECONWING ONE DET</t>
  </si>
  <si>
    <t>N39011</t>
  </si>
  <si>
    <t>STU JAPANESE WAR COLLEGE</t>
  </si>
  <si>
    <t>N35997</t>
  </si>
  <si>
    <t>ONR INT FLD OFF ASIA TOKYO JP</t>
  </si>
  <si>
    <t>CNR</t>
  </si>
  <si>
    <t>CHNAVRESEARCH</t>
  </si>
  <si>
    <t>ONR</t>
  </si>
  <si>
    <t>N62909</t>
  </si>
  <si>
    <t>NAV RESCH CMD</t>
  </si>
  <si>
    <t>N39119</t>
  </si>
  <si>
    <t>MED HOLDING CO YOKOSUKA JAPAN</t>
  </si>
  <si>
    <t>NZZ302</t>
  </si>
  <si>
    <t>N39241</t>
  </si>
  <si>
    <t>NEX YOKOSUKA JA</t>
  </si>
  <si>
    <t>N62836</t>
  </si>
  <si>
    <t>PUBLIC WORKS DEPT YOKOSUKA</t>
  </si>
  <si>
    <t>N62826</t>
  </si>
  <si>
    <t>MDAO JAPAN</t>
  </si>
  <si>
    <t>USPACOM</t>
  </si>
  <si>
    <t>N00038</t>
  </si>
  <si>
    <t>PAC0</t>
  </si>
  <si>
    <t>N62758</t>
  </si>
  <si>
    <t>NAVSHIPREPFAC YOKOSUKA JA</t>
  </si>
  <si>
    <t>N00070</t>
  </si>
  <si>
    <t>1B4B</t>
  </si>
  <si>
    <t>FLTREGMAINTCEN</t>
  </si>
  <si>
    <t>N62889</t>
  </si>
  <si>
    <t>FLEACTS OKINAWA JA</t>
  </si>
  <si>
    <t>N62984</t>
  </si>
  <si>
    <t>NAVSUPPFAC YOKOHAMA JA</t>
  </si>
  <si>
    <t>N62949</t>
  </si>
  <si>
    <t>NAVSECGRUACT HAKATA JA</t>
  </si>
  <si>
    <t>N63142</t>
  </si>
  <si>
    <t>NAVFINOFF YOKOSUKA JA</t>
  </si>
  <si>
    <t>N63419</t>
  </si>
  <si>
    <t>NAVSUP FLT LOG CTR YKT NOACT</t>
  </si>
  <si>
    <t>N63365</t>
  </si>
  <si>
    <t>NAVRESALEACT COMMSTORE SUPPACT</t>
  </si>
  <si>
    <t>COMMISS STORE</t>
  </si>
  <si>
    <t>N63364</t>
  </si>
  <si>
    <t>BRCOMMSTOR YOKOHAMA JA</t>
  </si>
  <si>
    <t>N63360</t>
  </si>
  <si>
    <t>NEX SASEBO</t>
  </si>
  <si>
    <t>N63878</t>
  </si>
  <si>
    <t>NAVSCIENTECHGRU FAR EAST</t>
  </si>
  <si>
    <t>N65115</t>
  </si>
  <si>
    <t>NAVFAC FAR EAST NWCF</t>
  </si>
  <si>
    <t>N65490</t>
  </si>
  <si>
    <t>MINEASYFAC MISAWA JA</t>
  </si>
  <si>
    <t>N65489</t>
  </si>
  <si>
    <t>NAVCOMMSTA OKINAWA JA</t>
  </si>
  <si>
    <t>N65469</t>
  </si>
  <si>
    <t>DISA PAC JAPAN FIELD OFFICE</t>
  </si>
  <si>
    <t>DISA</t>
  </si>
  <si>
    <t>N66854</t>
  </si>
  <si>
    <t>OK00</t>
  </si>
  <si>
    <t>N30867</t>
  </si>
  <si>
    <t>FRC NATEC DET OKINAWA</t>
  </si>
  <si>
    <t>NAVAIRSCOM</t>
  </si>
  <si>
    <t>NAVAIRSYSCOM</t>
  </si>
  <si>
    <t>N32379</t>
  </si>
  <si>
    <t>NAVAIRSYSCOMHQ</t>
  </si>
  <si>
    <t>N51008</t>
  </si>
  <si>
    <t>ASWFORSEVENTHFLT</t>
  </si>
  <si>
    <t>N60007</t>
  </si>
  <si>
    <t>NAVOCEANASWCEN SEA COMP YOKO</t>
  </si>
  <si>
    <t>N68383</t>
  </si>
  <si>
    <t>COMNAVMETOCCOM</t>
  </si>
  <si>
    <t>N64094</t>
  </si>
  <si>
    <t>NAVAL REACTORS REP OFFICE YOKO</t>
  </si>
  <si>
    <t>NAVAL REACTORS</t>
  </si>
  <si>
    <t>N64168</t>
  </si>
  <si>
    <t>O300</t>
  </si>
  <si>
    <t>NAVREACT DOE</t>
  </si>
  <si>
    <t>M01027</t>
  </si>
  <si>
    <t>MWHS-1 HQTRS 1ST MAW</t>
  </si>
  <si>
    <t>M00100</t>
  </si>
  <si>
    <t>NLKAA</t>
  </si>
  <si>
    <t>AVIATION SUPPORT</t>
  </si>
  <si>
    <t>M52110</t>
  </si>
  <si>
    <t>MAR DET SASEBO JAPAN</t>
  </si>
  <si>
    <t>MARINE BARRAKS</t>
  </si>
  <si>
    <t>MCAS IWAKUNI JA</t>
  </si>
  <si>
    <t>MARCORPS AIR STATION</t>
  </si>
  <si>
    <t>N39189</t>
  </si>
  <si>
    <t>PEP JAPAN-ETA JIMA</t>
  </si>
  <si>
    <t>N35025</t>
  </si>
  <si>
    <t>PEP FOREIGN AM</t>
  </si>
  <si>
    <t>N41398</t>
  </si>
  <si>
    <t>NAVEXCHG YOKOSUKA JA</t>
  </si>
  <si>
    <t>N41759</t>
  </si>
  <si>
    <t>NAVDENTCLBR MCAS IWAKUNI JA</t>
  </si>
  <si>
    <t>N41758</t>
  </si>
  <si>
    <t>NAVDENTCLBR NAF ATSUGI JAPAN</t>
  </si>
  <si>
    <t>N41654</t>
  </si>
  <si>
    <t>CLC 36 3D SUP BN CLR 35</t>
  </si>
  <si>
    <t>N67436</t>
  </si>
  <si>
    <t>MC FORSVC&amp;SUPGP</t>
  </si>
  <si>
    <t>N41761</t>
  </si>
  <si>
    <t>NAVDENTCLBR SASEBO JAPAN</t>
  </si>
  <si>
    <t>N41760</t>
  </si>
  <si>
    <t>NAVDENCLBR USMCB OKINAWA</t>
  </si>
  <si>
    <t>N42053</t>
  </si>
  <si>
    <t>NAVENPVNTMEDU OKINAWA JA</t>
  </si>
  <si>
    <t>N42527</t>
  </si>
  <si>
    <t>COMNAVLOGWESTPAC YOKO DET</t>
  </si>
  <si>
    <t>N42497</t>
  </si>
  <si>
    <t>NIWC PACIFIC DET GROUP SEVEN</t>
  </si>
  <si>
    <t>NAVWARSCMD</t>
  </si>
  <si>
    <t>SSC SAN DIEGO</t>
  </si>
  <si>
    <t>N66001</t>
  </si>
  <si>
    <t>NAVOCEANSYSCEN</t>
  </si>
  <si>
    <t>N42823</t>
  </si>
  <si>
    <t>FLEACT YOKOSUKA</t>
  </si>
  <si>
    <t>N43027</t>
  </si>
  <si>
    <t>PATWING ONE KADENA HLT</t>
  </si>
  <si>
    <t>N43021</t>
  </si>
  <si>
    <t>COMPATRECONWING ONE DET ATSUGI</t>
  </si>
  <si>
    <t>N43129</t>
  </si>
  <si>
    <t>NCIS STAAT PACIFIC DET JAPAN</t>
  </si>
  <si>
    <t>N43318</t>
  </si>
  <si>
    <t>CNATT DETACHMENT ATSUGI JA</t>
  </si>
  <si>
    <t>CENAVAVNTECHTRA (CNATT)</t>
  </si>
  <si>
    <t>N3477B</t>
  </si>
  <si>
    <t>NETC LEARNING CENTER</t>
  </si>
  <si>
    <t>N43441</t>
  </si>
  <si>
    <t>CFWESTPAC NEUTRAL DUTY COMP</t>
  </si>
  <si>
    <t>N43434</t>
  </si>
  <si>
    <t>FISC WPA SEA COMP ATSUGI JA</t>
  </si>
  <si>
    <t>N62876</t>
  </si>
  <si>
    <t>N43387</t>
  </si>
  <si>
    <t>TSC YOKOSUKA JAPAN</t>
  </si>
  <si>
    <t>N43386</t>
  </si>
  <si>
    <t>RSC YOKOSUKA DET SASEBO</t>
  </si>
  <si>
    <t>N43384</t>
  </si>
  <si>
    <t>PERSUPPDET MISAWA JA</t>
  </si>
  <si>
    <t>N43382</t>
  </si>
  <si>
    <t>TSC YOKOSUKA DET ATSUGI</t>
  </si>
  <si>
    <t>N65375</t>
  </si>
  <si>
    <t>COMSEVENTHFLT SSO</t>
  </si>
  <si>
    <t>N65763</t>
  </si>
  <si>
    <t>DAPSBO PACDIV OKINAWA</t>
  </si>
  <si>
    <t>PRINTING OFFICE</t>
  </si>
  <si>
    <t>N65954</t>
  </si>
  <si>
    <t>NAVEXCH SASEBO JA</t>
  </si>
  <si>
    <t>N65953</t>
  </si>
  <si>
    <t>NAVEXCH YOKOHAMA JA</t>
  </si>
  <si>
    <t>N65952</t>
  </si>
  <si>
    <t>NAVEXCH ATSUGI JA</t>
  </si>
  <si>
    <t>N65951</t>
  </si>
  <si>
    <t>NEX YOKOSUKA COMPLEX</t>
  </si>
  <si>
    <t>N69753</t>
  </si>
  <si>
    <t>MAINT TRNG GROUP DET YOKOSUKA</t>
  </si>
  <si>
    <t>N57025</t>
  </si>
  <si>
    <t>COMNAVAIRCOM</t>
  </si>
  <si>
    <t>N89530</t>
  </si>
  <si>
    <t>NAVSUP FLT LOG CTR YOKO SELRES</t>
  </si>
  <si>
    <t>N49042</t>
  </si>
  <si>
    <t>DRMO SAGAMI JAPAN</t>
  </si>
  <si>
    <t>N63415</t>
  </si>
  <si>
    <t>N3057A</t>
  </si>
  <si>
    <t>NR MSCFE 101</t>
  </si>
  <si>
    <t>MSCHQ</t>
  </si>
  <si>
    <t>N62461</t>
  </si>
  <si>
    <t>MIL SEALIFT COM</t>
  </si>
  <si>
    <t>N33411</t>
  </si>
  <si>
    <t>OME DET FAR EAST</t>
  </si>
  <si>
    <t>N46804</t>
  </si>
  <si>
    <t>ONI</t>
  </si>
  <si>
    <t>N30761</t>
  </si>
  <si>
    <t>COMSEVENTHFLT YOKOTA</t>
  </si>
  <si>
    <t>N31877</t>
  </si>
  <si>
    <t>DMA OPERATIONS YOKOTA</t>
  </si>
  <si>
    <t>M29013</t>
  </si>
  <si>
    <t>AMMO CO 3D SUP BN 3D MLG</t>
  </si>
  <si>
    <t>M29010</t>
  </si>
  <si>
    <t>JVVAA</t>
  </si>
  <si>
    <t>SUPPLY SUPPORT</t>
  </si>
  <si>
    <t>N4090B</t>
  </si>
  <si>
    <t>NAVINFOWARTRAGU DET JAPAN</t>
  </si>
  <si>
    <t>N4698A</t>
  </si>
  <si>
    <t>N39916</t>
  </si>
  <si>
    <t>COMUSFOR HONSHU YOKOTA AFB JP</t>
  </si>
  <si>
    <t>N65299</t>
  </si>
  <si>
    <t>N42266</t>
  </si>
  <si>
    <t>COMUSJAPAN WWMCCS</t>
  </si>
  <si>
    <t>N64765</t>
  </si>
  <si>
    <t>N4616A</t>
  </si>
  <si>
    <t>DIA DET YOKOTA AB JAPAN</t>
  </si>
  <si>
    <t>N43601</t>
  </si>
  <si>
    <t>CUSERVDESK IWAKUNI</t>
  </si>
  <si>
    <t>N55472</t>
  </si>
  <si>
    <t>MISSILE DEFENSE AGENCY JAPAN</t>
  </si>
  <si>
    <t>N46486</t>
  </si>
  <si>
    <t>OC00</t>
  </si>
  <si>
    <t>MDA</t>
  </si>
  <si>
    <t>N65891</t>
  </si>
  <si>
    <t>DEFENSE COURIER STATION JAPAN</t>
  </si>
  <si>
    <t>N65590</t>
  </si>
  <si>
    <t>TRN3</t>
  </si>
  <si>
    <t>USTRANSCOM</t>
  </si>
  <si>
    <t>N35995</t>
  </si>
  <si>
    <t>DEFMEDIACTY BCST D YOKOTA JA</t>
  </si>
  <si>
    <t>N39304</t>
  </si>
  <si>
    <t>CATC CAMP FUJI NAVY ELEMENT</t>
  </si>
  <si>
    <t>TECOM</t>
  </si>
  <si>
    <t>N4091A</t>
  </si>
  <si>
    <t>MAR CORPS BASE</t>
  </si>
  <si>
    <t>N31676</t>
  </si>
  <si>
    <t>NCISRA FE IWAKUNI JA</t>
  </si>
  <si>
    <t>N41679</t>
  </si>
  <si>
    <t>FLT SAT NCS JAPAN</t>
  </si>
  <si>
    <t>N41938</t>
  </si>
  <si>
    <t>7THFLTFLGSHFWDDAG YOKOSUKA JA</t>
  </si>
  <si>
    <t>N41937</t>
  </si>
  <si>
    <t>7THFLTCVFDWDEPAUG YOKOSUKA JA</t>
  </si>
  <si>
    <t>M63026</t>
  </si>
  <si>
    <t>MCAS FUTENMA JA</t>
  </si>
  <si>
    <t>MARCORPS AIR STATION /H/</t>
  </si>
  <si>
    <t>M67436</t>
  </si>
  <si>
    <t>FORSEREG CAMP BUTLER OKINAWA</t>
  </si>
  <si>
    <t>FORCE SERVICE REGIMENT</t>
  </si>
  <si>
    <t>H&amp;S BN MCIPAC MCB CP BUTLER JA</t>
  </si>
  <si>
    <t>M67410</t>
  </si>
  <si>
    <t>XHMCB</t>
  </si>
  <si>
    <t>MULTIFUNCTION BASES</t>
  </si>
  <si>
    <t>N00333</t>
  </si>
  <si>
    <t>ATTACHE JAPAN</t>
  </si>
  <si>
    <t>N65303</t>
  </si>
  <si>
    <t>N0321A</t>
  </si>
  <si>
    <t>MSCO SASEBO</t>
  </si>
  <si>
    <t>N0318A</t>
  </si>
  <si>
    <t>MSCO OKINAWA WCF</t>
  </si>
  <si>
    <t>SEALOGS</t>
  </si>
  <si>
    <t>N0557A</t>
  </si>
  <si>
    <t>NSF KAMI SEYA JA</t>
  </si>
  <si>
    <t>N0572A</t>
  </si>
  <si>
    <t>NRTF TOTSUKA JA</t>
  </si>
  <si>
    <t>COMFAIRWESTPAC ATSUGI JA</t>
  </si>
  <si>
    <t>N09456</t>
  </si>
  <si>
    <t>FAW 6 FAIRWING</t>
  </si>
  <si>
    <t>N30329</t>
  </si>
  <si>
    <t>FRC NATEC DET ATSUGI</t>
  </si>
  <si>
    <t>N30470</t>
  </si>
  <si>
    <t>NEX ATSUGI</t>
  </si>
  <si>
    <t>N30562</t>
  </si>
  <si>
    <t>NWSED YOKOSUKA JA</t>
  </si>
  <si>
    <t>N43361</t>
  </si>
  <si>
    <t>PME 108-5 DET KAMI SEYA</t>
  </si>
  <si>
    <t>N43606</t>
  </si>
  <si>
    <t>ATG WESTPAC YOKOSUKA STU COMP</t>
  </si>
  <si>
    <t>N43602</t>
  </si>
  <si>
    <t>PERSUPPDET YOKOSUKA/YOKOTA</t>
  </si>
  <si>
    <t>N43585</t>
  </si>
  <si>
    <t>CORCONUWESTPAC ATSUGI JA</t>
  </si>
  <si>
    <t>N43673</t>
  </si>
  <si>
    <t>NAVFSSO NFOOD MGMT TM YOKO</t>
  </si>
  <si>
    <t>N43666</t>
  </si>
  <si>
    <t>NAVJNTSERVACT NS TOKYO JA</t>
  </si>
  <si>
    <t>N61076</t>
  </si>
  <si>
    <t>CNI REGIONS</t>
  </si>
  <si>
    <t>N43825</t>
  </si>
  <si>
    <t>DRMO SASEBO JA</t>
  </si>
  <si>
    <t>N44176</t>
  </si>
  <si>
    <t>COMNAVFOR JAPAN SHORSTAMPS</t>
  </si>
  <si>
    <t>N44323</t>
  </si>
  <si>
    <t>COMFAIRWESTPAC AIMD ATSUGI JA</t>
  </si>
  <si>
    <t>N44428</t>
  </si>
  <si>
    <t>STU FOREIGN INST YOKOHAMA</t>
  </si>
  <si>
    <t>N44402</t>
  </si>
  <si>
    <t>AIMD FLEACT OKINAWA</t>
  </si>
  <si>
    <t>N44601</t>
  </si>
  <si>
    <t>CSS NAVSECGRUDET KAMI SEYA</t>
  </si>
  <si>
    <t>N44558</t>
  </si>
  <si>
    <t>NAVDENCLINIC BR MCAS FUTUMA JA</t>
  </si>
  <si>
    <t>N44836</t>
  </si>
  <si>
    <t>CORR CUST UNIT FLTACT YOKOSUKA</t>
  </si>
  <si>
    <t>N66035</t>
  </si>
  <si>
    <t>NAVAIRSUPPR IWAKUNI JA</t>
  </si>
  <si>
    <t>N66021</t>
  </si>
  <si>
    <t>FLTREADCEN WESTPAC ATSUGI JA</t>
  </si>
  <si>
    <t>N68520</t>
  </si>
  <si>
    <t>NAVAIRREPAIRACT</t>
  </si>
  <si>
    <t>N66120</t>
  </si>
  <si>
    <t>NIWC FAC PACIFIC YOKOSUKA NWCF</t>
  </si>
  <si>
    <t>N66468</t>
  </si>
  <si>
    <t>NAVOCEANASW DET KADENA JA</t>
  </si>
  <si>
    <t>N66455</t>
  </si>
  <si>
    <t>NAVAVFCST CP DET ATSUGI</t>
  </si>
  <si>
    <t>N63037</t>
  </si>
  <si>
    <t>N66640</t>
  </si>
  <si>
    <t>AIRNAVO FAU COMFAIRWESTPAC</t>
  </si>
  <si>
    <t>N66607</t>
  </si>
  <si>
    <t>NAVCALIBLAB ATSUGI JA</t>
  </si>
  <si>
    <t>N66758</t>
  </si>
  <si>
    <t>NAVFUELDET SASEBO JA</t>
  </si>
  <si>
    <t>N66756</t>
  </si>
  <si>
    <t>NIOC YOKOSUKA/DS</t>
  </si>
  <si>
    <t>N69027</t>
  </si>
  <si>
    <t>N66755</t>
  </si>
  <si>
    <t>NAVEXCH KAMI SEYA JA</t>
  </si>
  <si>
    <t>NAVIOCOM MISAWA</t>
  </si>
  <si>
    <t>N00055</t>
  </si>
  <si>
    <t>N66750</t>
  </si>
  <si>
    <t>NAVFUELDET TSURUMI JA</t>
  </si>
  <si>
    <t>N66749</t>
  </si>
  <si>
    <t>NAVEXCH TOTSUKA JA</t>
  </si>
  <si>
    <t>N66748</t>
  </si>
  <si>
    <t>NAVSUP FLT LOG CTR YOKOHAMA</t>
  </si>
  <si>
    <t>N41698</t>
  </si>
  <si>
    <t>NAVREGMEDCENYOK NAHA RI SO</t>
  </si>
  <si>
    <t>N30804</t>
  </si>
  <si>
    <t>NAVFLTACT ITAZUKE JA</t>
  </si>
  <si>
    <t>N30803</t>
  </si>
  <si>
    <t>COMFLEACT YOKO YOKOHAMA DET</t>
  </si>
  <si>
    <t>N30802</t>
  </si>
  <si>
    <t>CFA YOKO REG PRETRIAL CONF FAC</t>
  </si>
  <si>
    <t>N30744</t>
  </si>
  <si>
    <t>PACUTILREDISTAGCY OKINAWA</t>
  </si>
  <si>
    <t>N30864</t>
  </si>
  <si>
    <t>FRC NATEC DET IWAKUNI</t>
  </si>
  <si>
    <t>N31048</t>
  </si>
  <si>
    <t>MISCHMTRN YOKOSUKA JA</t>
  </si>
  <si>
    <t>N31216</t>
  </si>
  <si>
    <t>NAVSECGRUDET CRYTO SHORE SUPP</t>
  </si>
  <si>
    <t>N31215</t>
  </si>
  <si>
    <t>DDNI SSO YOKOSUKA</t>
  </si>
  <si>
    <t>OTHER NIA</t>
  </si>
  <si>
    <t>N31198</t>
  </si>
  <si>
    <t>NCTS FE DCS YOKOSUKA</t>
  </si>
  <si>
    <t>N31129</t>
  </si>
  <si>
    <t>NAVCURSERVDETJ ATSUGI JA</t>
  </si>
  <si>
    <t>N31561</t>
  </si>
  <si>
    <t>NAVMARTRIJUD WASH WPAC N C JAP</t>
  </si>
  <si>
    <t>SECNAV STAFF ASSIST</t>
  </si>
  <si>
    <t>N00013</t>
  </si>
  <si>
    <t>4A5M</t>
  </si>
  <si>
    <t>N31677</t>
  </si>
  <si>
    <t>NCISRA FE OKINAWA JA</t>
  </si>
  <si>
    <t>N31675</t>
  </si>
  <si>
    <t>NCISRA FE ATSUGI JA</t>
  </si>
  <si>
    <t>N63285</t>
  </si>
  <si>
    <t>N31893</t>
  </si>
  <si>
    <t>FAUOHST ATSUGI JA</t>
  </si>
  <si>
    <t>N31960</t>
  </si>
  <si>
    <t>COMSEVENTHFLT BAND</t>
  </si>
  <si>
    <t>FSA-NAVY BAND</t>
  </si>
  <si>
    <t>N0434A</t>
  </si>
  <si>
    <t>NBAND</t>
  </si>
  <si>
    <t>N31924</t>
  </si>
  <si>
    <t>NSD SUBIC DET YOKOSUKA JAPAN</t>
  </si>
  <si>
    <t>N00651</t>
  </si>
  <si>
    <t>N31907</t>
  </si>
  <si>
    <t>FLEACT YOKOSUKA TRANSIENT</t>
  </si>
  <si>
    <t>N31895</t>
  </si>
  <si>
    <t>FAUPHOCPT ATSUGI JA</t>
  </si>
  <si>
    <t>N32104</t>
  </si>
  <si>
    <t>NIOC MISAWA/AOD/CCP</t>
  </si>
  <si>
    <t>N32672</t>
  </si>
  <si>
    <t>NAVSECGRUACT HANZA/SIGSEC</t>
  </si>
  <si>
    <t>N32740</t>
  </si>
  <si>
    <t>NAVOCEANASW DET MISAWA</t>
  </si>
  <si>
    <t>N32723</t>
  </si>
  <si>
    <t>CC SECGRUDET KAMI SEYA JA</t>
  </si>
  <si>
    <t>N32702</t>
  </si>
  <si>
    <t>NSGA HANZA</t>
  </si>
  <si>
    <t>N32689</t>
  </si>
  <si>
    <t>CMS TRA TEAM YOKOSUKA JA</t>
  </si>
  <si>
    <t>N32853</t>
  </si>
  <si>
    <t>NAVSECGRUDETANSUBGR KAMI SY JA</t>
  </si>
  <si>
    <t>N32852</t>
  </si>
  <si>
    <t>NAVSECGRUDETAIPATFOR KAMI S JA</t>
  </si>
  <si>
    <t>N44634</t>
  </si>
  <si>
    <t>DAPSDO WESTDIV YOKOSUKA JA</t>
  </si>
  <si>
    <t>N45000</t>
  </si>
  <si>
    <t>FLTIMAGFACPAC</t>
  </si>
  <si>
    <t>N44995</t>
  </si>
  <si>
    <t>FLTIMAGCENPAC JAPAN</t>
  </si>
  <si>
    <t>N45196</t>
  </si>
  <si>
    <t>NAVDATACOM DET OKINAWA</t>
  </si>
  <si>
    <t>N45079</t>
  </si>
  <si>
    <t>NSGD/ECCM YOKOSUKA</t>
  </si>
  <si>
    <t>N45215</t>
  </si>
  <si>
    <t>PUBLIC WORKS DEPT ATSUGI</t>
  </si>
  <si>
    <t>N45214</t>
  </si>
  <si>
    <t>FEAD CAMP BUTLER</t>
  </si>
  <si>
    <t>N45213</t>
  </si>
  <si>
    <t>PUBLIC WORKS DEPT SASEBO</t>
  </si>
  <si>
    <t>N45490</t>
  </si>
  <si>
    <t>NSGA AOD MISAWA</t>
  </si>
  <si>
    <t>N45598</t>
  </si>
  <si>
    <t>SHIPREPFAC YOKO DET SASEBO</t>
  </si>
  <si>
    <t>N45572</t>
  </si>
  <si>
    <t>USPACOM ADP SERVER SITE JAPAN</t>
  </si>
  <si>
    <t>N45703</t>
  </si>
  <si>
    <t>COMSUBGRU SEVEN REP</t>
  </si>
  <si>
    <t>N45985</t>
  </si>
  <si>
    <t>ENLISTED AID YOKOSUKA AREA</t>
  </si>
  <si>
    <t>CNIC HEADQUARTERS</t>
  </si>
  <si>
    <t>N63959</t>
  </si>
  <si>
    <t>MESS MGMT SPEC</t>
  </si>
  <si>
    <t>N45975</t>
  </si>
  <si>
    <t>FAC ENG &amp; ACQ DIV IWAKUNI</t>
  </si>
  <si>
    <t>N46197</t>
  </si>
  <si>
    <t>NAVSUP FLT LOG CTR SASEBO</t>
  </si>
  <si>
    <t>N46195</t>
  </si>
  <si>
    <t>COMFLEACT SASEBO SECURITY DET</t>
  </si>
  <si>
    <t>N46194</t>
  </si>
  <si>
    <t>COMFLEACT YOKOHAMA DET</t>
  </si>
  <si>
    <t>N46193</t>
  </si>
  <si>
    <t>COMFLEACT YOKOSUKA SECURITY DT</t>
  </si>
  <si>
    <t>N46185</t>
  </si>
  <si>
    <t>NAF MISAWA SECURITY DETACHMENT</t>
  </si>
  <si>
    <t>N61060</t>
  </si>
  <si>
    <t>NAV AIR FAC</t>
  </si>
  <si>
    <t>N46113</t>
  </si>
  <si>
    <t>DOD SPEC REP JAPAN YOKOTA</t>
  </si>
  <si>
    <t>NSA</t>
  </si>
  <si>
    <t>NSA/CSS</t>
  </si>
  <si>
    <t>N63987</t>
  </si>
  <si>
    <t>N46619</t>
  </si>
  <si>
    <t>DET 3D MED BN NH YOKOSUKA</t>
  </si>
  <si>
    <t>N42415</t>
  </si>
  <si>
    <t>N46509</t>
  </si>
  <si>
    <t>COMNAVLOGWESTPAC DET</t>
  </si>
  <si>
    <t>N46697</t>
  </si>
  <si>
    <t>NIWC PACIFIC DET WESTPAC</t>
  </si>
  <si>
    <t>N46931</t>
  </si>
  <si>
    <t>NAVMED CMD DET OKINAWA JA</t>
  </si>
  <si>
    <t>N53853</t>
  </si>
  <si>
    <t>MOMAG DET TEN KADENA</t>
  </si>
  <si>
    <t>N66806</t>
  </si>
  <si>
    <t>NAVMINMNTDET NAHA TQ</t>
  </si>
  <si>
    <t>N66777</t>
  </si>
  <si>
    <t>NAV PA SUPPORT ELEMENT JAPAN</t>
  </si>
  <si>
    <t>CHINFO</t>
  </si>
  <si>
    <t>N63376</t>
  </si>
  <si>
    <t>4A2M</t>
  </si>
  <si>
    <t>HOMETOWN NEWS C</t>
  </si>
  <si>
    <t>N66772</t>
  </si>
  <si>
    <t>NAV PA SUPPORT ELEMENT JPN SAS</t>
  </si>
  <si>
    <t>N66932</t>
  </si>
  <si>
    <t>NAVMICWVSIT NEGISHI JA</t>
  </si>
  <si>
    <t>N66931</t>
  </si>
  <si>
    <t>NAVMICWVSIT KAMI SEYA JA</t>
  </si>
  <si>
    <t>N66929</t>
  </si>
  <si>
    <t>NAVRADFAC-T TOTSUKA JA</t>
  </si>
  <si>
    <t>N66851</t>
  </si>
  <si>
    <t>SPINTCOMM FOSIF WESTPAC</t>
  </si>
  <si>
    <t>N67037</t>
  </si>
  <si>
    <t>MARBKS SASEBO JA</t>
  </si>
  <si>
    <t>N66970</t>
  </si>
  <si>
    <t>J-DET KAMI SEYA JA</t>
  </si>
  <si>
    <t>N67554</t>
  </si>
  <si>
    <t>OMEGANAVSTA TSUSHIMA JA</t>
  </si>
  <si>
    <t>N67413</t>
  </si>
  <si>
    <t>MARBKS NAVSTA SAN DIEGO CA</t>
  </si>
  <si>
    <t>N00245</t>
  </si>
  <si>
    <t>N67272</t>
  </si>
  <si>
    <t>MARBKS ASUGI JA</t>
  </si>
  <si>
    <t>N68111</t>
  </si>
  <si>
    <t>CAA CTR FLT ACTS YOKOSUKA</t>
  </si>
  <si>
    <t>N68246</t>
  </si>
  <si>
    <t>NAVSUP FLT LOG CTR SASEBO NWCF</t>
  </si>
  <si>
    <t>N68245</t>
  </si>
  <si>
    <t>NAVSUP FLT LOG CTR YOKO FUEL</t>
  </si>
  <si>
    <t>N68244</t>
  </si>
  <si>
    <t>NAVSUP FLT LOG CTR HACHINO TRM</t>
  </si>
  <si>
    <t>N68212</t>
  </si>
  <si>
    <t>NMC EAD DET MISAWA ANNEX</t>
  </si>
  <si>
    <t>N68198</t>
  </si>
  <si>
    <t>DEFINVSERUN HACHINOE JA</t>
  </si>
  <si>
    <t>N68302</t>
  </si>
  <si>
    <t>CAA CTR FLT ACT SASEBO</t>
  </si>
  <si>
    <t>U.S. NMRTC YOKOSUKA JA</t>
  </si>
  <si>
    <t>NAVOCNASW CENTER YOKOSUKA</t>
  </si>
  <si>
    <t>N68376</t>
  </si>
  <si>
    <t>DEFSVCOFF PAC YOKOSUKA</t>
  </si>
  <si>
    <t>N68323</t>
  </si>
  <si>
    <t>N32831</t>
  </si>
  <si>
    <t>OICCFAREAST OKINAWA JA</t>
  </si>
  <si>
    <t>N52926</t>
  </si>
  <si>
    <t>FAU MISAWA JA</t>
  </si>
  <si>
    <t>N55155</t>
  </si>
  <si>
    <t>COMSUBGRU 7 NEUTDUTY COMP</t>
  </si>
  <si>
    <t>N55419</t>
  </si>
  <si>
    <t>AC UNIT ONE DET SASEBO</t>
  </si>
  <si>
    <t>N57006</t>
  </si>
  <si>
    <t>COMNAVFORJAPAN YOKOSUKA JA</t>
  </si>
  <si>
    <t>FORCE COMMANDS</t>
  </si>
  <si>
    <t>N57044</t>
  </si>
  <si>
    <t>PHIBFORSEVENTHFLT</t>
  </si>
  <si>
    <t>N61582</t>
  </si>
  <si>
    <t>COMFLEACT SASEBO JA</t>
  </si>
  <si>
    <t>N68495</t>
  </si>
  <si>
    <t>NAVDENCEN FAR EAST YOKOSUKA JA</t>
  </si>
  <si>
    <t>N62636</t>
  </si>
  <si>
    <t>NAVOCEANOFBR YOKOSUKA JA</t>
  </si>
  <si>
    <t>N66688</t>
  </si>
  <si>
    <t>NMCB CAMP SHIELDS</t>
  </si>
  <si>
    <t>N66928</t>
  </si>
  <si>
    <t>NAVRADRECFAC KAMISEYA JA</t>
  </si>
  <si>
    <t>N44331</t>
  </si>
  <si>
    <t>COMFAIRWESTPAC AIMD MISAWA JA</t>
  </si>
  <si>
    <t>N38001</t>
  </si>
  <si>
    <t>SWSC ENG LRN SITE SASEBO JA</t>
  </si>
  <si>
    <t>SWOSCOLCOM (SWOS)</t>
  </si>
  <si>
    <t>N63190</t>
  </si>
  <si>
    <t>N42039</t>
  </si>
  <si>
    <t>CMBTSYSSUPTGRU YOKOSUKA</t>
  </si>
  <si>
    <t>N43791</t>
  </si>
  <si>
    <t>DCMA JAPAN</t>
  </si>
  <si>
    <t>DCMA</t>
  </si>
  <si>
    <t>N48399</t>
  </si>
  <si>
    <t>N3143B</t>
  </si>
  <si>
    <t>DMA OPS KADENA AB, OKINAWA</t>
  </si>
  <si>
    <t>N68154</t>
  </si>
  <si>
    <t>NMFP HFPPO DET IWAKUNI JA</t>
  </si>
  <si>
    <t>MEM1</t>
  </si>
  <si>
    <t>NAVREGMEDCEN</t>
  </si>
  <si>
    <t>N46186</t>
  </si>
  <si>
    <t>COMFLTACT OKINAWA SECURITY DET</t>
  </si>
  <si>
    <t>N30396</t>
  </si>
  <si>
    <t>PRISONER MCAS IWAKUNI BRIG</t>
  </si>
  <si>
    <t>N62613</t>
  </si>
  <si>
    <t>MARCORPSAIRSTA</t>
  </si>
  <si>
    <t>N30442</t>
  </si>
  <si>
    <t>PRISONER MCB CP BUTLER BRIG</t>
  </si>
  <si>
    <t>N67400</t>
  </si>
  <si>
    <t>N52962</t>
  </si>
  <si>
    <t>HCV 5 DET ATSUGI</t>
  </si>
  <si>
    <t>N68668</t>
  </si>
  <si>
    <t>SHORSTAMPSFLEACTS YOKOSUKA JA</t>
  </si>
  <si>
    <t>N81628</t>
  </si>
  <si>
    <t>DLA TROOP SUPPT INDO-PAC JAPAN</t>
  </si>
  <si>
    <t>N95699</t>
  </si>
  <si>
    <t>N69340</t>
  </si>
  <si>
    <t>NAVIFOR FIAF DET YOKOSUKA JA</t>
  </si>
  <si>
    <t>MIP0</t>
  </si>
  <si>
    <t>N53882</t>
  </si>
  <si>
    <t>THREE ZERO NCR DET OKINAWA</t>
  </si>
  <si>
    <t>PACFLT NECC PAC</t>
  </si>
  <si>
    <t>N55611</t>
  </si>
  <si>
    <t>CONSTR REGIMENT</t>
  </si>
  <si>
    <t>N55305</t>
  </si>
  <si>
    <t>FTSCPAC DET YOKOSUKA JA</t>
  </si>
  <si>
    <t>N43932</t>
  </si>
  <si>
    <t>CNATT DET ATSUGI STU COMP</t>
  </si>
  <si>
    <t>N3557A</t>
  </si>
  <si>
    <t>COMFAIRWESTPAC ASD MISAWA JA</t>
  </si>
  <si>
    <t>N4352A</t>
  </si>
  <si>
    <t>PATRECONFORCE FSU DET 7</t>
  </si>
  <si>
    <t>1A2A</t>
  </si>
  <si>
    <t>N49864</t>
  </si>
  <si>
    <t>U.S. NMRTC YOKOSUKA DET MISAWA</t>
  </si>
  <si>
    <t>N47417</t>
  </si>
  <si>
    <t>NCTSI DET FIVE</t>
  </si>
  <si>
    <t>N67370</t>
  </si>
  <si>
    <t>4TH MARINE REGIMENT 3RD MARDIV</t>
  </si>
  <si>
    <t>N67360</t>
  </si>
  <si>
    <t>MARINE DIVISION</t>
  </si>
  <si>
    <t>N31717</t>
  </si>
  <si>
    <t>MCIA DET CAMP COURTNEY OKINAWA</t>
  </si>
  <si>
    <t>N38897</t>
  </si>
  <si>
    <t>DMA STARS &amp; STRIPES IWAKUNI</t>
  </si>
  <si>
    <t>N70274</t>
  </si>
  <si>
    <t>NCTS FAR EAST DET IWAKUNI JA</t>
  </si>
  <si>
    <t>N38898</t>
  </si>
  <si>
    <t>DMA STARS &amp; STRIPES OKINAWA</t>
  </si>
  <si>
    <t>N38899</t>
  </si>
  <si>
    <t>DMA STARS &amp; STRIPES YOKOTA</t>
  </si>
  <si>
    <t>N53273</t>
  </si>
  <si>
    <t>FARRAGUT TAC DET YOKOSUKA JA</t>
  </si>
  <si>
    <t>N53262</t>
  </si>
  <si>
    <t>TECANALCEN</t>
  </si>
  <si>
    <t>M02203</t>
  </si>
  <si>
    <t>M20090</t>
  </si>
  <si>
    <t>XMCAS</t>
  </si>
  <si>
    <t>MULTIFUNCTION STATIONS</t>
  </si>
  <si>
    <t>M57079</t>
  </si>
  <si>
    <t>1ST MAR AIR WING</t>
  </si>
  <si>
    <t>M20265</t>
  </si>
  <si>
    <t>BASE SPEC SERVS CAMP SD BUTLER</t>
  </si>
  <si>
    <t>BASE SPECIAL SERVICES</t>
  </si>
  <si>
    <t>M20080</t>
  </si>
  <si>
    <t>MARFOR JAPAN</t>
  </si>
  <si>
    <t>M20020</t>
  </si>
  <si>
    <t>CCMAR</t>
  </si>
  <si>
    <t>N44364</t>
  </si>
  <si>
    <t>U.S. NMRTC YOKO DET MT FUJI</t>
  </si>
  <si>
    <t>N47368</t>
  </si>
  <si>
    <t>11TH DENTAL CO DET IWAKUNI</t>
  </si>
  <si>
    <t>N44577</t>
  </si>
  <si>
    <t>N49340</t>
  </si>
  <si>
    <t>COMFAIRWESTPAC AIMD IWAKUNI JA</t>
  </si>
  <si>
    <t>NAVY ELEMENT MCAS IWAKUNI</t>
  </si>
  <si>
    <t>MCICOM</t>
  </si>
  <si>
    <t>N55210</t>
  </si>
  <si>
    <t>JUNGLE WARFARE TRNG CENTER</t>
  </si>
  <si>
    <t>HQ 3D MEF MARFORPAC</t>
  </si>
  <si>
    <t>N67025</t>
  </si>
  <si>
    <t>3D MARINE DIVISION</t>
  </si>
  <si>
    <t>H&amp;S BN MCIPAC-MCB CP BUTLER</t>
  </si>
  <si>
    <t>3RD MEDICAL BATTALION</t>
  </si>
  <si>
    <t>3D DENTAL BATTALION 3D MLG</t>
  </si>
  <si>
    <t>N44578</t>
  </si>
  <si>
    <t>3RD DENTAL COMPANY</t>
  </si>
  <si>
    <t>N48094</t>
  </si>
  <si>
    <t>11TH DENTAL COMPANY</t>
  </si>
  <si>
    <t>3RD MARINE LOGISTICS GROUP</t>
  </si>
  <si>
    <t>N69052</t>
  </si>
  <si>
    <t>NAVMEDWEST DET HFPPO OKINAWA</t>
  </si>
  <si>
    <t>N4307A</t>
  </si>
  <si>
    <t>US ASBBC OKINAWA JA</t>
  </si>
  <si>
    <t>MEM3</t>
  </si>
  <si>
    <t>1ST MAW CAMP FOSTER</t>
  </si>
  <si>
    <t>N63026</t>
  </si>
  <si>
    <t>NAV ELEMT MCAS FUTEMA OKINAWA</t>
  </si>
  <si>
    <t>N41585</t>
  </si>
  <si>
    <t>PEP USAF-KADENA AFB (SEA)</t>
  </si>
  <si>
    <t>N46666</t>
  </si>
  <si>
    <t>PEP INTERSERV</t>
  </si>
  <si>
    <t>N47623</t>
  </si>
  <si>
    <t>PUBLIC WORKS DEPT CFA OKINAWA</t>
  </si>
  <si>
    <t>N55874</t>
  </si>
  <si>
    <t>DLA DISTRIBUTION OKINAWA DWCF</t>
  </si>
  <si>
    <t>N69440</t>
  </si>
  <si>
    <t>PUBLIC WORKS DEPT OKINAWA</t>
  </si>
  <si>
    <t>N46500</t>
  </si>
  <si>
    <t>NEX TOKYO DET</t>
  </si>
  <si>
    <t>N49142</t>
  </si>
  <si>
    <t>NEX SASEBO DET NAGASAKI</t>
  </si>
  <si>
    <t>N20105</t>
  </si>
  <si>
    <t>NAVIFOR STRKFOR INTEROP OFF JA</t>
  </si>
  <si>
    <t>N21531</t>
  </si>
  <si>
    <t>LSD 48 ASHLAND</t>
  </si>
  <si>
    <t>N42806</t>
  </si>
  <si>
    <t>DOCK LNDG SHIPS</t>
  </si>
  <si>
    <t>N22999</t>
  </si>
  <si>
    <t>DDG 83 HOWARD</t>
  </si>
  <si>
    <t>N50215</t>
  </si>
  <si>
    <t>CLB 31 (31ST MEU) 3D MLG</t>
  </si>
  <si>
    <t>N22994</t>
  </si>
  <si>
    <t>DDG 86 SHOUP</t>
  </si>
  <si>
    <t>N22993</t>
  </si>
  <si>
    <t>DDG 85 MCCAMPBELL</t>
  </si>
  <si>
    <t>N22178</t>
  </si>
  <si>
    <t>CVN 76 RONALD REAGAN</t>
  </si>
  <si>
    <t>A/C CARRIER NUC</t>
  </si>
  <si>
    <t>N42253</t>
  </si>
  <si>
    <t>HOPPER GCC DET FE - SUBGRU</t>
  </si>
  <si>
    <t>N53261</t>
  </si>
  <si>
    <t>INFOSERVCEN</t>
  </si>
  <si>
    <t>N58058</t>
  </si>
  <si>
    <t>HARBOR PATROL UNIT YOKOSUKA</t>
  </si>
  <si>
    <t>N41041</t>
  </si>
  <si>
    <t>DMA STARS &amp; STRIPES</t>
  </si>
  <si>
    <t>N58059</t>
  </si>
  <si>
    <t>HARBOR PATROL UNIT SASEBO JP</t>
  </si>
  <si>
    <t>N38325</t>
  </si>
  <si>
    <t>PATRECONFORCE FSU DET KADENA</t>
  </si>
  <si>
    <t>N58057</t>
  </si>
  <si>
    <t>HARBOR PATROL UNIT OKINAWA</t>
  </si>
  <si>
    <t>N20010</t>
  </si>
  <si>
    <t>DDG 113 JOHN FINN</t>
  </si>
  <si>
    <t>N34292</t>
  </si>
  <si>
    <t>CNRJ CREDO</t>
  </si>
  <si>
    <t>N57115</t>
  </si>
  <si>
    <t>COMNAVFORJAPAN DET TOKYO</t>
  </si>
  <si>
    <t>N70062</t>
  </si>
  <si>
    <t>PWD SASEBO NWCF</t>
  </si>
  <si>
    <t>N09372</t>
  </si>
  <si>
    <t>HSC 12</t>
  </si>
  <si>
    <t>N55635</t>
  </si>
  <si>
    <t>HELANTISUBRON</t>
  </si>
  <si>
    <t>N07183</t>
  </si>
  <si>
    <t>LPD 9 DENVER</t>
  </si>
  <si>
    <t>PHIB TRANSPT DK</t>
  </si>
  <si>
    <t>N09922</t>
  </si>
  <si>
    <t>VAW 125</t>
  </si>
  <si>
    <t>N55634</t>
  </si>
  <si>
    <t>AIRBORNEARWARN</t>
  </si>
  <si>
    <t>N09804</t>
  </si>
  <si>
    <t>VC 5</t>
  </si>
  <si>
    <t>N31915</t>
  </si>
  <si>
    <t>COMEXSTRKGRU SEVEN DET SASEBO</t>
  </si>
  <si>
    <t>N55308</t>
  </si>
  <si>
    <t>EXP STRIKE GRP</t>
  </si>
  <si>
    <t>N31909</t>
  </si>
  <si>
    <t>FAU COMFAIR MED SEA COMP</t>
  </si>
  <si>
    <t>N32232</t>
  </si>
  <si>
    <t>EODMU FIVE DET FIVE ONE</t>
  </si>
  <si>
    <t>N30215</t>
  </si>
  <si>
    <t>ORD DISPL MOB U</t>
  </si>
  <si>
    <t>N32196</t>
  </si>
  <si>
    <t>CHINFO LIAISON YOKOSUKA</t>
  </si>
  <si>
    <t>N32867</t>
  </si>
  <si>
    <t>IMMED OF SECNAV</t>
  </si>
  <si>
    <t>N45087</t>
  </si>
  <si>
    <t>NCISFO FAR EAST DEPLOYABLE</t>
  </si>
  <si>
    <t>N43741</t>
  </si>
  <si>
    <t>COMSUBGRU 7 NCCS</t>
  </si>
  <si>
    <t>N45768</t>
  </si>
  <si>
    <t>DRMO OKINAWA JA</t>
  </si>
  <si>
    <t>N44695</t>
  </si>
  <si>
    <t>SSPR TSUKUBAUNIV</t>
  </si>
  <si>
    <t>N43772</t>
  </si>
  <si>
    <t>DCMC ATSUGI</t>
  </si>
  <si>
    <t>N48027</t>
  </si>
  <si>
    <t>COMSUBPAC SURTASS SHORE</t>
  </si>
  <si>
    <t>N48026</t>
  </si>
  <si>
    <t>COMSUBPAC SURTASS SEA</t>
  </si>
  <si>
    <t>N48003</t>
  </si>
  <si>
    <t>NSSATC LRN STE YOKOSUKA JA</t>
  </si>
  <si>
    <t>N65929</t>
  </si>
  <si>
    <t>N48001</t>
  </si>
  <si>
    <t>NIOC MISAWA/SEA DUTY</t>
  </si>
  <si>
    <t>N21943</t>
  </si>
  <si>
    <t>DDG 69 MILIUS</t>
  </si>
  <si>
    <t>N21940</t>
  </si>
  <si>
    <t>DDG 65 BENFOLD</t>
  </si>
  <si>
    <t>N3012A</t>
  </si>
  <si>
    <t>LPD 20 GREEN BAY</t>
  </si>
  <si>
    <t>N21950</t>
  </si>
  <si>
    <t>DDG 76 HIGGINS</t>
  </si>
  <si>
    <t>N4158B</t>
  </si>
  <si>
    <t>REG SUPPORT CTR YOKOSUKA</t>
  </si>
  <si>
    <t>N09604</t>
  </si>
  <si>
    <t>VFA 115</t>
  </si>
  <si>
    <t>N09520</t>
  </si>
  <si>
    <t>STRIKE FGHTR SQ</t>
  </si>
  <si>
    <t>N30217</t>
  </si>
  <si>
    <t>EODMU 5 DET YOKOSUKA</t>
  </si>
  <si>
    <t>N42887</t>
  </si>
  <si>
    <t>HOPPER GCC DET FE - MISAWA</t>
  </si>
  <si>
    <t>N32515</t>
  </si>
  <si>
    <t>TACOPSCEN KADENA</t>
  </si>
  <si>
    <t>RLSO WESTPAC YOKOSUKA</t>
  </si>
  <si>
    <t>N31778</t>
  </si>
  <si>
    <t>HSL 51 DET 11 (SH-3H DET)</t>
  </si>
  <si>
    <t>N55584</t>
  </si>
  <si>
    <t>HELANTISUBRON L</t>
  </si>
  <si>
    <t>N32686</t>
  </si>
  <si>
    <t>COMSEVENTHFLT NSG SIGSEC</t>
  </si>
  <si>
    <t>N44999</t>
  </si>
  <si>
    <t>FLTIMAGFACPAC YOKOSUKA</t>
  </si>
  <si>
    <t>N45123</t>
  </si>
  <si>
    <t>NAV HOSP MCBRA</t>
  </si>
  <si>
    <t>N05840</t>
  </si>
  <si>
    <t>LCC 19 BLUE RIDGE</t>
  </si>
  <si>
    <t>PHIB COMM SHIP</t>
  </si>
  <si>
    <t>N70063</t>
  </si>
  <si>
    <t>PWD MISAWA NWCF</t>
  </si>
  <si>
    <t>M29031</t>
  </si>
  <si>
    <t>H&amp;S CO CLB 4 CLR 3 3D MLG</t>
  </si>
  <si>
    <t>M29030</t>
  </si>
  <si>
    <t>9VCBF</t>
  </si>
  <si>
    <t>MISCELLANEOUS COMBAT</t>
  </si>
  <si>
    <t>HQTRS CO CLR 37 3D MLG</t>
  </si>
  <si>
    <t>M29001</t>
  </si>
  <si>
    <t>9VCBC</t>
  </si>
  <si>
    <t>M29049</t>
  </si>
  <si>
    <t>CLC 36 3D SUP BN 3D MLG</t>
  </si>
  <si>
    <t>9VDLD</t>
  </si>
  <si>
    <t>M29048</t>
  </si>
  <si>
    <t>III MLG</t>
  </si>
  <si>
    <t>N21457</t>
  </si>
  <si>
    <t>MCM 10 WARRIOR</t>
  </si>
  <si>
    <t>MINECOUNTERMEAS</t>
  </si>
  <si>
    <t>N21456</t>
  </si>
  <si>
    <t>MCM 9 PIONEER</t>
  </si>
  <si>
    <t>N21453</t>
  </si>
  <si>
    <t>MCM 7 PATRIOT</t>
  </si>
  <si>
    <t>N21451</t>
  </si>
  <si>
    <t>CG 62 ROBERT SMALLS</t>
  </si>
  <si>
    <t>GUIDED MISSLE CRUISER</t>
  </si>
  <si>
    <t>N21406</t>
  </si>
  <si>
    <t>MCM 5 GUARDIAN</t>
  </si>
  <si>
    <t>N55540</t>
  </si>
  <si>
    <t>N21245</t>
  </si>
  <si>
    <t>T-ARS 50 USNS SAFEGUARD</t>
  </si>
  <si>
    <t>N40442</t>
  </si>
  <si>
    <t>N37738</t>
  </si>
  <si>
    <t>555 CYBER PROTECTION TEAM</t>
  </si>
  <si>
    <t>N39539</t>
  </si>
  <si>
    <t>FLTREADCEN WESTPAC DET OKINAWA</t>
  </si>
  <si>
    <t>N39491</t>
  </si>
  <si>
    <t>VRC 40 DET 5</t>
  </si>
  <si>
    <t>N09303</t>
  </si>
  <si>
    <t>FLELOGSUPPRON</t>
  </si>
  <si>
    <t>N39450</t>
  </si>
  <si>
    <t>FTSCPAC DET SASEBO JA</t>
  </si>
  <si>
    <t>N50125</t>
  </si>
  <si>
    <t>DDG 114 RALPH JOHNSON</t>
  </si>
  <si>
    <t>M30695</t>
  </si>
  <si>
    <t>3D NETWORK BN MCCOG</t>
  </si>
  <si>
    <t>M30680</t>
  </si>
  <si>
    <t>6GKAH</t>
  </si>
  <si>
    <t>GROUND COMMUNICATIONS</t>
  </si>
  <si>
    <t>N70053</t>
  </si>
  <si>
    <t>PWD YOKOSUKA NWCF</t>
  </si>
  <si>
    <t>N70061</t>
  </si>
  <si>
    <t>PWD ATSUGI NWCF</t>
  </si>
  <si>
    <t>N00336</t>
  </si>
  <si>
    <t>DFAS JAPAN</t>
  </si>
  <si>
    <t>N0124A</t>
  </si>
  <si>
    <t>COMDESRON 15</t>
  </si>
  <si>
    <t>N53824</t>
  </si>
  <si>
    <t>DES SQUAD COM</t>
  </si>
  <si>
    <t>N21902</t>
  </si>
  <si>
    <t>MCM 14 CHIEF</t>
  </si>
  <si>
    <t>M21634</t>
  </si>
  <si>
    <t>DS COMM CO A 7TH COMM BN MIG</t>
  </si>
  <si>
    <t>M21635</t>
  </si>
  <si>
    <t>6UKAA</t>
  </si>
  <si>
    <t>M21636</t>
  </si>
  <si>
    <t>HQTRS CO 7TH COMM BN MIG</t>
  </si>
  <si>
    <t>6UHAB</t>
  </si>
  <si>
    <t>M21637</t>
  </si>
  <si>
    <t>SVC CO 7TH COMM BN MIG</t>
  </si>
  <si>
    <t>6UKAC</t>
  </si>
  <si>
    <t>M21638</t>
  </si>
  <si>
    <t>GS COMM CO 7TH COMM BN MIG</t>
  </si>
  <si>
    <t>6UKAB</t>
  </si>
  <si>
    <t>M13001</t>
  </si>
  <si>
    <t>HQTRS BN 3D MARDIV (R/U)</t>
  </si>
  <si>
    <t>M13000</t>
  </si>
  <si>
    <t>0GHAA</t>
  </si>
  <si>
    <t>INFANTRY</t>
  </si>
  <si>
    <t>M13007</t>
  </si>
  <si>
    <t>JWTC HQTRS BN 3D MARDIV</t>
  </si>
  <si>
    <t>9VCAT</t>
  </si>
  <si>
    <t>M13331</t>
  </si>
  <si>
    <t>HQTRS BTRY 3/12 3D MARDIV</t>
  </si>
  <si>
    <t>1HLAA</t>
  </si>
  <si>
    <t>M13004</t>
  </si>
  <si>
    <t>DIV HQTRS 3D MARDIV</t>
  </si>
  <si>
    <t>0GCAA</t>
  </si>
  <si>
    <t>M13012</t>
  </si>
  <si>
    <t>H&amp;S CO 3D RECON BN 3D MARDIV</t>
  </si>
  <si>
    <t>M13011</t>
  </si>
  <si>
    <t>ZHSAB</t>
  </si>
  <si>
    <t>RECON, ARMORED AND GROUND</t>
  </si>
  <si>
    <t>M13201</t>
  </si>
  <si>
    <t>HQ CO 4TH MAR REGT 3D MARDIV</t>
  </si>
  <si>
    <t>M13200</t>
  </si>
  <si>
    <t>0GQGC</t>
  </si>
  <si>
    <t>M13301</t>
  </si>
  <si>
    <t>BTRY(-), 12MAR REGT, 3MARDIV</t>
  </si>
  <si>
    <t>1HQGC</t>
  </si>
  <si>
    <t>M29101</t>
  </si>
  <si>
    <t>H&amp;S CO B 9TH ESB 3D MLG</t>
  </si>
  <si>
    <t>M29100</t>
  </si>
  <si>
    <t>4WCAA</t>
  </si>
  <si>
    <t>ENGINEERS AND TOPOGRAPHIC</t>
  </si>
  <si>
    <t>M28261</t>
  </si>
  <si>
    <t>H&amp;S CO 3D MED BN 3D MLG</t>
  </si>
  <si>
    <t>M13020</t>
  </si>
  <si>
    <t>FWQAB</t>
  </si>
  <si>
    <t>MEDICAL/DENTAL/SURGICAL</t>
  </si>
  <si>
    <t>M29044</t>
  </si>
  <si>
    <t>MT CO CLB 4 CLR 3 3D MLG</t>
  </si>
  <si>
    <t>UWLAB</t>
  </si>
  <si>
    <t>MAJOR TRANSPORTATION</t>
  </si>
  <si>
    <t>M29017</t>
  </si>
  <si>
    <t>MLG HQTRS 3D MLG</t>
  </si>
  <si>
    <t>M29000</t>
  </si>
  <si>
    <t>9VCBA</t>
  </si>
  <si>
    <t>M29022</t>
  </si>
  <si>
    <t>H&amp;S CO 3D MAINT BN 3D MLG</t>
  </si>
  <si>
    <t>M29021</t>
  </si>
  <si>
    <t>HVLGA</t>
  </si>
  <si>
    <t>MAINTENANCE</t>
  </si>
  <si>
    <t>COM CVW 5</t>
  </si>
  <si>
    <t>N09723</t>
  </si>
  <si>
    <t>COMCARSTRKGRU FIVE</t>
  </si>
  <si>
    <t>N09717</t>
  </si>
  <si>
    <t>VFA 102</t>
  </si>
  <si>
    <t>N09706</t>
  </si>
  <si>
    <t>VFA 195</t>
  </si>
  <si>
    <t>N21657</t>
  </si>
  <si>
    <t>CG 67 SHILOH</t>
  </si>
  <si>
    <t>N40217</t>
  </si>
  <si>
    <t>TRICARE AREA OFFICE PACIFIC</t>
  </si>
  <si>
    <t>N46184</t>
  </si>
  <si>
    <t>NAF ATSUGI SECURITY DETACHMENT</t>
  </si>
  <si>
    <t>NAV AIR STATION</t>
  </si>
  <si>
    <t>N47014</t>
  </si>
  <si>
    <t>CREDO OKINAWA MCB CP BUTLER</t>
  </si>
  <si>
    <t>N46425</t>
  </si>
  <si>
    <t>COMFLTACT YOKO TRANS PERS UNIT</t>
  </si>
  <si>
    <t>M20128</t>
  </si>
  <si>
    <t>III MARINE EXPEDITIONARY FORCE</t>
  </si>
  <si>
    <t>III MARINE EXPEDNRY FORCE</t>
  </si>
  <si>
    <t>N57064</t>
  </si>
  <si>
    <t>AFLOATRAGRUWESTPAC YOKOSUKA JA</t>
  </si>
  <si>
    <t>N57062</t>
  </si>
  <si>
    <t>FLT TRA GRP</t>
  </si>
  <si>
    <t>COMEXSTRKGRU SEVEN</t>
  </si>
  <si>
    <t>COMPHIBRON 11</t>
  </si>
  <si>
    <t>PHIB SQUADRON</t>
  </si>
  <si>
    <t>N55344</t>
  </si>
  <si>
    <t>COMSEVENTHFLEET</t>
  </si>
  <si>
    <t>N65185</t>
  </si>
  <si>
    <t>VFA 27</t>
  </si>
  <si>
    <t>N53807</t>
  </si>
  <si>
    <t>VAQ 141</t>
  </si>
  <si>
    <t>N55627</t>
  </si>
  <si>
    <t>TACELRON</t>
  </si>
  <si>
    <t>N55150</t>
  </si>
  <si>
    <t>HSM 77</t>
  </si>
  <si>
    <t>N55630</t>
  </si>
  <si>
    <t>COMHSLWINGS</t>
  </si>
  <si>
    <t>N62404</t>
  </si>
  <si>
    <t>COMSC FAR EAST</t>
  </si>
  <si>
    <t>N00033</t>
  </si>
  <si>
    <t>N62874</t>
  </si>
  <si>
    <t>COMUSJAPAN</t>
  </si>
  <si>
    <t>HSL 51</t>
  </si>
  <si>
    <t>COMCMRON SEVEN</t>
  </si>
  <si>
    <t>MINE SQUADRON</t>
  </si>
  <si>
    <t>N55623</t>
  </si>
  <si>
    <t>TACRON 12 DET WESTPAC ALFA</t>
  </si>
  <si>
    <t>N55135</t>
  </si>
  <si>
    <t>TACRON</t>
  </si>
  <si>
    <t>N55622</t>
  </si>
  <si>
    <t>NAVBEACH UNIT SEVEN DET LCU</t>
  </si>
  <si>
    <t>N55621</t>
  </si>
  <si>
    <t>NAVBEACH UNIT SEVEN DET LCAC</t>
  </si>
  <si>
    <t>N34293</t>
  </si>
  <si>
    <t>CNRJ CREDO DET</t>
  </si>
  <si>
    <t>N32363</t>
  </si>
  <si>
    <t>MINE COUNTERMEASURES DIV 11</t>
  </si>
  <si>
    <t>N62473</t>
  </si>
  <si>
    <t>NAVFAC SOUTHWEST</t>
  </si>
  <si>
    <t>N48550</t>
  </si>
  <si>
    <t>HSM 51</t>
  </si>
  <si>
    <t>N48542</t>
  </si>
  <si>
    <t>NCTS FE DET SASEBO JAPAN</t>
  </si>
  <si>
    <t>N4036B</t>
  </si>
  <si>
    <t>NIOC HAWAII/FDNF SPT</t>
  </si>
  <si>
    <t>N48653</t>
  </si>
  <si>
    <t>COMFLEACT SASEBO FSC</t>
  </si>
  <si>
    <t>N48652</t>
  </si>
  <si>
    <t>FSC NAF ATSUGI</t>
  </si>
  <si>
    <t>N48651</t>
  </si>
  <si>
    <t>COMFLEACT OKINAWA FSC</t>
  </si>
  <si>
    <t>N48649</t>
  </si>
  <si>
    <t>COMFLTACT YOKOSUKA FSC</t>
  </si>
  <si>
    <t>N67589</t>
  </si>
  <si>
    <t>N68315</t>
  </si>
  <si>
    <t>FRC SW NAVCALAB IWAKUNI JA</t>
  </si>
  <si>
    <t>N65888</t>
  </si>
  <si>
    <t>NAVAVNDEPOT</t>
  </si>
  <si>
    <t>N68314</t>
  </si>
  <si>
    <t>FRC SW NAVCALAB FUTENMA</t>
  </si>
  <si>
    <t>N49656</t>
  </si>
  <si>
    <t>NIOC MISAWA/JOC</t>
  </si>
  <si>
    <t>NAVIOCOM YOKOSUKA</t>
  </si>
  <si>
    <t>N49978</t>
  </si>
  <si>
    <t>NAVAL OCEAN MIW CP SASEBO</t>
  </si>
  <si>
    <t>N51595</t>
  </si>
  <si>
    <t>N68698</t>
  </si>
  <si>
    <t>FLTREADCEN WESTPAC DET IWAKUNI</t>
  </si>
  <si>
    <t>1A6A</t>
  </si>
  <si>
    <t>M20177</t>
  </si>
  <si>
    <t>III MEF BAND MIG III MEF</t>
  </si>
  <si>
    <t>LLBND</t>
  </si>
  <si>
    <t>BANDS</t>
  </si>
  <si>
    <t>M20382</t>
  </si>
  <si>
    <t>EOTG III MEF</t>
  </si>
  <si>
    <t>TYGAA</t>
  </si>
  <si>
    <t>GROUND TRAINING</t>
  </si>
  <si>
    <t>M21631</t>
  </si>
  <si>
    <t>5TH ANGLICO MIG III MEF</t>
  </si>
  <si>
    <t>9UFAA</t>
  </si>
  <si>
    <t>7TH COMM BN MIG III MEF (R/U)</t>
  </si>
  <si>
    <t>6UHAA</t>
  </si>
  <si>
    <t>M20229</t>
  </si>
  <si>
    <t>CATC CAMP FUJI JAPAN</t>
  </si>
  <si>
    <t>XTCMB</t>
  </si>
  <si>
    <t>MULTIFUNCTION CAMPS</t>
  </si>
  <si>
    <t>M20240</t>
  </si>
  <si>
    <t>SNCOA EDCOM CAMP BUTLER JA</t>
  </si>
  <si>
    <t>M30040</t>
  </si>
  <si>
    <t>W</t>
  </si>
  <si>
    <t>UNDEFINED</t>
  </si>
  <si>
    <t>M00863</t>
  </si>
  <si>
    <t>ATC CO K MACS-4 MACG-18 1STMAW</t>
  </si>
  <si>
    <t>M00860</t>
  </si>
  <si>
    <t>7LQCF</t>
  </si>
  <si>
    <t>AIR CONTROL UNITS</t>
  </si>
  <si>
    <t>N53265</t>
  </si>
  <si>
    <t>HOPPER GCC DET FE - YOKOSUKA</t>
  </si>
  <si>
    <t>SCSTC WESTERN PACIFIC</t>
  </si>
  <si>
    <t>N3596A</t>
  </si>
  <si>
    <t>N49421</t>
  </si>
  <si>
    <t>DEFSVCOFF PAC BROFF SASEBO</t>
  </si>
  <si>
    <t>N49418</t>
  </si>
  <si>
    <t>NEXCOM SHSTR FAST YOKOSUKA</t>
  </si>
  <si>
    <t>N49388</t>
  </si>
  <si>
    <t>NAVAL BEACH UNIT SEVEN DET BMU</t>
  </si>
  <si>
    <t>N49382</t>
  </si>
  <si>
    <t>DCMA JAPAN II</t>
  </si>
  <si>
    <t>N49366</t>
  </si>
  <si>
    <t>AFLOATTRAGRUWESTPAC DET SASEBO</t>
  </si>
  <si>
    <t>N67867</t>
  </si>
  <si>
    <t>CE 31ST MEU II MEF</t>
  </si>
  <si>
    <t>M00104</t>
  </si>
  <si>
    <t>MCCS CAMP BUTLER</t>
  </si>
  <si>
    <t>NON-APPROPRIATED FUND</t>
  </si>
  <si>
    <t>N49114</t>
  </si>
  <si>
    <t>DECA YOKOSUKA JAPAN</t>
  </si>
  <si>
    <t>M29040</t>
  </si>
  <si>
    <t>CLR 3 (DS) 3D MLG (R/U)</t>
  </si>
  <si>
    <t>9VCCC</t>
  </si>
  <si>
    <t>M29041</t>
  </si>
  <si>
    <t>HQTRS CO CLR 3 3D MLG</t>
  </si>
  <si>
    <t>9VCBM</t>
  </si>
  <si>
    <t>N4446A</t>
  </si>
  <si>
    <t>NIWC FAC PACIFIC D SASEBO NWCF</t>
  </si>
  <si>
    <t>N62676</t>
  </si>
  <si>
    <t>N69180</t>
  </si>
  <si>
    <t>DFSP HAKOZAKI JAPAN</t>
  </si>
  <si>
    <t>N69182</t>
  </si>
  <si>
    <t>DFSP AKASAKI</t>
  </si>
  <si>
    <t>N69184</t>
  </si>
  <si>
    <t>DFSP YOKOSE</t>
  </si>
  <si>
    <t>N32434</t>
  </si>
  <si>
    <t>NAVSUP FLT LOG CTR OKINAWA</t>
  </si>
  <si>
    <t>N61584</t>
  </si>
  <si>
    <t>NMCPAC EAD UNIT MISAWA</t>
  </si>
  <si>
    <t>N40447</t>
  </si>
  <si>
    <t>MSC SSU YOKOHAMA JAPAN</t>
  </si>
  <si>
    <t>MSFSC</t>
  </si>
  <si>
    <t>N0098S</t>
  </si>
  <si>
    <t>ASWFORSEVENTHFLT MIW</t>
  </si>
  <si>
    <t>COMNAVREG JAPAN</t>
  </si>
  <si>
    <t>N00052</t>
  </si>
  <si>
    <t>N61028</t>
  </si>
  <si>
    <t>COMFLEACT YOKOSUKA JA</t>
  </si>
  <si>
    <t>N61029</t>
  </si>
  <si>
    <t>COMFLEACT KADENA OKINAWA JA</t>
  </si>
  <si>
    <t>N61031</t>
  </si>
  <si>
    <t>NAF ATSUGI JA</t>
  </si>
  <si>
    <t>N61030</t>
  </si>
  <si>
    <t>N61032</t>
  </si>
  <si>
    <t>NAF MISAWA JA</t>
  </si>
  <si>
    <t>MEF INFO GROUP III MEF (R/U)</t>
  </si>
  <si>
    <t>CBSAB</t>
  </si>
  <si>
    <t>N4526A</t>
  </si>
  <si>
    <t>PSNS &amp; IMF DET YOKOSUKA</t>
  </si>
  <si>
    <t>M00107</t>
  </si>
  <si>
    <t>MWCS-18 MACG-18 1ST MAW (R/U)</t>
  </si>
  <si>
    <t>M00071</t>
  </si>
  <si>
    <t>NLZA1</t>
  </si>
  <si>
    <t>3D RECON BN 3D MARDIV (R/U)</t>
  </si>
  <si>
    <t>ZHPAA</t>
  </si>
  <si>
    <t>4MAR REGT, 3MARDIV (R/U)</t>
  </si>
  <si>
    <t>0GQGB</t>
  </si>
  <si>
    <t>M20350</t>
  </si>
  <si>
    <t>3D LAW ENFCEMNT BN MIG III MEF</t>
  </si>
  <si>
    <t>3D SUP BN 3D MLG</t>
  </si>
  <si>
    <t>JVTAA</t>
  </si>
  <si>
    <t>3D MAINT BN 3D MLG (R/U)</t>
  </si>
  <si>
    <t>HVKGA</t>
  </si>
  <si>
    <t>CLB 4 CLR 3 3D MLG (R/U)</t>
  </si>
  <si>
    <t>9VCBH</t>
  </si>
  <si>
    <t>M29090</t>
  </si>
  <si>
    <t>3D DEN BN 3D MLG (R/U)</t>
  </si>
  <si>
    <t>FWVAA</t>
  </si>
  <si>
    <t>9TH ESB 3D MLG (R/U)</t>
  </si>
  <si>
    <t>4WBGA</t>
  </si>
  <si>
    <t>M18531</t>
  </si>
  <si>
    <t>CE 3D MEB III MEF</t>
  </si>
  <si>
    <t>M18530</t>
  </si>
  <si>
    <t>CBSAJ</t>
  </si>
  <si>
    <t>31ST MEU III MEF (R/U)</t>
  </si>
  <si>
    <t>CBSAD</t>
  </si>
  <si>
    <t>3D INTEL BN MIG III MEF (R/U)</t>
  </si>
  <si>
    <t>PGBAA</t>
  </si>
  <si>
    <t>N62859</t>
  </si>
  <si>
    <t>NAVDATACOM DET YOKOHAMA JA</t>
  </si>
  <si>
    <t>N39573</t>
  </si>
  <si>
    <t>PACOM JOINT SPEC OPS AIR COM</t>
  </si>
  <si>
    <t>N45582</t>
  </si>
  <si>
    <t>N84257</t>
  </si>
  <si>
    <t>NR C7F JPN DET</t>
  </si>
  <si>
    <t>N40192</t>
  </si>
  <si>
    <t>NAVFAC MARIANAS</t>
  </si>
  <si>
    <t>CNR GUAM</t>
  </si>
  <si>
    <t>CNAVRESFOR</t>
  </si>
  <si>
    <t>OTH NAVRESFOR</t>
  </si>
  <si>
    <t>N69434</t>
  </si>
  <si>
    <t>R</t>
  </si>
  <si>
    <t>CENSECFOR LRN SITE YOKOSUKA JA</t>
  </si>
  <si>
    <t>N3761A</t>
  </si>
  <si>
    <t>N40342</t>
  </si>
  <si>
    <t>NAVSUP FLT LOG CTR ATSUGI</t>
  </si>
  <si>
    <t>N40343</t>
  </si>
  <si>
    <t>NAVSUP FLT LOG CTR MISAWA</t>
  </si>
  <si>
    <t>N4575A</t>
  </si>
  <si>
    <t>T-ARS 50 SAFEGUARD MILDET</t>
  </si>
  <si>
    <t>96677-127</t>
  </si>
  <si>
    <t>N62383</t>
  </si>
  <si>
    <t>M20221</t>
  </si>
  <si>
    <t>FOOD SERVICE DIVISION</t>
  </si>
  <si>
    <t>MLG</t>
  </si>
  <si>
    <t>M29108</t>
  </si>
  <si>
    <t>BRIDGE CO 9TH ESB 3D MLG</t>
  </si>
  <si>
    <t>N23168</t>
  </si>
  <si>
    <t>LPD 18 NEW ORLEANS</t>
  </si>
  <si>
    <t>N40434</t>
  </si>
  <si>
    <t>TACTRAGRUPAC DET YOKOSUKA</t>
  </si>
  <si>
    <t>PACFLT COM3RDFLT</t>
  </si>
  <si>
    <t>N53996</t>
  </si>
  <si>
    <t>TACTRAGRU</t>
  </si>
  <si>
    <t>N34451</t>
  </si>
  <si>
    <t>NCISRA FE SASEBO JA</t>
  </si>
  <si>
    <t>COMFLEACT OKINAWA JA</t>
  </si>
  <si>
    <t>N43936</t>
  </si>
  <si>
    <t>NSSATC LS YOKOSUKA STU COMP</t>
  </si>
  <si>
    <t>N50126</t>
  </si>
  <si>
    <t>DDG 115 RAFAEL PERALTA</t>
  </si>
  <si>
    <t>M00102</t>
  </si>
  <si>
    <t>HQTRS 1ST MAW</t>
  </si>
  <si>
    <t>3AMAB</t>
  </si>
  <si>
    <t>AVIATION TACTICAL</t>
  </si>
  <si>
    <t>M00105</t>
  </si>
  <si>
    <t>3D SP SEC COMM TM HQTRS 1STMAW</t>
  </si>
  <si>
    <t>6GJAF</t>
  </si>
  <si>
    <t>M00109</t>
  </si>
  <si>
    <t>HQTRS MWCS-18 MACG-18 1ST MAW</t>
  </si>
  <si>
    <t>NLZAB</t>
  </si>
  <si>
    <t>M00111</t>
  </si>
  <si>
    <t>MAAT SYSTEM HQTRS 1ST MAW</t>
  </si>
  <si>
    <t>5MATH</t>
  </si>
  <si>
    <t>AVIATION TRAINING</t>
  </si>
  <si>
    <t>M00861</t>
  </si>
  <si>
    <t>HQTRS MACS-4 MACG-18 1ST MAW</t>
  </si>
  <si>
    <t>7LQAA</t>
  </si>
  <si>
    <t>M01143</t>
  </si>
  <si>
    <t>MTACS-18 MACG-18 1ST MAW</t>
  </si>
  <si>
    <t>7LQFA</t>
  </si>
  <si>
    <t>AIR CONTROL UNIT</t>
  </si>
  <si>
    <t>M01270</t>
  </si>
  <si>
    <t>FDR MALS-36 MAG-36 1ST MAW</t>
  </si>
  <si>
    <t>M00036</t>
  </si>
  <si>
    <t>NNJAD</t>
  </si>
  <si>
    <t>M02204</t>
  </si>
  <si>
    <t>M00236</t>
  </si>
  <si>
    <t>HQTRS MAG-36 1ST MAW</t>
  </si>
  <si>
    <t>NPCGA</t>
  </si>
  <si>
    <t>M00618</t>
  </si>
  <si>
    <t>HQTRS MACG-18 1ST MAW</t>
  </si>
  <si>
    <t>7LNAB</t>
  </si>
  <si>
    <t>M00825</t>
  </si>
  <si>
    <t>MASS-2 MACG-18 1ST MAW</t>
  </si>
  <si>
    <t>7LREC</t>
  </si>
  <si>
    <t>M00862</t>
  </si>
  <si>
    <t>AIR DEF CO A MACS-4 MACG-18</t>
  </si>
  <si>
    <t>7LQCE</t>
  </si>
  <si>
    <t>M01024</t>
  </si>
  <si>
    <t>MALS-36 MAG-36 1ST MAW</t>
  </si>
  <si>
    <t>NPCNA</t>
  </si>
  <si>
    <t>M01152</t>
  </si>
  <si>
    <t>VMGR-152 MAG-12 1ST MAW</t>
  </si>
  <si>
    <t>M00012</t>
  </si>
  <si>
    <t>3MQAA</t>
  </si>
  <si>
    <t>M05172</t>
  </si>
  <si>
    <t>MWSS-172 MAG-36 1ST MAW</t>
  </si>
  <si>
    <t>NMMUB</t>
  </si>
  <si>
    <t>M05262</t>
  </si>
  <si>
    <t>VMM-262 MAG-36 1ST MAW</t>
  </si>
  <si>
    <t>3PMAA</t>
  </si>
  <si>
    <t>M05265</t>
  </si>
  <si>
    <t>VMM-265 MAG-36 1ST MAW</t>
  </si>
  <si>
    <t>N34446</t>
  </si>
  <si>
    <t>NCISREP FE TOKYO</t>
  </si>
  <si>
    <t>N34447</t>
  </si>
  <si>
    <t>NCISRU FE MISAWA</t>
  </si>
  <si>
    <t>N61583</t>
  </si>
  <si>
    <t>NMCPAC EAD YOKOSUKA AX-ATSUGI</t>
  </si>
  <si>
    <t>N39541</t>
  </si>
  <si>
    <t>IWTC SD SITE YOKOSUKA STU COMP</t>
  </si>
  <si>
    <t>CENINFOWARTRA (CIWT)</t>
  </si>
  <si>
    <t>N43885</t>
  </si>
  <si>
    <t>N3169B</t>
  </si>
  <si>
    <t>SWSC ENG LS YOKOSUKA STU COMP</t>
  </si>
  <si>
    <t>N3128B</t>
  </si>
  <si>
    <t>N3689A</t>
  </si>
  <si>
    <t>DLA DISTRIBUTION SASEBO JA</t>
  </si>
  <si>
    <t>N33412</t>
  </si>
  <si>
    <t>PMRF OKINAWA TARGET DETACHMENT</t>
  </si>
  <si>
    <t>N0534A</t>
  </si>
  <si>
    <t>PACMISLRANGEFAC</t>
  </si>
  <si>
    <t>SWSC ENG LRN SITE YOKOSUKA JA</t>
  </si>
  <si>
    <t>IWTC SD SITE YOKOSUKA JA</t>
  </si>
  <si>
    <t>N0388A</t>
  </si>
  <si>
    <t>3D MED BN 3D MLG (R/U)</t>
  </si>
  <si>
    <t>FWQAA</t>
  </si>
  <si>
    <t>12TH MAR REGT (R/U)</t>
  </si>
  <si>
    <t>1HQGB</t>
  </si>
  <si>
    <t>3D MEB III MEF (R/U)</t>
  </si>
  <si>
    <t>NULL</t>
  </si>
  <si>
    <t>III MEF (R/U)</t>
  </si>
  <si>
    <t>CAMEF</t>
  </si>
  <si>
    <t>3D MLG III MEF (R/U)</t>
  </si>
  <si>
    <t>9VCAB</t>
  </si>
  <si>
    <t>CLR 37 3D MLG (R/U)</t>
  </si>
  <si>
    <t>9VCBB</t>
  </si>
  <si>
    <t>M29330</t>
  </si>
  <si>
    <t>3D TRANS BN CLR 3 3D MLG</t>
  </si>
  <si>
    <t>TRANSPORTTION SPT BTN</t>
  </si>
  <si>
    <t>N67943</t>
  </si>
  <si>
    <t>MEDLOG CO 3RD SUPPLY BN</t>
  </si>
  <si>
    <t>M00730</t>
  </si>
  <si>
    <t>WING INTEL SPT CO 1ST MAW</t>
  </si>
  <si>
    <t>M00101</t>
  </si>
  <si>
    <t>WING INTEL SUPPORT CO</t>
  </si>
  <si>
    <t>1ST MAW III MEF (R/U)</t>
  </si>
  <si>
    <t>3AMAW</t>
  </si>
  <si>
    <t>3D MARDIV III MEF (R/U)</t>
  </si>
  <si>
    <t>0GBAA</t>
  </si>
  <si>
    <t>N36226</t>
  </si>
  <si>
    <t>DLA DISTRIBUTION IWAKUNI</t>
  </si>
  <si>
    <t>N31099</t>
  </si>
  <si>
    <t>M00237</t>
  </si>
  <si>
    <t>HQTRS MAG-12 1ST MAW</t>
  </si>
  <si>
    <t>NNHAA</t>
  </si>
  <si>
    <t>M95163</t>
  </si>
  <si>
    <t>MCCS IWAKUNI</t>
  </si>
  <si>
    <t>NONAPPROPRIATED FUNDS</t>
  </si>
  <si>
    <t>M21639</t>
  </si>
  <si>
    <t>DEF CYB OPS IDM CO 7TH COMM BN</t>
  </si>
  <si>
    <t>6UKAJ</t>
  </si>
  <si>
    <t>M29370</t>
  </si>
  <si>
    <t>3D LNDG SPT BN CLR 3 (R/U)</t>
  </si>
  <si>
    <t>9VJAA</t>
  </si>
  <si>
    <t>N4830A</t>
  </si>
  <si>
    <t>MED BTN AUG DET OKINAWA JA</t>
  </si>
  <si>
    <t>N63378</t>
  </si>
  <si>
    <t>NAVY PA SPT ELMT JAPAN ASHORE</t>
  </si>
  <si>
    <t>N4013A</t>
  </si>
  <si>
    <t>RTAG SITE JAPAN</t>
  </si>
  <si>
    <t>N3295D</t>
  </si>
  <si>
    <t>N88103</t>
  </si>
  <si>
    <t>COM CVW 5 BEACH DET IWAKUNI</t>
  </si>
  <si>
    <t>N3244B</t>
  </si>
  <si>
    <t>COM CVW 5 SHORE DET ATSUGI</t>
  </si>
  <si>
    <t>HQTRS 1ST MAW (R/U)</t>
  </si>
  <si>
    <t>3AMAA</t>
  </si>
  <si>
    <t>M00106</t>
  </si>
  <si>
    <t>CALIB LAB HQTRS 1ST MAW</t>
  </si>
  <si>
    <t>NMTLB</t>
  </si>
  <si>
    <t>MAG-36 1ST MAW (R/U)</t>
  </si>
  <si>
    <t>3PBAA</t>
  </si>
  <si>
    <t>MACG-18 1ST MAW (R/U)</t>
  </si>
  <si>
    <t>7LMAA</t>
  </si>
  <si>
    <t>MACS-4 MACG-18 1ST MAW (R/U)</t>
  </si>
  <si>
    <t>7LSAA</t>
  </si>
  <si>
    <t>M01038</t>
  </si>
  <si>
    <t>MALS-12 MAG-12 1ST MAW</t>
  </si>
  <si>
    <t>NNJAA</t>
  </si>
  <si>
    <t>AIVATION SUPPORT</t>
  </si>
  <si>
    <t>N54019</t>
  </si>
  <si>
    <t>CFAF AIMD IWAKUNI SEAOPDET</t>
  </si>
  <si>
    <t>N7002A</t>
  </si>
  <si>
    <t>HOPPER GCC DET FE - KADENA</t>
  </si>
  <si>
    <t>N7003A</t>
  </si>
  <si>
    <t>HOPPER GCC DET FE - SANTA RITA</t>
  </si>
  <si>
    <t>M02216</t>
  </si>
  <si>
    <t>MCIPAC-MCB CAMP BUTLER JA</t>
  </si>
  <si>
    <t>XMCIM</t>
  </si>
  <si>
    <t>N4706A</t>
  </si>
  <si>
    <t>NAVSUPUNIT TOKYO REIMB</t>
  </si>
  <si>
    <t>STATE DEPARTMENT</t>
  </si>
  <si>
    <t>N65498</t>
  </si>
  <si>
    <t>OGA (OTHER GOVERNMENT AGENCIES)</t>
  </si>
  <si>
    <t>STATE DEPT</t>
  </si>
  <si>
    <t>M00866</t>
  </si>
  <si>
    <t>AIR DEF CO B MACS-4 MACG-18</t>
  </si>
  <si>
    <t>N88139</t>
  </si>
  <si>
    <t>COM CVW 5 SEA DET ATSUGI</t>
  </si>
  <si>
    <t>N3974E</t>
  </si>
  <si>
    <t>NAVSUP FLT LOG CTR YKT OMN</t>
  </si>
  <si>
    <t>N3975E</t>
  </si>
  <si>
    <t>NAVSUP FLT LOG CTR MISAWA WCF</t>
  </si>
  <si>
    <t>N3976E</t>
  </si>
  <si>
    <t>NAVSUP FLT LOG CTR ATSUGI WCF</t>
  </si>
  <si>
    <t>N6662E</t>
  </si>
  <si>
    <t>NAVSUP FLT LOG CTR YOKO FUEL O</t>
  </si>
  <si>
    <t>N6663E</t>
  </si>
  <si>
    <t>NAVSUP FLT LOG CTR HACHINO OMN</t>
  </si>
  <si>
    <t>N6666E</t>
  </si>
  <si>
    <t>NAVSUP FLT LOG CTR OKINAWA WCF</t>
  </si>
  <si>
    <t>N3984E</t>
  </si>
  <si>
    <t>NAVSUP WSS YOKO</t>
  </si>
  <si>
    <t>NAVSUP WSS</t>
  </si>
  <si>
    <t>N00104</t>
  </si>
  <si>
    <t>SHIPS PARTS CEN</t>
  </si>
  <si>
    <t>M29003</t>
  </si>
  <si>
    <t>SVC CO CLR 37 3D MLG</t>
  </si>
  <si>
    <t>9VCBD</t>
  </si>
  <si>
    <t>M29004</t>
  </si>
  <si>
    <t>COMM CO CLR 37 3D MLG</t>
  </si>
  <si>
    <t>6VFGA</t>
  </si>
  <si>
    <t>M29006</t>
  </si>
  <si>
    <t>FD SVC CO CLR 37 3D MLG</t>
  </si>
  <si>
    <t>9VCBE</t>
  </si>
  <si>
    <t>M29011</t>
  </si>
  <si>
    <t>H&amp;S CO 3D SUP BN 3D MLG</t>
  </si>
  <si>
    <t>JVTAB</t>
  </si>
  <si>
    <t>M29012</t>
  </si>
  <si>
    <t>SUP CO 3D SUP BN 3D MLG</t>
  </si>
  <si>
    <t>JVYAA</t>
  </si>
  <si>
    <t>M29014</t>
  </si>
  <si>
    <t>MEDLOG CO 3D SUP BN 3D MLG</t>
  </si>
  <si>
    <t>JVZAA</t>
  </si>
  <si>
    <t>N51213</t>
  </si>
  <si>
    <t>COMFAIRWESTPAC ASD KADENA JA</t>
  </si>
  <si>
    <t>N4246B</t>
  </si>
  <si>
    <t>NIOC HAWAII/YOKO SPT</t>
  </si>
  <si>
    <t>N6679S</t>
  </si>
  <si>
    <t>MOC COMMANDER SEVENTH FLEET</t>
  </si>
  <si>
    <t>MCIPAC (R/U)</t>
  </si>
  <si>
    <t>M20040</t>
  </si>
  <si>
    <t>M13002</t>
  </si>
  <si>
    <t>HQTRS CO HQTRS BN 3D MARDIV</t>
  </si>
  <si>
    <t>0GDAA</t>
  </si>
  <si>
    <t>M13013</t>
  </si>
  <si>
    <t>RECON CO A 3D RECON BN 3D MD</t>
  </si>
  <si>
    <t>ZHRAA</t>
  </si>
  <si>
    <t>M13014</t>
  </si>
  <si>
    <t>FORCE RECON CO 3D RECON BN</t>
  </si>
  <si>
    <t>ZHRAB</t>
  </si>
  <si>
    <t>M13015</t>
  </si>
  <si>
    <t>RECON CO B 3D RECON BN 3D MD</t>
  </si>
  <si>
    <t>M11121</t>
  </si>
  <si>
    <t>H&amp;S CO 12TH LCT 12TH MLR 3D</t>
  </si>
  <si>
    <t>M11120</t>
  </si>
  <si>
    <t>0GUAA</t>
  </si>
  <si>
    <t>M29023</t>
  </si>
  <si>
    <t>ORD MAINT CO 3D MAINT BN</t>
  </si>
  <si>
    <t>HVPGA</t>
  </si>
  <si>
    <t>M29024</t>
  </si>
  <si>
    <t>ENGR MAINT CO 3D MAINT BN</t>
  </si>
  <si>
    <t>HVNGA</t>
  </si>
  <si>
    <t>M29025</t>
  </si>
  <si>
    <t>ELMACO 3D MAINT BN 3D MLG</t>
  </si>
  <si>
    <t>HVMGA</t>
  </si>
  <si>
    <t>M29026</t>
  </si>
  <si>
    <t>MTM CO 3D MAINT BN 3D MLG</t>
  </si>
  <si>
    <t>HVQGA</t>
  </si>
  <si>
    <t>M29027</t>
  </si>
  <si>
    <t>GSM CO 3D MAINT BN 3D MLG</t>
  </si>
  <si>
    <t>HVSGA</t>
  </si>
  <si>
    <t>M29047</t>
  </si>
  <si>
    <t>ENGR CO B 9TH ESB 3D MLG</t>
  </si>
  <si>
    <t>4WGGA</t>
  </si>
  <si>
    <t>M29485</t>
  </si>
  <si>
    <t>CLB 31 CLR 37 3D MLG (R/U)</t>
  </si>
  <si>
    <t>9VDLB</t>
  </si>
  <si>
    <t>M29102</t>
  </si>
  <si>
    <t>ENGR SPT CO 9TH ESB 3D MLG</t>
  </si>
  <si>
    <t>4WDAA</t>
  </si>
  <si>
    <t>M29103</t>
  </si>
  <si>
    <t>BULK FUEL CO 9TH ESB 3D MLG</t>
  </si>
  <si>
    <t>4WFGA</t>
  </si>
  <si>
    <t>M29104</t>
  </si>
  <si>
    <t>ENGR CO A 9TH ESB 3D MLG</t>
  </si>
  <si>
    <t>M29106</t>
  </si>
  <si>
    <t>EOD CO 9TH ESB 3D MLG</t>
  </si>
  <si>
    <t>9WE0D</t>
  </si>
  <si>
    <t>M29331</t>
  </si>
  <si>
    <t>H&amp;S CO 3D TRANS BN CLR 3</t>
  </si>
  <si>
    <t>NEW</t>
  </si>
  <si>
    <t>M29332</t>
  </si>
  <si>
    <t>TRANS CO A 3D TRANS BN CLR 3</t>
  </si>
  <si>
    <t>M29371</t>
  </si>
  <si>
    <t>H&amp;S CO 3D LNDG SPT BN CLR 3</t>
  </si>
  <si>
    <t>9VJGA</t>
  </si>
  <si>
    <t>M29372</t>
  </si>
  <si>
    <t>LNDG SPT CO A 3D LNDG SPT BN</t>
  </si>
  <si>
    <t>9VJUC</t>
  </si>
  <si>
    <t>M29375</t>
  </si>
  <si>
    <t>BCH &amp; TERM OPS CO 3D LNDG SPT</t>
  </si>
  <si>
    <t>9VJNA</t>
  </si>
  <si>
    <t>N0097G</t>
  </si>
  <si>
    <t>UNSCR ENFORCEMENT COORD CELL</t>
  </si>
  <si>
    <t>MS5137</t>
  </si>
  <si>
    <t>ESG-7</t>
  </si>
  <si>
    <t>M11123</t>
  </si>
  <si>
    <t>RFL CO A 12TH LCT 12TH MLR 3D</t>
  </si>
  <si>
    <t>0GVAA</t>
  </si>
  <si>
    <t>M11124</t>
  </si>
  <si>
    <t>RFL CO B 12TH LCT 12TH MLR 3D</t>
  </si>
  <si>
    <t>M11125</t>
  </si>
  <si>
    <t>RFL CO C 12TH LCT 12TH MLR 3D</t>
  </si>
  <si>
    <t>M01042</t>
  </si>
  <si>
    <t>12TH LAAB 12TH MLR 3D MD (R/U)</t>
  </si>
  <si>
    <t>M01045</t>
  </si>
  <si>
    <t>HQ 12TH LAAB 12TH MLR 3D MD</t>
  </si>
  <si>
    <t>M13391</t>
  </si>
  <si>
    <t>LRUSV CO 12TH MLR 3D MARDIV</t>
  </si>
  <si>
    <t>M13392</t>
  </si>
  <si>
    <t>COMM CO 12TH MLR 3D MARDIV</t>
  </si>
  <si>
    <t>M11126</t>
  </si>
  <si>
    <t>ARTY SPT UNIT 12TH MLR 3D MD</t>
  </si>
  <si>
    <t>1HGAE</t>
  </si>
  <si>
    <t>M11127</t>
  </si>
  <si>
    <t>FIRE SPT TM 12 LCT 12TH MLR 3D</t>
  </si>
  <si>
    <t>1HLAE</t>
  </si>
  <si>
    <t>M28263</t>
  </si>
  <si>
    <t>SURG CO A 3D MED BN 3D MLG</t>
  </si>
  <si>
    <t>FWQBB</t>
  </si>
  <si>
    <t>M29091</t>
  </si>
  <si>
    <t>H&amp;S CO 3D DEN BN 3D MLG</t>
  </si>
  <si>
    <t>FWVGA</t>
  </si>
  <si>
    <t>M29092</t>
  </si>
  <si>
    <t>3D DEN CO 3D DEN BN 3D MLG</t>
  </si>
  <si>
    <t>FWWAA</t>
  </si>
  <si>
    <t>M29376</t>
  </si>
  <si>
    <t>LNG SPT EQUIP CO 3D LNG SPT BN</t>
  </si>
  <si>
    <t>9VJUR</t>
  </si>
  <si>
    <t>M02229</t>
  </si>
  <si>
    <t>LAW CTR IWAKUNI JP MCIPAC</t>
  </si>
  <si>
    <t>M20321</t>
  </si>
  <si>
    <t>HQTRS MEF SPT BN MIG III MEF</t>
  </si>
  <si>
    <t>CBSAM</t>
  </si>
  <si>
    <t>M20739</t>
  </si>
  <si>
    <t>OPS CO 3D INTEL BN MIG III MEF</t>
  </si>
  <si>
    <t>PGBAD</t>
  </si>
  <si>
    <t>MAG-12 1ST MAW (R/U)</t>
  </si>
  <si>
    <t>3NHAA</t>
  </si>
  <si>
    <t>M01216</t>
  </si>
  <si>
    <t>FDR MALS-12 MAG-12 1ST MAW</t>
  </si>
  <si>
    <t>NNJAB</t>
  </si>
  <si>
    <t>M01242</t>
  </si>
  <si>
    <t>VMFA (AW)-242  MAG-12 1ST MAW</t>
  </si>
  <si>
    <t>FIGHTER ATTACK SQUADRON</t>
  </si>
  <si>
    <t>M05171</t>
  </si>
  <si>
    <t>MWSS-171 MAG-12 1ST MAW</t>
  </si>
  <si>
    <t>M06121</t>
  </si>
  <si>
    <t>VMFA-121 MAG-12 1ST MAW (12)</t>
  </si>
  <si>
    <t>3NNNJ</t>
  </si>
  <si>
    <t>M13291</t>
  </si>
  <si>
    <t>LRUSV CO 4TH MLR 3D MARDIV</t>
  </si>
  <si>
    <t>M13292</t>
  </si>
  <si>
    <t>COMM CO 4TH MLR 3D MARDIV</t>
  </si>
  <si>
    <t>MCIPAC-MCB CAMP BUTLER (R/U)</t>
  </si>
  <si>
    <t>XMMCB</t>
  </si>
  <si>
    <t>M29487</t>
  </si>
  <si>
    <t>CLC A CLB 31 CLR 37 3D MLG</t>
  </si>
  <si>
    <t>M29488</t>
  </si>
  <si>
    <t>CLC B CLB 31 CLR 37 3D MLG</t>
  </si>
  <si>
    <t>M29492</t>
  </si>
  <si>
    <t>CLC A CLB 12 CLR 3 3D MLG</t>
  </si>
  <si>
    <t>M29490</t>
  </si>
  <si>
    <t>M29493</t>
  </si>
  <si>
    <t>CLC B CLB 12 CLR 3 3D MLG</t>
  </si>
  <si>
    <t>M13202</t>
  </si>
  <si>
    <t>DET ACV SPT 4TH MAR REGT 3D MD</t>
  </si>
  <si>
    <t>2TXAG</t>
  </si>
  <si>
    <t>TRACKED VEHICLES</t>
  </si>
  <si>
    <t>M20391</t>
  </si>
  <si>
    <t>COMM STRATEGY &amp; OPS CO MIG</t>
  </si>
  <si>
    <t>LNPAC</t>
  </si>
  <si>
    <t>ADMINISTRATION</t>
  </si>
  <si>
    <t>M20782</t>
  </si>
  <si>
    <t>DS CO 3D INTEL BN MIG III MEF</t>
  </si>
  <si>
    <t>PGBAM</t>
  </si>
  <si>
    <t>M20783</t>
  </si>
  <si>
    <t>CI/HUMINT CO 3D INTEL BN MIG</t>
  </si>
  <si>
    <t>PGBAK</t>
  </si>
  <si>
    <t>M20784</t>
  </si>
  <si>
    <t>BTL SPACE SURV CO 3D INTEL BN</t>
  </si>
  <si>
    <t>PGBAL</t>
  </si>
  <si>
    <t>M00938</t>
  </si>
  <si>
    <t>FIRING BTRY 12TH LAAB 12TH MLR</t>
  </si>
  <si>
    <t>3LTAA</t>
  </si>
  <si>
    <t>M01041</t>
  </si>
  <si>
    <t>4 LIT ANT AIR BN 4TH MLR (R/U)</t>
  </si>
  <si>
    <t>M01044</t>
  </si>
  <si>
    <t>HQ 4TH LITT ANTI AIR BN 4 MLR</t>
  </si>
  <si>
    <t>N4664A</t>
  </si>
  <si>
    <t>NAVSUP FLT LOG CTR YOKO LCS</t>
  </si>
  <si>
    <t>N4173J</t>
  </si>
  <si>
    <t>NAVAL OSTC YOKOSUKA DET</t>
  </si>
  <si>
    <t>SECNAV/UNSECNAV</t>
  </si>
  <si>
    <t>N31698</t>
  </si>
  <si>
    <t>M29489</t>
  </si>
  <si>
    <t>GS CO CLB 31 CLR 37 3D MLG</t>
  </si>
  <si>
    <t>9VCBG</t>
  </si>
  <si>
    <t>M29491</t>
  </si>
  <si>
    <t>HQ CO CLB 12 CLR 3 3D MLG</t>
  </si>
  <si>
    <t>M29494</t>
  </si>
  <si>
    <t>GS CO CLB 12 CLR 3 3D MLG</t>
  </si>
  <si>
    <t>MEF SPT BN MIG III MEF (R/U)</t>
  </si>
  <si>
    <t>CBSAL</t>
  </si>
  <si>
    <t>N0017D</t>
  </si>
  <si>
    <t>COMNAVSURFGRU WP DET SASEBO</t>
  </si>
  <si>
    <t>WATERFT SPT ORG</t>
  </si>
  <si>
    <t>N4987D</t>
  </si>
  <si>
    <t>FAST CO PACIFIC MCSF REGT</t>
  </si>
  <si>
    <t>N67970</t>
  </si>
  <si>
    <t>MC SECFORCE BN</t>
  </si>
  <si>
    <t>M53546</t>
  </si>
  <si>
    <t>M53500</t>
  </si>
  <si>
    <t>QGHBM</t>
  </si>
  <si>
    <t>LAW ENFORCEMENT</t>
  </si>
  <si>
    <t>N4217B</t>
  </si>
  <si>
    <t>NAVINFOWARTRADET SASEBO</t>
  </si>
  <si>
    <t>N55721</t>
  </si>
  <si>
    <t>M29486</t>
  </si>
  <si>
    <t>HQ CO CLB 31 CLR 37 3D MLG</t>
  </si>
  <si>
    <t>9VCBO</t>
  </si>
  <si>
    <t>N67932</t>
  </si>
  <si>
    <t>12TH MAR LITT REGT 3D MARDIV</t>
  </si>
  <si>
    <t>CLB 12 CLR 3 3D MLG (R/U)</t>
  </si>
  <si>
    <t>N38002</t>
  </si>
  <si>
    <t>SWSC ENG LS SASEBO STU COMP</t>
  </si>
  <si>
    <t>MCIPAC-MCB BUTLER</t>
  </si>
  <si>
    <t>N4079A</t>
  </si>
  <si>
    <t>12TH LCT 12 MLR 3D MARDIV(R/U)</t>
  </si>
  <si>
    <t>0GTAA</t>
  </si>
  <si>
    <t>N4689A</t>
  </si>
  <si>
    <t>U.S. CRTS 1 AUG OKINAWA JA</t>
  </si>
  <si>
    <t>M12357</t>
  </si>
  <si>
    <t>MMSL BTRY 12TH LCT 12TH MLR</t>
  </si>
  <si>
    <t>1HJAC</t>
  </si>
  <si>
    <t>M13005</t>
  </si>
  <si>
    <t>DS TM 1 HQTRS BN 3D MARDIV</t>
  </si>
  <si>
    <t>9GDAB</t>
  </si>
  <si>
    <t>M13006</t>
  </si>
  <si>
    <t>COMM CO HQTRS BN 3D MARDIV</t>
  </si>
  <si>
    <t>6GJAA</t>
  </si>
  <si>
    <t>M13008</t>
  </si>
  <si>
    <t>DS TM 2 HQTRS BN 3D MARDIV</t>
  </si>
  <si>
    <t>M13009</t>
  </si>
  <si>
    <t>1ST SP SEC COMM TM HQ BN 3D MD</t>
  </si>
  <si>
    <t>6GJAC</t>
  </si>
  <si>
    <t>M13010</t>
  </si>
  <si>
    <t>TRUCK CO HQTRS BN 3D MARDIV</t>
  </si>
  <si>
    <t>UJEGA</t>
  </si>
  <si>
    <t>COMNAVSURFGRU WESTPAC YOKOSUKA</t>
  </si>
  <si>
    <t>M00864</t>
  </si>
  <si>
    <t>ATC CO L MACS-4 MACG-18 1STMAW</t>
  </si>
  <si>
    <t>M29093</t>
  </si>
  <si>
    <t>11TH DEN CO 3D DEN BN 3D MLG</t>
  </si>
  <si>
    <t>N4112C</t>
  </si>
  <si>
    <t>RDO DETACHMENT YOKOSUKA JAPAN</t>
  </si>
  <si>
    <t>N45997</t>
  </si>
  <si>
    <t>N4126B</t>
  </si>
  <si>
    <t>ERCS GROUP 11-15</t>
  </si>
  <si>
    <t>N00259</t>
  </si>
  <si>
    <t>M9A9</t>
  </si>
  <si>
    <t>N4127B</t>
  </si>
  <si>
    <t>ERCS GROUP 21-25</t>
  </si>
  <si>
    <t>N0991G</t>
  </si>
  <si>
    <t>CFLSW DET PAC</t>
  </si>
  <si>
    <t>AIR WINGS/SQUADRONS</t>
  </si>
  <si>
    <t>RES</t>
  </si>
  <si>
    <t>N53831</t>
  </si>
  <si>
    <t>FLTLOGSUPPWING</t>
  </si>
  <si>
    <t>N50523</t>
  </si>
  <si>
    <t>NCIS DET 2GJY YOKOTA JP</t>
  </si>
  <si>
    <t>M13203</t>
  </si>
  <si>
    <t>DET LOG/ENG SPT 4TH MAR REGT</t>
  </si>
  <si>
    <t>M20384</t>
  </si>
  <si>
    <t>TAC PSYOP CO MIG III MEF</t>
  </si>
  <si>
    <t>PYSCO</t>
  </si>
  <si>
    <t>M06242</t>
  </si>
  <si>
    <t>VMFA-242 MAG-12 1ST MAW (12)</t>
  </si>
  <si>
    <t>N0097H</t>
  </si>
  <si>
    <t>CNSSC NALC SASEBO</t>
  </si>
  <si>
    <t>CATEGORY CODE</t>
  </si>
  <si>
    <t>LONG TITLE</t>
  </si>
  <si>
    <t>PRIMARY UNIT MEAS</t>
  </si>
  <si>
    <t>AREA UNIT MEAS</t>
  </si>
  <si>
    <t>ALT UNIT MEAS</t>
  </si>
  <si>
    <t>OTHER UNIT MEAS</t>
  </si>
  <si>
    <t>SET BACK VALUE</t>
  </si>
  <si>
    <t>MAX VALUE</t>
  </si>
  <si>
    <t>FACTITLE</t>
  </si>
  <si>
    <t>DOD UNIT MEAS</t>
  </si>
  <si>
    <t>CONSTRUCTION FACTOR</t>
  </si>
  <si>
    <t>SUSTAINMENT FACTOR</t>
  </si>
  <si>
    <t>DOD_FAC CODE</t>
  </si>
  <si>
    <t>RQMTS RPTG IND</t>
  </si>
  <si>
    <t>P80 STATUS CODE</t>
  </si>
  <si>
    <t>SHORE TASK</t>
  </si>
  <si>
    <t>SHORE CAPABILITY AREA</t>
  </si>
  <si>
    <t>REAL PROPERTY TYPE CODE</t>
  </si>
  <si>
    <t>PRIME USE CCN COUNT</t>
  </si>
  <si>
    <t>USER USE CCN COUNT</t>
  </si>
  <si>
    <t>MAJOR CCN</t>
  </si>
  <si>
    <t>MAJOR CCN DESCRIPTION</t>
  </si>
  <si>
    <t>CCN DESCRIPTION</t>
  </si>
  <si>
    <t>UEM IND</t>
  </si>
  <si>
    <t>RUNWAY / FIXED WING</t>
  </si>
  <si>
    <t>SY</t>
  </si>
  <si>
    <t>LF</t>
  </si>
  <si>
    <t>FIXED-WING RUNWAY, SURFACED</t>
  </si>
  <si>
    <t>AIRFIELD PAVEMENT</t>
  </si>
  <si>
    <t>AIRFIELD OPS</t>
  </si>
  <si>
    <t>LS</t>
  </si>
  <si>
    <t>AIRFIELD RUNWAYS</t>
  </si>
  <si>
    <t>PREPARED SURFACES FOR THE LANDING AND TAKEOFF OF AIRCRAFT.</t>
  </si>
  <si>
    <t>RUNWAY / FIXED WING - UNSURFACED</t>
  </si>
  <si>
    <t>RUNWAY, UNSURFACED</t>
  </si>
  <si>
    <t>RUNWAYS FOR ROTARY WING AIRCRAFT THAT DO NOT CONSIST OF A PAVEMENT OR HARDSTAND SURFACE.</t>
  </si>
  <si>
    <t>RUNWAY /  ROTARY WING</t>
  </si>
  <si>
    <t>ROTARY-WING LANDING AREA, SURFACED</t>
  </si>
  <si>
    <t>PREPARED SURFACES FOR THE LANDING AND TAKEOFF OF HELICOPTERS.</t>
  </si>
  <si>
    <t>HELICOPTER LANDING PAD / HOVERPOINT</t>
  </si>
  <si>
    <t>PREPARED AREA FOR THE HOVERING, VERTICAL TAKEOFF AND LANDING (VTOL) OF HELICOPTERS AND OTHER VTOL AIRCRAFT.</t>
  </si>
  <si>
    <t>FIXED WING AIRCRAFT (VTOL) LANDING PAD</t>
  </si>
  <si>
    <t>A LANDING/TAKEOFF PAD FOR VTOL AIRCRAFT SUCH AS THE HARRIER AND JOINT STRIKE FIGHTER.</t>
  </si>
  <si>
    <t>RUNWAY OVERRUN - PAVED SURFACED (M2/SY)</t>
  </si>
  <si>
    <t>RUNWAY OVERRUN AREA, SURFACED</t>
  </si>
  <si>
    <t>AREAS EXTENDING AT EACH END OF A RUNWAY. THE RUNWAY OVERRUN AREAS ARE REQUIRED TO REDUCE SERIOUS DAMAGE TO AN AIRCRAFT IN THE EVENT THAT THE AIRCRAFT RUNS OFF OF THE RUNWAY END DURING TAKEOFF OR LANDING.</t>
  </si>
  <si>
    <t>TAXIWAY</t>
  </si>
  <si>
    <t>TAXIWAY, SURFACED</t>
  </si>
  <si>
    <t>AIRFIELD TAXIWAYS</t>
  </si>
  <si>
    <t>TAXIWAYS ARE PAVED SURFACES ON WHICH AIRCRAFT, BOTH FIXED AND ROTARY WING, MOVE UNDER THEIR OWN POWER TO AND FROM LANDING, SERVICE AND PARKING AREAS.</t>
  </si>
  <si>
    <t>AIRCRAFT PARKING APRON</t>
  </si>
  <si>
    <t>AIRCRAFT APRON, SURFACED</t>
  </si>
  <si>
    <t>AIRFIELD APRONS</t>
  </si>
  <si>
    <t>PARKING APRONS ARE REQUIRED FOR LOADING, UNLOADING AND SERVICING OF AIRCRAFT AND PROVIDING PARKING SPACE.</t>
  </si>
  <si>
    <t>AIRCRAFT ACCESS APRON</t>
  </si>
  <si>
    <t>AIRCRAFT ACCESS APRONS PROVIDE ACCESS TO AIRCRAFT MAINTENANCE HANGARS FROM THE AIRCRAFT PARKING APRON.</t>
  </si>
  <si>
    <t>AIRCRAFT WASHRACK PAVEMENT</t>
  </si>
  <si>
    <t>AIRCRAFT WASHING PAD, SURFACED</t>
  </si>
  <si>
    <t>OTHER AIRFIELD PAVEMENTS</t>
  </si>
  <si>
    <t>AIRCRAFT WASHRACKS ARE PROVIDED AT ALL AIR INSTALLATIONS FOR CLEANING OF AIRCRAFT.</t>
  </si>
  <si>
    <t>AIRCRAFT PAVEMENT SHOULDER</t>
  </si>
  <si>
    <t>THE AREA EXTENDING LATERALLY FROM THE EDGE OF THE RUNWAY PAVEMENT.</t>
  </si>
  <si>
    <t>AIRCRAFT RINSE FACILITY</t>
  </si>
  <si>
    <t>AN AIRCRAFT RINSE FACILITY PROVIDES AN UNATTENDED TAXI-THROUGH, TREADLE OPERATED, FRESHWATER DELUGE SYSTEM TO RINSE AIRCRAFT.</t>
  </si>
  <si>
    <t>AIRCRAFT COMPASS CALIBRATION PAD</t>
  </si>
  <si>
    <t>COMPASS CALIBRATION PAD, SURFACED</t>
  </si>
  <si>
    <t>A PAVED AREA IN A MAGNETICALLY QUIET ZONE WHERE THE COMPASS IN THE AIRCRAFT IS CALIBRATED.</t>
  </si>
  <si>
    <t>ARMING &amp; DE-ARMING PAD</t>
  </si>
  <si>
    <t>A PAVED AREA FOR ACTIVATING OR DEACTIVATING WEAPONS SYSTEMS ON-BOARD AIRCRAFT.</t>
  </si>
  <si>
    <t>PRECISION APPROACH RADAR (PAR) PAD</t>
  </si>
  <si>
    <t>MISCELLANEOUS AIRFIELD PAVEMENT, SURFACED</t>
  </si>
  <si>
    <t>PRECISION APPROACH RADAR (PAR) PAD IS A PAVED HARDSTAND PROVIDED TO SUPPORT THE PAR EQUIPMENT IN OPERATING POSITION.</t>
  </si>
  <si>
    <t>IMPROVED FRESNEL LENS OPTICAL LANDING SYSTEM (IFLOLS) PAD</t>
  </si>
  <si>
    <t>A PAVED HARDSTAND PAD THAT PROVIDES SUPPORT TO THE IMPROVED FRESNEL LENS OPTICAL LANDING SYSTEM (IFLOLS) EQUIPMENT IN OPERATING POSITION.</t>
  </si>
  <si>
    <t>BLAST PROTECTIVE PAVEMENT</t>
  </si>
  <si>
    <t>BLAST PROTECTIVE PAVEMENT IS PROVIDED ADJACENT TO THE RUNWAY THRESHOLD AND END TURNOFF FOR JET RUNWAYS TO PROTECT PAVEMENT FROM DAMAGE DUE TO JET BLAST.</t>
  </si>
  <si>
    <t>LINE VEHICLE PARKING</t>
  </si>
  <si>
    <t>LINE VEHICLE PARKING SPACES CONTIGUOUS TO TAXIWAY AND PARKING APRONS ARE ALLOCATED FOR GROUND SUPPORT EQUIPMENT ASSIGNED FOR FLIGHT LINE USE.</t>
  </si>
  <si>
    <t>TOWWAY</t>
  </si>
  <si>
    <t>A TOWWAY IS A PAVED ROADWAY USED FOR TOWING FIXED OR ROTARY WING AIRCRAFT.</t>
  </si>
  <si>
    <t>ORDNANCE HANDLING PAD</t>
  </si>
  <si>
    <t>ORDNANCE HANDLING</t>
  </si>
  <si>
    <t>ORDNANCE/WEAPONS OPS</t>
  </si>
  <si>
    <t>AN ORDNANCE HANDLING PAD IS PROVIDED FOR AIR INSTALLATIONS WHERE THERE IS A REQUIREMENT FOR LOADING OR OFF-LOADING EXPLOSIVES FROM CARGO AIRCRAFT.</t>
  </si>
  <si>
    <t>COMBAT AIRCRAFT LOADING AREA (CALA)</t>
  </si>
  <si>
    <t>A COMBAT AIRCRAFT LOADING AREA (CALA) IS PRIMARILY AN APRON WHERE EXPLOSIVES ARE LOADED/OFF-LOADED FROM COMBAT AIRCRAFT DEPARTING AND/OR RETURNING FROM WEAPONS TRAINING FLIGHTS.</t>
  </si>
  <si>
    <t>FIRE &amp; RESCUE VEHICLE ALERT PAD</t>
  </si>
  <si>
    <t>AIRCRAFT RESCUE &amp; FIREFIGHTING</t>
  </si>
  <si>
    <t>THIS FACILITY PROVIDES A PARKING AREA FOR IMMEDIATE RESPONSE ALERT VEHICLE.</t>
  </si>
  <si>
    <t>TACTICAL SUPPORT LAYDOWN AREA</t>
  </si>
  <si>
    <t>EA</t>
  </si>
  <si>
    <t>A CONCRETE PAD FOR THE PARKING OF TACTICAL VEHICLES OR EQUIPMENT.</t>
  </si>
  <si>
    <t>AIRCRAFT DIRECT FUELING STATION</t>
  </si>
  <si>
    <t>GM</t>
  </si>
  <si>
    <t>OL</t>
  </si>
  <si>
    <t>AIRCRAFT DIRECT FUELING FACILITY</t>
  </si>
  <si>
    <t>POL DISTRIBUTION</t>
  </si>
  <si>
    <t>LOGISTICS &amp; SUPPLY</t>
  </si>
  <si>
    <t>AIRCRAFT FUEL DISPENSING FACILITIES</t>
  </si>
  <si>
    <t>AIRCRAFT DIRECT FUELING STATIONS PROVIDE OUTLETS WHERE AIRCRAFT CAN BE FUELED FROM A CLOSED CIRCUIT FUEL SYSTEM AS OPPOSED TO REFUELER TRUCKS.</t>
  </si>
  <si>
    <t>AIRCRAFT TRUCK FUELING FACILITY</t>
  </si>
  <si>
    <t>LIQUID FUEL LOADING/UNLOADING FACILITY</t>
  </si>
  <si>
    <t>AN AIRCRAFT TRUCK FUELING FACILITY IS USED TO TRANSFER FUEL TO AIRCRAFT REFUELING TRUCKS.</t>
  </si>
  <si>
    <t>AIRCRAFT READY FUELS STORAGE</t>
  </si>
  <si>
    <t>GA</t>
  </si>
  <si>
    <t>AIRCRAFT OPERATING FUEL STORAGE</t>
  </si>
  <si>
    <t>AIRCRAFT READY FUEL STORAGE PROVIDES AN OPERATION AND RESERVE SUPPLY OF AVIATION GASOLINE AND JET FUEL.</t>
  </si>
  <si>
    <t>MARINE FUELING FACILITY</t>
  </si>
  <si>
    <t>MARINE FUEL DISPENSING FACILITIES</t>
  </si>
  <si>
    <t>A MARINE FUELING FACILITY IS DESIGNED FOR SMALL VESSELS AND CAPITAL SHIPS AND SHOULD BE ABLE TO REFUEL THE LARGEST SHIP THAT CAN DOCK AT THE STATION?S WATERFRONT.</t>
  </si>
  <si>
    <t>SMALL CRAFT FUELING STATION</t>
  </si>
  <si>
    <t>SMALL CRAFT BERTHING</t>
  </si>
  <si>
    <t>WATERFRONT OPS</t>
  </si>
  <si>
    <t>A SMALL CRAFT FUELING STATION IS USED TO REFUEL SUCH SMALL CRAFT AS CRASH BOATS AND ADMINISTRATIVE BOATS. IT SHALL INCLUDE DISPENSING PEDESTAL-TYPE COMMERCIAL PUMPS, PIPING, TANKS, HOSES, FLOODLIGHTS AND GROUNDING DEVICES, ELECTRICAL POWER, AND FIRE PROTECTION.</t>
  </si>
  <si>
    <t>SMALL CRAFT READY FUEL STORAGE</t>
  </si>
  <si>
    <t>MARINE OPERATING FUEL STORAGE</t>
  </si>
  <si>
    <t>BULK LIQUID STORAGE</t>
  </si>
  <si>
    <t>A MARINE READY FUEL STORAGE TANK IS THE READY ISSUE OPERATIONAL STORAGE OF A PARTICULAR GRADE OF FUEL FOR SMALL BOATS. (E.G. SMALL TUGS, SECURITY BOATS, REPAIR BARGES AND YARD CRAFT)</t>
  </si>
  <si>
    <t>FILLING STATION</t>
  </si>
  <si>
    <t>VEHICLE FUELING FACILITY</t>
  </si>
  <si>
    <t>LIQUID, GASEOUS &amp; CHEMICAL PRODUCT DISTRIBUTION</t>
  </si>
  <si>
    <t>LAND VEHICLE FUEL DISPENSING FACILITIES</t>
  </si>
  <si>
    <t>A FILLING STATION IS A FUELING FACILITY FOR OFFICIAL VEHICLES AND EQUIPMENT ON NAVY AND MARINE CORPS INSTALLATIONS.  THIS CATEGORY CODE APPLIES TO PUMP OUTLETS INCLUDING THE CONCRETE PARKING AREA, LIGHTING AND THE ACCESS PAVING TO THE PUMPS/ISLANDS. FOR NON-OPERATIONAL AND NEX FUELING STATIONS, USE CCN 74031 "POV FILLING STATION."  OVERHEAD CANOPIES SHOULD BE CAPTURED USING CCN 12317 "OVERHEAD COVER, MISCELLANEOUS."</t>
  </si>
  <si>
    <t>FILLING STATION BUILDING</t>
  </si>
  <si>
    <t>MISCELLANEOUS OPERATIONS SUPPORT BUILDING</t>
  </si>
  <si>
    <t>RETAIL EXCHANGE</t>
  </si>
  <si>
    <t>SAILOR &amp; FAMILY READINESS</t>
  </si>
  <si>
    <t>B</t>
  </si>
  <si>
    <t>THIS CODE IS USED FOR REPORTING THE ADMINISTRATIVE SHELTER ASSOCIATED WITH A FILLING STATION. IF THE FILLING STATION IS OPERATED BY A PRIVATE ENTITY, THEN USE THE 740-30/31 CATEGORY CODES. WHERE CREDIT CARD SYSTEMS ARE USED AND OPERATORS ARE NOT NEEDED, A SHELTER IS NOT REQUIRED.</t>
  </si>
  <si>
    <t>OVERHEAD COVER, AIRFIELD</t>
  </si>
  <si>
    <t>OVERHEAD COVER</t>
  </si>
  <si>
    <t>THIS CATEGORY CODE CAN BE USED FOR OVERHEAD COVERS LOCATED ON THE AIRFIELD (THAT ARE NOT CLASSIFIED AS EQUIPMENT).</t>
  </si>
  <si>
    <t>OVERHEAD COVER, MISCELLANEOUS</t>
  </si>
  <si>
    <t>GROUNDS &amp; STREET</t>
  </si>
  <si>
    <t>BASE SUPPORT</t>
  </si>
  <si>
    <t>THIS CATEGORY CODE CAN BE USED FOR OVERHEAD COVERS LOCATED AT THE MAIN GATES OF INSTALLATIONS, OVERHEAD COVERS ATOP GAS PUMPS, AND ANY OTHER TIME THAT AN OVERHEAD COVER IS USED.</t>
  </si>
  <si>
    <t>VEHICLE AND EQUIPMENT READY FUEL STORAGE</t>
  </si>
  <si>
    <t>VEHICLE OPERATING FUEL STORAGE</t>
  </si>
  <si>
    <t>THIS CODE IS USED FOR REPORTING THE TANK STORAGE REQUIREMENT ASSOCIATED WITH CATEGORY CODE 12310 AND 74031, INCLUDING THOSE TANKS IN REMOTE LOCATIONS THAT ARE CONSIDERED REAL PROPERTY.</t>
  </si>
  <si>
    <t>ETHANOL READY FUEL STORAGE</t>
  </si>
  <si>
    <t>THIS CATEGORY IS FOR ALTERNATIVE FUEL FACILITIES IN SUPPORT OF ETHANOL OPERATION OF VEHICLES.</t>
  </si>
  <si>
    <t>BIODIESEL READY FUEL STORAGE</t>
  </si>
  <si>
    <t>THIS CATEGORY IS FOR ALTERNATIVE FUEL FACILITIES IN SUPPORT OF BIODIESEL OPERATION OF VEHICLES.</t>
  </si>
  <si>
    <t>POL PIPELINE-MULTIPLE SITES</t>
  </si>
  <si>
    <t>POL PIPELINE</t>
  </si>
  <si>
    <t>POL PIPELINES</t>
  </si>
  <si>
    <t>TRANSFER PIPELINES USED FOR THE TRANSFER AND TRANSPORT OF PETROLEUM, OILS, LUBRICANTS AND FUELS BETWEEN SITES.</t>
  </si>
  <si>
    <t>POL PIPELINE PUMP STATION AND ANCILLARY EQUIPMENT</t>
  </si>
  <si>
    <t>POL PUMP STATION</t>
  </si>
  <si>
    <t xml:space="preserve">PUMPING STATIONS AND ANCILLARY EQUIPMENT USED TO MOVE THE FUEL THROUGH THE PIPES. THIS FACILITY MAY ALSO INCLUDE CONTROLS, GAUGES, METER, LIGHTING, FIRE PROTECTION, AND VENTILATION. </t>
  </si>
  <si>
    <t>POL PUMP STATION BUILDING</t>
  </si>
  <si>
    <t>BUILDING ASSOCIATED WITH POL PUMP STATION. THE PRIMARY UNIT OF MEASURE IS SQUARE FEET (SF). THE POL PIPELINE PUMP STATION AND ANCILLARY EQUIPMENT INSIDE THE BUILDING SHOULD BE CAPTURED UNDER CCN 12516.</t>
  </si>
  <si>
    <t>SHED / SHELTER  FOR PUMP STATION AND ANCILLARY EQUIPMENT</t>
  </si>
  <si>
    <t>THIS IS USED FOR STRUCTURES HOUSING PUMPING STATIONS AND ANCILLARY EQUIPMENT.</t>
  </si>
  <si>
    <t>POL PIPING-SINGLE SITE</t>
  </si>
  <si>
    <t>POL PIPING</t>
  </si>
  <si>
    <t>POL PIPELINES USED FOR THE TRANSFER AND TRANSPORT OF PETROLEUM, OILS, LUBRICANTS AND FUELS WITHIN A SITE (EXCEPT THOSE WITHIN A MARINE OR AIRCRAFT FUELING FACILITY).</t>
  </si>
  <si>
    <t>SURGE STORAGE</t>
  </si>
  <si>
    <t>OTHER OPERATING FUEL STORAGE</t>
  </si>
  <si>
    <t>A SURGE TANK IS USED WHERE THERE IS A RISK OF HYDRAULIC SHOCK. HYDRAULIC SHOCK CAN OCCUR WHEN THE PUMP USED TO DELIVER FUEL IS GREATER THAN THE PIPELINE CAPACITY; UNLOADING RATE OF THE DELIVERY TANKER/BARGE EXCEEDS THE RATE OF THE SHORE PUMPING SYSTEM; OR WATER, AIR OR OTHER BLOCKAGE OCCURS IN THE PIPELINE.</t>
  </si>
  <si>
    <t>DRUM AND CAN LOADING FACILITY</t>
  </si>
  <si>
    <t>OTHER LIQUID FUEL AND DISPENSING FACILITIES</t>
  </si>
  <si>
    <t>A DRUM AND CAN LOADING FACILITY IS A FUEL FACILITY EQUIPPED TO FILL DRUMS WITH FUEL OIL, DIESEL, KEROSENE, JET ENGINE FUEL, MOTOR GASOLINE, AVIATION GASOLINE, AND LUBRICATING OILS. THE FACILITY MAY ALSO BE PROVIDED WITH A DRUM RECONDITIONING PLANT.</t>
  </si>
  <si>
    <t>PETROLEUM READY FUEL STORAGE FACILITY</t>
  </si>
  <si>
    <t>THIS CATEGORY SHALL BE USED FOR THE STORAGE OF PETROLEUM PRODUCTS USED TO FILL DRUMS AS PROVIDED IN CATEGORY CODE 126 10, HEATING OIL TANKS (SEE CATEGORY CODE 821-60 OR 61 FOR HEATING PLANT FUEL STORAGE), LUBE OIL TANKS, GREASE, PROPANE TANKS, OR FUEL STORAGE TANKS FOR GENERATORS AND OTHER EQUIPMENT.</t>
  </si>
  <si>
    <t>TANK TRUCK OR TANK CAR LOADING FACILITY</t>
  </si>
  <si>
    <t>A TANK TRUCK LOADING FACILITY (EITHER A TRUCK FILL STAND OR STANDS) DISPENSE FUELS OTHER THAN AIRCRAFT FUELS TO DELIVERY TRUCKS.  EACH STAND HAS ONE DUAL OUTLET, A METER, STATIC LINE, PLATFORM, ROADWAY, STRAINER AND NECESSARY VALVES, PIPING, PUMP, AND ELECTRICAL CONTROLS</t>
  </si>
  <si>
    <t>TANK TRUCK OR TANK CAR UNLOADING FACILITY</t>
  </si>
  <si>
    <t>A TANK CAR UNLOADING FACILITY UNLOADS LIQUID PRODUCTS FROM TANK CARS. EACH FACILITY HAS STATIC LINES, STRAINER, ACCESS ROAD, SECURITY FENCING, LIGHTING, NECESSARY VALVES, PIPING, PUMP, ELECTRICAL CONTROLS, AND A SHELTER STRUCTURE FOR USE OF ACCOUNTING AND/OR CONTROL HOUSE.</t>
  </si>
  <si>
    <t>CABLE HOUSE</t>
  </si>
  <si>
    <t>COMMUNICATIONS BUILDING</t>
  </si>
  <si>
    <t>NETWORK OPERATIONS/TELECOMMUNICATIONS</t>
  </si>
  <si>
    <t>C5ISR OPS</t>
  </si>
  <si>
    <t>COMMUNICATIONS BUILDINGS</t>
  </si>
  <si>
    <t>A CABLE HOUSE IS AN UNMANNED FACILITY THAT FUNCTIONS EITHER AS AN EXTERNAL JUNCTION POINT FOR COAXIAL CABLES, OR AS MECHANICAL SPACE FOR SUPPORT EQUIPMENT ASSOCIATED WITH EXTREMELY LOW FREQUENCY (ELF) AND VERY LOW FREQUENCY (VLF) ANTENNAS.</t>
  </si>
  <si>
    <t>COMMUNICATIONS MAINTENANCE VAULT</t>
  </si>
  <si>
    <t>UTILITY VAULTS</t>
  </si>
  <si>
    <t>COMMUNICATION LINES</t>
  </si>
  <si>
    <t>HANDHOLE, MANHOLE, CONFINED SPACE USED FOR NON-ELECTRICAL CABLE SPLICE AND TRANSPORT.</t>
  </si>
  <si>
    <t>COMMUNICATIONS MAINTENANCE TUNNEL</t>
  </si>
  <si>
    <t>UTILITY TUNNEL</t>
  </si>
  <si>
    <t>MISCELLANEOUS UTILITIES - LINEAR FEET</t>
  </si>
  <si>
    <t>UNDERGROUND COMMS MAINTENANCE WALKWAY ACCESSIBLE BY PERSONNEL FOR COMMUNICATION LINE INSPECTIONS, UPGRADES, AND REPAIRS BELOW GROUND</t>
  </si>
  <si>
    <t>COMMUNICATIONS, INFORMATION, OR INTELLIGENCE FACILITY</t>
  </si>
  <si>
    <t>COMMUNICATIONS, INFORMATION, OR INTELLIGENCE FACILITIES ARE RESPONSIBLE FOR INFORMATION PROCESSING, DELIVERY OF INFORMATION SERVICES, AND INFORMATION/DATA STORAGE. THESE ULTIMATELY SUPPORT THE JOINT INFORMATION ENVIRONMENT (JIE). THE JIE IDENTIFIES SEVERAL DIFFERENT TYPES OF FUNCTIONAL NODES: COMPUTING NODES (E.G. DATA CENTERS), COMMUNICATION NODES (E.G. NETWORK GATEWAYS), AND OPERATIONS NODES (E.G. ENTERPRISE OPERATION CENTERS). THESE NODES SHOULD BE VIEWED AS FUNCTIONAL ENCLAVES, NOT SEPARATE FACILITIES; IN FACT, MULTIPLE NODES AND NODE TYPES MAY BE PRESENT IN A SINGLE PHYSICAL FACILITY.</t>
  </si>
  <si>
    <t>COMMUNICATIONS MAINTENANCE CHANNEL</t>
  </si>
  <si>
    <t>UTILIITY CHANNELS</t>
  </si>
  <si>
    <t>UNDERGROUND COMMS MAINTENANCE CHANNEL ACCESSIBLE VIA GROUND LEVEL ACCESS PANELS TO ALLOW INSPECTIONS, UPGRADES, AND REPAIRS TO COMMUNICATION LINES BELOW GROUND.</t>
  </si>
  <si>
    <t>COMMUNICATIONS RELAY BUILDING</t>
  </si>
  <si>
    <t>A COMMUNICATIONS RELAY FACILITY IS AN UNMANNED FACILITY OR ENCLOSURE ASSOCIATED WITH THE OPERATION OF MICROWAVE (MW) COMMUNICATIONS SYSTEMS. IT CONTAINS RACK MOUNTED COMMUNICATIONS RECEIVING, AMPLIFICATION, AND TRANSMITTING EQUIPMENT, ALONG WITH AN UNINTERRUPTIBLE POWER SOURCE (UPS) AND AN EMERGENCY GENERATOR.</t>
  </si>
  <si>
    <t>VHF / UHF COMMUNICATIONS FACILITY</t>
  </si>
  <si>
    <t>A VHF/UHF COMMUNICATIONS FACILITY CAN EITHER BE CONTAINED WITHIN A PERMANENT FACILITY OR WITHIN CLASS III PROPERTY. IT CONTAINS A LIMITED AMOUNT OF RACK MOUNTED COMMUNICATIONS RECEIVING, AMPLIFICATION, AND TRANSMITTING EQUIPMENT ASSOCIATED WITH AIRFIELD OPERATIONS, SECURITY AND FIRE OPERATIONS, OR AN TACTICAL COMMUNICATIONS SYSTEM INTEGRAL TO UNIQUE SPECIAL OPERATIONS.</t>
  </si>
  <si>
    <t>SATELLITE COMMUNICATIONS FACILITY</t>
  </si>
  <si>
    <t>SATELLITE COMMUNICATIONS BUILDING</t>
  </si>
  <si>
    <t>A SATELLITE COMS FACILITY IS OFTEN REFERRED TO AS A `GATEWAY FACILITY? SUPPORTING WORLDWIDE, REGIONAL, AND AREA OF RESPONSIBILITY (AOR) COMS. IT CONTAINS DIVISION LEVEL OFFICE AND SUPPORT REQUIREMENTS, EQUIPMENT AND OPERATIONAL AREAS, MAINTENANCE AND TRAINING AREAS, AND LIMITED STORAGE AREAS FOR READY-TO-ISSUE COMS SYSTEMS AND SUBSYSTEMS REQUIRED FOR INCOMING AND OUTGOING COMS TRAFFIC.</t>
  </si>
  <si>
    <t>TELEMETRY BUILDING</t>
  </si>
  <si>
    <t>A TELEMETRY BUILDING IS AN EXTREMELY SPECIALIZED AND UNIQUE FACILITY SPECIFICALLY DESIGNED FOR THE TRACKING OF MISSILES AND SATELLITES.</t>
  </si>
  <si>
    <t>HELIX HOUSE</t>
  </si>
  <si>
    <t>A HELIX HOUSE CONTAINS A HELICAL COIL AND ASSOCIATED ANTENNA TUNING DEVICES DIRECTLY ASSOCIATED WITH, AND INTEGRAL TO, THE TRANSMISSION OF LOW FREQUENCY (LF), VERY LOW FREQUENCY (VLF), AND EXTREMELY LOW FREQUENCY (ELF) COMMUNICATIONS.</t>
  </si>
  <si>
    <t>RECEIVER BUILDING</t>
  </si>
  <si>
    <t>A RECEIVER BUILDING SUPPORTS A 24 HOUR A DAY, 7 DAY A WEEK OPERATIONAL REQUIREMENT FOR SHORE TO SHORE AND SHIP TO SHORE ADMINISTRATIVE, TACTICAL, AND STRATEGIC HIGH FREQUENCY (HF) COMMUNICATIONS.</t>
  </si>
  <si>
    <t>TELEPHONE EXCHANGE BUILDING</t>
  </si>
  <si>
    <t>A TELEPHONE EXCHANGE BUILDING CAN SUPPORT WORLDWIDE, REGIONAL AND AREA COMMUNICATIONS FOR A NAVAL SHORE ACTIVITY. THE TELEPHONE EXCHANGE BUILDING CAN CONTAIN THE TELEPHONE SWITCH, MAIN DISTRIBUTION FRAME, INTERMEDIATE DISTRIBUTION FRAME, STAFF SUPPORT SPACES, OPERATORS WORK POSITIONS, MAINTENANCE AND STORAGE SPACES, AND IS SUPPORTED BY UPS AND EMERGENCY GENERATORS.</t>
  </si>
  <si>
    <t>AUTOMATIC COMMUNICATIONS SWITCHING CENTER</t>
  </si>
  <si>
    <t>AN AUTOMATIC-COMMUNICATIONS SWITCHING-CENTER IDENTIFIES A FACILITY THAT CONTAINS THE TELEPHONE SWITCH AND ITS IMMEDIATE SUPPORT INFRASTRUCTURE. ALTHOUGH IT IS POSSIBLE THAT SOME ISOLATED EXAMPLES OF THIS CONFIGURATION MAY STILL EXIST, THE CURRENT COMMUNICATIONS ARCHITECTURE FOR THIS EQUIPMENT PLACES IT WITHIN A TELEPHONE EXCHANGE BUILDING</t>
  </si>
  <si>
    <t>TERMINAL EQUIPMENT BUILDING</t>
  </si>
  <si>
    <t>THIS FACILITY ORIGINALLY, AND CURRENTLY TO A MINOR EXTENT, PERFORMS AS A SINGLE-FUNCTION BUILDING THAT IS IN DIRECT SUPPORT OF HIGH FREQUENCY (HF) OR LOW FREQUENCY (LF) COMMUNICATIONS. IT PROVIDES AN INTERMEDIATE CONNECTION POINT THAT IS REQUIRED TECHNICALLY TO SUPPORT COMMUNICATIONS CONFIGURATION, OR IS REQUIRED AS THE RESULT OF WAVEGUIDE OR CABLE LOSS.</t>
  </si>
  <si>
    <t>TRANSMITTER BUILDING</t>
  </si>
  <si>
    <t>A TRANSMITTER BUILDING SUPPORTS A 24 HOUR A DAY, 7 DAY A WEEK OPERATIONAL REQUIREMENT FOR SHORE TO SHORE AND SHORE TO SHIP ADMIN, TACTICAL, AND STRATEGIC HIGH FREQUENCY (HF), LOW FREQUENCY (LF), VERY LOW FREQUENCY (VLF) AND EXTREMELY LOW FREQUENCY (ELF) COMS.  A SMALL PERSONNEL SUPPORT SPACE CONTAINING A TOILET FACILITY AND BREAK AREA IS CONSIDERED PART OF THE FACILITY.</t>
  </si>
  <si>
    <t>CIRCULARLY DISPOSED ANTENNA ARRAY BUILDING</t>
  </si>
  <si>
    <t>A CIRCULARLY DISPOSED ANTENNA ARRAY (CDAA) BUILDING IS A HIGH FREQUENCY DIRECTION FINDING (HFDF) FACILITY THAT CONTAINS THE TUNING AND RECEIVING EQUIPMENT ASSOCIATED WITH THE AN/FRD-10 ANTENNA.</t>
  </si>
  <si>
    <t>DIRECTION FINDER BUILDING</t>
  </si>
  <si>
    <t>A DIRECTION FINDER BUILDING IS A HIGH FREQUENCY DIRECTION FINDING (HFDF) FACILITY THAT CONTAINS THE TUNING AND RECEIVING EQUIPMENT ASSOCIATED WITH THE AN/FRD-13 ANTENNAS. IT IS ASSOCIATED WITH FUNCTIONS PERFORMED BY VARIOUS DON COMMUNICATIONS, INTELLIGENCE, AND OPERATIONAL MISSIONS.</t>
  </si>
  <si>
    <t>MILITARY AFFILIATE RADIO STATION (MARS)</t>
  </si>
  <si>
    <t>INFORMATION OPERATIONS</t>
  </si>
  <si>
    <t>THE MILITARY AFFILIATE RADIO SYSTEM IS PART OF NAVY TELECOMMUNICATIONS COMPLEX. SIZE OF THE STATION VARIES WITH THE TYPE OF OPERATIONS AND EQUIPMENT USED. AS A GENERAL RULE, THE SPACE FOR A MARS STATION IS PROVIDED WITHIN EXISTING NAVY FACILITIES AND NO SPECIFIC PROJECTS SHOULD BE PLANNED. THIS CODE IS MAINLY INTENDED FOR INVENTORY PURPOSES.</t>
  </si>
  <si>
    <t>COMMUNICATIONS ANTENNA TOWER</t>
  </si>
  <si>
    <t>COMMUNICATIONS FACILITY/TOWER</t>
  </si>
  <si>
    <t>COMMUNICATIONS FACILITIES OTHER THAN BUILDINGS</t>
  </si>
  <si>
    <t>THIS FACILITY GROUP ENCOMPASSES RADIO ANTENNA TOWERS, SWITCHING STATIONS AND PUBLIC ADDRESS SYSTEMS. THE ANTENNAS REQUIRED ARE A FUNCTION OF THE NUMBER AND TYPE OF RADIO CIRCUITS TO BE INCORPORATED IN THE COMMUNICATIONS SYSTEM. RECORD ONLY THE ANTENNA TOWERS.  FOUNDATIONS, CONCRETE PADS, ETC., ARE RPIE TO THE TOWERS.  ANTENNAS THEMSELVES ARE EQUIPMENT. SEE ALSO CCNS 13410 AND 13825 TO ENSURE CORRECT CCN APPLICATION.</t>
  </si>
  <si>
    <t>PUBLIC ADDRESS SYSTEM - OUTDOOR</t>
  </si>
  <si>
    <t>EMERGENCY MGT SRVCS</t>
  </si>
  <si>
    <t>OUTDOOR PUBLIC ADDRESS SYSTEMS (GIANT VOICE) WILL BE PLANNED AND INSTALLED TO MEET INDIVIDUAL NEEDS OF A FACILITY</t>
  </si>
  <si>
    <t>CIRCULARLY DISPOSED ANTENNA ARRAY (WULLENWEBER)</t>
  </si>
  <si>
    <t>THIS ANTENNA ARRAY IS GENERALLY PLANNED IN CONJUNCTION WITH A CIRCULARLY DISPOSED ANTENNA ARRAY BUILDING. SEE CATEGORY CODE 131 55 FOR ADDITIONAL GUIDANCE.</t>
  </si>
  <si>
    <t>RADAR WIND SOUNDING (RAWIN) BUILDING</t>
  </si>
  <si>
    <t>AIRCRAFT NAVIGATION BUILDING</t>
  </si>
  <si>
    <t>AIRFIELD GROUND ELECTRONICS</t>
  </si>
  <si>
    <t>AVIATION NAVIGATION AND TRAFFIC AIDS BUILDINGS</t>
  </si>
  <si>
    <t>A RAWIN BUILDING (RADAR WIND SOUNDING) IS A SPECIALIZED WEATHER REPORTING FACILITY. IT HOUSES TRACKING EQUIPMENT USED IN CONJUNCTION WITH BALLOONBORNE RADIOSONDE TRANSMITTERS.</t>
  </si>
  <si>
    <t>VHF OMNI-DIRECTIONAL RANGE (VOR) FACILITY</t>
  </si>
  <si>
    <t>THE VERY HIGH FREQUENCY (VHF) OMNI-DIRECTIONAL RANGE (VOR) BUILDING HOUSES A VHF, FIXED GROUND-BASED STATION WHICH CONTINUOUSLY TRANSMITS BEARING, IDENTIFICATION, AND WITH PROPER EQUIPMENT, DISTANCE INFORMATION TO PROPERLY EQUIPPED AIRCRAFT.</t>
  </si>
  <si>
    <t>TACTICAL AIR NAVIGATION (TACAN) BUILDING</t>
  </si>
  <si>
    <t>THE TACTICAL AIR NAVIGATION (TACAN) BUILDING HOUSES UHF GROUND-BASED STATION WHICH TRANSMITS BEARING, IDENTIFICATION, AND DISTANCE INFORMATION TO PROPERLY EQUIPPED AIRCRAFT. THE TACAN IS PRIMARILY A MILITARY SHORT-RANGE 322 KM (200 MILE) NAVIGATIONAL AID THAT IS GENERALLY PLANNED FOR EACH NAVY AND MARINE CORPS AIR STATION.</t>
  </si>
  <si>
    <t>VHF OMNI-DIRECTIONAL RANGE/TACAN  (VORTAC) BUILDING</t>
  </si>
  <si>
    <t>THE VERY HIGH FREQUENCY (VHF) OMNI-DIRECTIONAL RANGE/TACTICAL AIR NAVIGATION (VORTAC) BUILDING HOUSES VHF/UHF FIXED GROUND-BASED STATION THAT CONTINUOUSLY TRANSMITS BEARING, IDENTIFICATION, AND DISTANCE INFORMATION TO PROPERLY EQUIPPED AIRCRAFT WHEN DISTANCE MEASURING EQUIPMENT (DME) IS INSTALLED.</t>
  </si>
  <si>
    <t>NON-DIRECTIONAL BEACON (NDB) FACILITY - (BUILDING)</t>
  </si>
  <si>
    <t>THIS NON-DIRECTIONAL BEACON (NDB) FACILITY IS AN UNATTENDED FACILITY WHICH HOUSES ELECTRIC EQUIPMENT (RADIO BEACON) USED TO TRANSMIT A NON-DIRECTIONAL RADIO SIGNAL PATTERN TO AIRCRAFT EQUIPPED WITH AUTOMATIC RADIO DIRECTION AND FINDING (ADF) EQUIPMENT.</t>
  </si>
  <si>
    <t>AIR NAVIGATION BUILDING</t>
  </si>
  <si>
    <t>AN AIR NAVIGATION BUILDING IS A SPECIALIZED FACILITY FOR PROVIDING A READILY AVAILABLE SOURCE OF OPERATIONAL AND AERONAUTICAL INTELLIGENCE INFORMATION; STORAGE AND ISSUE OF AERONAUTICAL MAPS AND CHARTS; AND SECURE STORAGE OF CLASSIFIED MATERIAL UP TO TOP SECRET DOCUMENTS.</t>
  </si>
  <si>
    <t>RADAR AIR TRAFFIC CONTROL FACILITY (RATCF)</t>
  </si>
  <si>
    <t>THE RADAR AIR TRAFFIC CONTROL FACILITY (RATCF) PROVIDES HOUSING FOR EQUIPMENT AND PERSONNEL TO SUPPORT INSTRUMENT FLIGHT RULES (IFR) CONTROL OF AIRCRAFT ON APPROACH TO OR DEPARTURE FROM THE TERMINAL RADAR FACILITY OR AIRPORT. OTHER FUNCTIONS INCLUDE PRECISION APPROACH RADAR (PAR) FOR LANDING AIRCRAFT DURING INCLEMENT WEATHER AND LIMITED VISIBILITY.</t>
  </si>
  <si>
    <t>MILITARY TERMINAL RADAR APPROACH CONTROL FAC (MTRACON)</t>
  </si>
  <si>
    <t>AIR TRAFFIC CONTROL</t>
  </si>
  <si>
    <t>A MILITARY TERMINAL RADAR APPROACH CONTROL (MTRACON) FACILITY IS USED TO CONTROL AIR TRAFFIC TO PROVIDE SAFE, EXPEDITIOUS, AND ORDERLY MOVEMENT OF AIRCRAFT UNDER ALL WEATHER CONDITIONS. JUSTIFICATION FOR A MTRACON IS ESTABLISHED BY THE CHIEF OF NAVAL OPERATIONS.</t>
  </si>
  <si>
    <t>FLEET AREA CONTROL SURVEILLANCE FACILITY (FACSFAC)</t>
  </si>
  <si>
    <t xml:space="preserve">THE FLEET AREA CONTROL SURVEILLANCE FACILITY (FACSFAC) BUILDING HOUSES THE FACSFAC TRACKING SYSTEM (FACTS) AND NAVY TACTICAL DATA SYSTEM/ADVANCED COMBAT DIRECTION SYSTEM (NTDS/ACDS) EQUIPMENT AND PERSONNEL TO PROVIDE A VARIETY OF SERVICES TO AIR, SURFACE AND SUBSURFACE UNITS. </t>
  </si>
  <si>
    <t>JOINT CONTROL FACILITY</t>
  </si>
  <si>
    <t>THE JOINT CONTROL FACILITY (JCF) IS AN AIR TRAFFIC CONTROL FACILITY, A RADAR AIR TRAFFIC CONTROL FACILITY (RATCF), AND A RANGE OPERATIONS CENTER (ROC) UNDER ONE ROOF.</t>
  </si>
  <si>
    <t>AIR SURVEILLANCE RADAR (ASR) FACILITY</t>
  </si>
  <si>
    <t>THE AIR SURVEILLANCE RADAR (ASR) FACILITY IS AN UNATTENDED FACILITY WHICH SERVES AS A MAJOR COMPONENT OF THE RADAR AIR TRAFFIC CONTROL FACILITY (RATCF); THE MILITARY TERMINAL APPROACH CONTROL FACILITY (MTRACON); AND THE JOINT CONTROL FACILITY (JCF). IT PROVIDES DETECTION AND IDENTIFICATION FOR CONTROL OF AIRCRAFT OPERATING IN A LINE-OF-SIGHT RANGE AND ALTITUDES DETERMINED BY SYSTEM DESIGN.</t>
  </si>
  <si>
    <t>AIR ROUTE SURVEILLANCE RADAR (ARSR) FACILITY</t>
  </si>
  <si>
    <t>THE AIR ROUTE SURVEILLANCE RADAR (ARSR) FACILITY HOUSES THE ELECTRONIC LONG RANGE RADAR SYSTEM USED TO OBTAIN THE RANGE AND AZIMUTH OF AN AIRCRAFT.</t>
  </si>
  <si>
    <t>WHEELS WATCH SHELTER</t>
  </si>
  <si>
    <t>A PORTABLE WHEELS WATCH BOOTH IS PROVIDED WITH THE RUNWAY WHEELS-UP/WAVE-OFF LIGHTING SYSTEM, CATEGORY CODE 136 45. THE SHELTER IS LOCATED APPROXIMATELY 302 METERS (990 FEET) SHORT OF THE RUNWAY THRESHOLD NEAR THE WHEELS-UP/WAVE-OFF LIGHTING SYSTEM. THE FACILITY MAY BE EITHER A TRAILER OR TRUCK.</t>
  </si>
  <si>
    <t>AIRCRAFT NAVIGATION ANTENNA TOWER</t>
  </si>
  <si>
    <t>AIRCRAFT NAVIGATION FACILITY</t>
  </si>
  <si>
    <t>AVIATION NAVIGATION AND TRAFFIC AIDS FACILITIES OTHER THAN B</t>
  </si>
  <si>
    <t>AN ANTENNA SYSTEM FOR AIRCRAFT NAVIGATION AID WILL VARY WITH THE TYPE AND PURPOSE OF THE NAVIGATIONAL AID. THIS CATEGORY CODE SHALL BE USED TO INDICATE ENTIRE ANTENNA SYSTEMS. RECORD ONLY THE ANTENNA TOWERS.  FOUNDATIONS, CONCRETE PADS, ETC., ARE RPIE TO THE TOWERS.  ANTENNAS THEMSELVES ARE EQUIPMENT. SEE ALSO CCNS 13210 AND 13825 TO ENSURE CORRECT CCN APPLICATION.</t>
  </si>
  <si>
    <t>AIRPORT AND / OR HELIPORT BEACON</t>
  </si>
  <si>
    <t>AN AIRPORT AND/OR HELIPORT BEACON IS AN INTERNATIONALLY RECOGNIZED ROTATING OR FLASHING ILLUMINATED BEACON OPERATED AS A VISUAL AID TO AIR NAVIGATION TO ASSIST AIRCREWS IN LOCATING AND IDENTIFYING AIRPORTS AND/OR HELIPORTS.</t>
  </si>
  <si>
    <t>GROUND CONTROL APPROACH SYSTEM</t>
  </si>
  <si>
    <t>A GROUND CONTROL APPROACH (GCA) SYSTEM IS A RADAR APPROACH SYSTEM OPERATED FROM THE GROUND BY AIR TRAFFIC CONTROL PERSONNEL TRANSMITTING INSTRUCTIONS TO THE PILOT BY RADIO.</t>
  </si>
  <si>
    <t>PRECISION APPROACH RADAR (PAR)</t>
  </si>
  <si>
    <t>THE PRECISION APPROACH RADAR (PAR) IS AN UNATTENDED SELF-CONTAINED RADAR SYSTEM. THE PAR DETECTS AZIMUTH, ELEVATION, AND RANGE INFORMATION OF AIRCRAFT ON FINAL LANDING APPROACH TO PAR INSTRUMENTED RUNWAYS. THE INFORMATION IS DISPLAYED IN THE MILITARY TERMINAL RADAR APPROACH CONTROL (MTRACON) FACILITY.</t>
  </si>
  <si>
    <t>PRECISION APPROACH LANDING SYSTEM (PALS)</t>
  </si>
  <si>
    <t>THE PRECISION APPROACH LANDING SYSTEM (PALS) IS AN UNATTENDED, SELF-CONTAINED RADAR SYSTEM. THE PALS DETECTS AZIMUTH, ELEVATION, AND RANGE INFORMATION OF AIRCRAFT ON FINAL APPROACH TO PALS INSTRUMENTED RUNWAYS.</t>
  </si>
  <si>
    <t>INSTRUMENT LANDING SYSTEM (ILS)</t>
  </si>
  <si>
    <t>THE INSTRUMENT LANDING SYSTEM (ILS) PROVIDES AZIMUTH, DISTANCE, ELEVATION, AND GLIDE PATH POSITION TO AIRCRAFT ON A PRECISION APPROACH TO THE ILS INSTRUMENTED RUNWAY. THE ILS OPERATES IN THE VHF AND UHF RADIO BANDS.</t>
  </si>
  <si>
    <t>MICROWAVE LANDING SYSTEM (MLS)</t>
  </si>
  <si>
    <t>THE MICROWAVE LANDING SYSTEM (MLS) PROVIDES AZIMUTH, DISTANCE, ELEVATION, AND GLIDE PATH POSITION TO AIRCRAFT ON A PRECISION APPROACH TO THE MLS INSTRUMENTED RUNWAY. THE MLS OPERATES IN A NARROW BAND MICROWAVE FREQUENCY.</t>
  </si>
  <si>
    <t>SHOREBASED AUTOMATIC CARRIER LANDING SYSTEM (ACLS)</t>
  </si>
  <si>
    <t>THE SHORE-BASED AUTOMATIC CARRIER LANDING SYSTEM (ACLS) IS AN UNATTENDED, SELF-CONTAINED RADAR SYSTEM. THE ACLS CONSISTS OF PRECISION TRACKING RADAR COUPLED TO A COMPUTER DATA LINK TO PROVIDE CONTINUOUS INFORMATION TO THE AIRCRAFT, MONITORING CAPABILITY TO THE PILOT, AND A BACKUP APPROACH SYSTEM.</t>
  </si>
  <si>
    <t>OBSTRUCTION LIGHTING AND MARKINGS</t>
  </si>
  <si>
    <t>OBSTRUCTION LIGHTING PROVIDES VISUAL IDENTIFICATION OF OBJECTS AT NIGHT, OR IN SOME CASES IN DAY TIMES, THAT ARE POTENTIALLY HAZARDOUS TO AIR NAVIGATION.</t>
  </si>
  <si>
    <t>VISUAL APPROACH SLOPE INDICATOR (VASI) SYSTEM</t>
  </si>
  <si>
    <t>THE VISUAL APPROACH SLOPE INDICATOR (VASI) SYSTEM IS AN UNATTENDED SYSTEM THAT PROVIDES VISUAL GLIDE SLOPE GUIDANCE TO PILOTS OF AIRCRAFT DURING THE FINAL LANDING APPROACH. THE VASI IS HELPFUL DURING DAY AND NIGHT OPERATIONS AND FOR VISUAL FLIGHT RULES (VFR) AND INSTRUMENT FLIGHT RULES (IFR) OPERATIONS.</t>
  </si>
  <si>
    <t>PRECISION APPROACH PATH INDICATOR (PAPI) SYSTEM</t>
  </si>
  <si>
    <t>THE PRECISION APPROACH PATH INDICATOR (PAPI) SYSTEM IS AN UNATTENDED SYSTEM WHICH PROVIDES VISUAL GLIDE SLOPE GUIDANCE TO PILOTS OF AIRCRAFT DURING THE FINAL LANDING APPROACH. THE PAPI SYSTEM PROVIDES THIS INFORMATION DURING THE DAY AND NIGHT FOR VISUAL FLIGHT RULES (VFR) AND INSTRUMENT FLIGHT RULES (IFR) OPERATIONS AS LOW AS CATEGORY I CONDITIONS.</t>
  </si>
  <si>
    <t>OPTICAL LANDING AIDS</t>
  </si>
  <si>
    <t>OPTICAL LANDING AIDS PROVIDE THE PILOT APPROACHING FOR A LANDING WITH A VISUAL SIGNAL TO ASSIST IN INTERCEPTING AND MAINTAINING THE CORRECT APPROACH GLIDE SLOPE. THE OLA IS A REQUIRED VISUAL AID FOR LANDINGS ON AIRCRAFT CARRIERS, BUT ON SHORE-BASED AIRFIELDS THE OLA IS PRIMARILY AN AID FOR TRAINING OR PRACTICE. THE OLA MAY BE USED DURING DAY OR NIGHT OPERATIONS AND IN ALL WEATHER CONDITIONS.</t>
  </si>
  <si>
    <t>WIND DIRECTION INDICATOR</t>
  </si>
  <si>
    <t>A WIND DIRECTION INDICATOR PROVIDES VISUAL INFORMATION OF THE SURFACE WIND DIRECTION AND GENERAL INDICATION OF THE WIND SPEED TO THE AIRCREW. THIS WIND INFORMATION IS MOST USEFUL DURING TAKEOFF, FOR ORIENTATION TO MAKE AN APPROACH, AND IN THE FINAL PHASE OF APPROACH PRIOR TO TOUCHDOWN.</t>
  </si>
  <si>
    <t>RUNWAY DISTANCE MARKERS</t>
  </si>
  <si>
    <t>THE PURPOSE OF RUNWAY DISTANCE MARKERS IS TO INDICATE TO AIRCREWS THE DISTANCE REMAINING TO THE END OF THE RUNWAY DURING TAKEOFF AND LANDING. THE RDM PROVIDE THIS INFORMATION FOR DAY AND NIGHT OPERATIONS IN ALL WEATHER CONDITIONS. THE RDM SHOULD BE PROVIDED FOR ALL RUNWAYS WHERE FIXED WING JET AIRCRAFT OPS ARE CONDUCTED AND ARE RECOMMENDED FOR RUNWAYS INTENDED FOR OPS OF PROPELLER TYPE AIRCRAFT.</t>
  </si>
  <si>
    <t>VOR/TACAN CHECK SIGN</t>
  </si>
  <si>
    <t>A VOR/TACAN CHECK SIGN PROVIDES INFORMATION FOR THE PILOT WHEN VERIFYING THE OPERATION OF THE NAVIGATIONAL AID IN THE AIRCRAFT BEFORE TAKING OFF. THIS CHECK SIGN IS A VISUAL IDENTIFICATION MARKER ERECTED IN THE AREA ADJACENT TO THE AIRCRAFT HOLDING POINT AT THE TAXIWAY ACCESS TO RUNWAY ENDS.</t>
  </si>
  <si>
    <t>RADAR TOWER</t>
  </si>
  <si>
    <t>RADAR TOWERS ARE TOWERS HOSTING VARIOUS RADAR SYSTEMS AND MUST BE PLANNED ON AN INDIVIDUAL BASIS. RECORD ONLY THE RADAR TOWERS.  FOUNDATIONS, CONCRETE PADS, ETC., ARE RPIE TO THE TOWERS.  RADAR ASSETS THEMSELVES ARE EQUIPMENT.</t>
  </si>
  <si>
    <t>AVIATION METEOROLOGICAL FACILITY</t>
  </si>
  <si>
    <t>WEATHER FORECASTING FACILITY THAT SUPPORTS AIR OPERATIONS.</t>
  </si>
  <si>
    <t>COMMUNICATION LINES OTHER THAN TELEPHONE</t>
  </si>
  <si>
    <t>MI</t>
  </si>
  <si>
    <t>COMMUNICATIONS CABLING, FIBER/COPPER ABOVE GROUND</t>
  </si>
  <si>
    <t>COMMUNICATION LINES PROVIDE CIRCUITS BETWEEN THE VARIOUS ACTIVITIES ON OR OFF THE STATION. THE COMMUNICATIONS NET MAY INCLUDE TRUNK LINE SERVICE CABLE, FEEDER LINES, AND DIRECT CIRCUITS DEPENDING ON THE COMPLEXITY OF THE SYSTEM.</t>
  </si>
  <si>
    <t>FIBER OPTIC COMMUNICATIONS LINES, UNDERGROUND IN CONDUIT</t>
  </si>
  <si>
    <t>COMMUNICATIONS CABLING, FIBER/COPPER BELOW GROUND</t>
  </si>
  <si>
    <t>NON-ARMORED OM-2 SINGLEMODE FIBER OPTIC CABLES INSTALLED INSIDE AN UNDERGROUND DUCT.</t>
  </si>
  <si>
    <t>FIBER OPTIC COMM LINES, NON-CONDUCTIVE RISER RATED</t>
  </si>
  <si>
    <t>NON-ARMORED OM-3 MULTIMODE FIBER OPTIC CABLES INSTALLED INSIDE AN UNDERGROUND DUCT.</t>
  </si>
  <si>
    <t>FIBER OPTIC COMMUNICATIONS LINES, OUTSIDE PLANT, ARMORED</t>
  </si>
  <si>
    <t>SINGLEMODE OR MULTIMODE OR MIXED MODE FIBER RATED FOR INDOOR AND OUTDOOR USE FOR CAMPUS AND/OR BUILDING BACKBONE INSTALLED IN RISER, CONDUIT, DUCTS OR DIRECT BURIED.</t>
  </si>
  <si>
    <t>OPTICAL GROUND WIRE</t>
  </si>
  <si>
    <t>OPTICAL GROUND WIRE FOR ELECTRICAL POWER AND OPTICAL COMMUNICATION BETWEEN POWER SUBSTATIONS IN SUPPORT OF RELAY INTERCONNECTS.</t>
  </si>
  <si>
    <t>TELEPHONE LINES</t>
  </si>
  <si>
    <t xml:space="preserve">COMMUNICATION LINES, TO INCLUDE OVERHEAD, UNDERGROUND, AND MARINE CABLES AND LINES. </t>
  </si>
  <si>
    <t>FIBER OPTIC COMM LINES, OUTSIDE PLANT, MARINIZED</t>
  </si>
  <si>
    <t>UNDERWATER GRADE REINFORCED COMPOSITE FIBER CABLE USED IN AQUATIC CONDITIONS.</t>
  </si>
  <si>
    <t>COPPER COMMUNICATIONS LINES, OUTSIDE PLANT, GEL FILLED</t>
  </si>
  <si>
    <t>INDOOR AND OUTDOOR USE FOR CAMPUS AND/OR BUILDING BACKBONE COPPER CABLE INSTALLED IN RISER, CONDUIT, DUCTS OR DIRECT BURIED. NOTE: FOR LEGACY COPPER COAX CCTV AND CATV DISTRIBUTION LINES, USE CCN 75036.</t>
  </si>
  <si>
    <t>COPPER COMMUNICATIONS LINES, OUTSIDE PLANT, AIR CORE</t>
  </si>
  <si>
    <t>UNDERWATER GRADE REINFORCED COMPOSITE, DOUBLE ARMORED SHEATH FIBER CABLE USED IN AQUATIC CONDITIONS. NOTE: FOR LEGACY COPPER COAX CCTV AND CATV DISTRIBUTION LINES, USE CCN 75036.</t>
  </si>
  <si>
    <t>COPPER COMMUNICATION LINES, OSP MARINIZED</t>
  </si>
  <si>
    <t>COMMUNICATIONS CABLING, UNDERWATER/MARINIZED</t>
  </si>
  <si>
    <t>UNDERWATER GRADE REINFORCED COMPOSITE COPPER CABLE USED IN AQUATIC CONDITIONS. NOTE: FOR LEGACY COPPER COAX CCTV AND CATV DISTRIBUTION LINES, USE CCN 75036.</t>
  </si>
  <si>
    <t>COPPER COMMUNICATIONS LINES, OUTSIDE PLANT, ARMORED</t>
  </si>
  <si>
    <t>BULK COPPER CABLE DESIGNED FOR DIRECT BURIAL CONDITION INSTALLED DIRECTLY IN OR ABOVE GROUND WITHOUT CONDUIT. NOTE: FOR LEGACY COPPER COAX CCTV AND CATV DISTRIBUTION LINES, USE CCN 75036.</t>
  </si>
  <si>
    <t>APPROACH LIGHTING</t>
  </si>
  <si>
    <t>AIRFIELD PAVEMENT LIGHTING</t>
  </si>
  <si>
    <t>APPROACH LIGHTING ENHANCES THE AIRCREW?S ABILITY TO ACQUIRE THE RUNWAY ENVIRONMENT VISUALLY WHEN MAKING AN APPROACH FOR LANDING DURING PERIODS OF REDUCED VISIBILITY. VISUAL CUES FOR DIRECTIONAL AND ROLL GUIDANCE ARE PROVIDED TO THE AIRCREW FOR OPERATIONS AT NIGHT AND IN MARGINAL WEATHER CONDITIONS BY DAY. THE SYSTEM INCLUDES BOTH APPROACH LIGHTS AND SEQUENCED FLASHERS.</t>
  </si>
  <si>
    <t>APRON AND PARKING AREA LIGHTING AND MARKINGS</t>
  </si>
  <si>
    <t>APRON AND PARKING AREA LIGHTING ENABLES THE AIRCREW TO GUIDE THEIR AIRCRAFT INTO POSITION FOR LOADING, SERVICING, OR PARKING AND PROVIDES ILLUMINATION TO PERFORM SUCH FUNCTIONS AS FUELING, MAINTENANCE, LOADING, UNLOADING, AND SECURITY.</t>
  </si>
  <si>
    <t>RUNWAY EDGE LIGHTING AND MARKINGS AND CIRCLING GUID LTG</t>
  </si>
  <si>
    <t>THIS CATEGORY CODE INCLUDES TWO GROUPS OF LIGHTS, RUNWAY EDGE LIGHTS, WHICH DEFINE THE LATERAL LIMITS OF THE PAVEMENT, AND CIRCLING GUIDANCE LIGHTS (CGLS), WHICH ENABLE AN AIRBORNE AIRCREW TO LOCATE THE RUNWAY WHILE OFF TO THE SIDE OF THE RUNWAY, AND ESTABLISH THE PROPER TRAFFIC PATTERN.</t>
  </si>
  <si>
    <t>RUNWAY CENTERLINE LIGHTING AND MARKINGS</t>
  </si>
  <si>
    <t>RUNWAY CENTERLINE LIGHTING PROVIDES VISUAL AID TO ASSIST THE AIRCREW IN KEEPING THE AIRCRAFT CENTERED ON THE RUNWAY DURING TAKE-OFF AND AFTER LANDING AT NIGHT OR IN CONDITION OF REDUCED VISIBILITY. IT IS A SUPPLEMENT TO RUNWAY EDGE LIGHTING AND MARKINGS AND CIRCLING GUIDANCE LIGHTING, CATEGORY CODE 136 30.</t>
  </si>
  <si>
    <t>SIMULATED CARRIER DECK LIGHTING</t>
  </si>
  <si>
    <t>AIRFIELD LIGHTING</t>
  </si>
  <si>
    <t>A SIMULATED CARRIER DECK IS USED TO TRAIN PILOTS ASHORE FOR LANDING AIRCRAFT UNDER SIMULATED CONDITIONS OF A CARRIER AT SEA. SIMULATED CARRIER DECK LIGHTING AND MARKINGS PERMITS TRAINING DURING THE DAY, NIGHT, AND ADVERSE VISIBILITY CONDITIONS.</t>
  </si>
  <si>
    <t>WHEELS UP /  WAVE OFF LIGHTING</t>
  </si>
  <si>
    <t>WHEELS-UP AND WAVE-OFF LIGHTS ARE PROVIDED TO ALLOW EITHER THE WHEEL WATCH, THE LANDING SIGNAL OFFICER (LSO), OR CONTROL TOWER PERSONNEL TO DETERMINE IF A LANDING AIRCRAFT HAS ITS LANDING GEAR FULLY EXTENDED AND/OR TO SIGNAL TO AN AIRCREW TO ABORT OR ?WAVE-OFF? A LANDING ATTEMPT.</t>
  </si>
  <si>
    <t>TAXIWAY LIGHTING AND MARKINGS</t>
  </si>
  <si>
    <t>TAXIWAY LIGHTING AND MARKINGS DEFINE THE LATERAL LIMITS AND DIRECTION OF A TAXIWAY, CATEGORY CODE 112-10, TO GUIDE AIRCRAFT MOVEMENT BETWEEN THE RUNWAY OPERATIONAL AREA AND THE AIRCRAFT PARKING AREA DURING NIGHT OPERATIONS OR CONDITIONS OF POOR VISIBILITY.</t>
  </si>
  <si>
    <t>TOUCHDOWN ZONE LIGHTING</t>
  </si>
  <si>
    <t>TOUCHDOWN ZONE LIGHTING DELINEATES THE TOUCHDOWN ZONE AND PROVIDES DIRECTIONAL AND ROLL GUIDANCE FOR AIRCRAFT APPROACHING THE THRESHOLD. IT PROVIDES VISUAL CUES FOR MORE ACCURATELY CENTERING THE AIRCRAFT ON THE RUNWAY, ADJUSTING ATTITUDE FOR TOUCHDOWN, AND DETERMINING THE TOUCHDOWN POSITION. THE LIGHTING CONSISTS OF BARS OF WHITE LIGHTS IN THE PAVEMENT ON EACH SIDE OF THE RUNWAY CENTERLINE.</t>
  </si>
  <si>
    <t>THRESHOLD LIGHTING AND MARKINGS</t>
  </si>
  <si>
    <t>THRESHOLD LIGHTING IS A SYSTEM OF LIGHTS DEFINING THE ENDS OF THE USABLE RUNWAY SURFACE. THEY INCLUDE THRESHOLD LIGHTS, DISPLACED THRESHOLD LIGHTS, RUNWAY END IDENTIFICATION LIGHTS (REIL) AND RUNWAY END LIGHTS. THE THRESHOLD LIGHTS ARE DISPLACED FROM THE EXTREMITY OF THE RUNWAY WHEN A PORTION IS UNAVAILABLE FOR NORMAL OPERATIONS</t>
  </si>
  <si>
    <t>HELIPORT LIGHTING AND MARKINGS</t>
  </si>
  <si>
    <t>HELIPORT LIGHTING IS A SYSTEM OF LIGHTS ARRANGED TO CLEARLY DEFINE THE HELICOPTER LANDING PAD FOR OPERATIONS AT NIGHT AND DURING PERIODS OF POOR VISIBILITY. HELIPORT LIGHTING INCLUDES ALL VISUAL REFERENCE ASPECTS OF THE APPROACH AND LANDING OF ROTARY WING AIRCRAFT. THIS INCLUDES VISUAL AIDS, MARKINGS, PERIMETER AND APPROACH LIGHTS, AND RUNWAY AND TAXIWAY LIGHTS.</t>
  </si>
  <si>
    <t>LIGHTHOUSE</t>
  </si>
  <si>
    <t>CP</t>
  </si>
  <si>
    <t>SHIP NAVIGATION BUILDING</t>
  </si>
  <si>
    <t>HARBOR MASTER OPERATIONS</t>
  </si>
  <si>
    <t>SHIP NAVIGATION AND TRAFFIC AIDS BUILDINGS</t>
  </si>
  <si>
    <t>A LIGHTHOUSE IS A BUILDING THAT HOUSES A NAVIGATION BEACON THAT MAY EMIT LIGHT, SOUND, RADIO, RADAR, OR A COMBINATION THEREOF. IT MAY BE ONSHORE OR OFFSHORE. CONSTRUCTION IS DONE OVERSEAS WHEN APPROPRIATE BY THE NAVAL FACILITIES ENGINEERING COMMAND.</t>
  </si>
  <si>
    <t>BEACON - SHIP</t>
  </si>
  <si>
    <t>SHIP NAVIGATION FACILITY</t>
  </si>
  <si>
    <t>SHIP NAVIGATION AND TRAFFIC AIDS OTHER THAN BUILDINGS</t>
  </si>
  <si>
    <t>THE U.S. COAST GUARD HAS SPECIFIC JURISDICTION OVER ALL AIDS TO NAVIGATION (DAY BEACONS, BUOYS, FOGHORNS, ETC.,) IN THE CONTINENTAL UNITED STATES AND IN ALL OUTLYING TERRITORIES AND POSSESSIONS. DAY BEACONS ARE UNLIGHTED STRUCTURES USED TO MARK ISOLATED DANGERS OR CHANNELS, EDGES, OR ALIGNMENT.</t>
  </si>
  <si>
    <t>NAVIGATION AID TARGET</t>
  </si>
  <si>
    <t>THIS CATEGORY CODE IS TO BE USED FOR NAVIGATIONAL AID TARGETS WHICH ARE A PART OF MARITIME NAVIGATIONAL AIDS.</t>
  </si>
  <si>
    <t>SHIP NAVIGATION ANTENNA TOWER</t>
  </si>
  <si>
    <t>THIS CATEGORY CODE IS TO BE USED FOR ANTENNAS OR ANTENNA SYSTEMS WHICH ARE A PART OF MARITIME NAVIGATIONAL AIDS. RECORD ONLY THE ANTENNA TOWERS.  FOUNDATIONS, CONCRETE PADS, ETC., ARE RPIE TO THE TOWERS.  ANTENNAS THEMSELVES ARE EQUIPMENT. SEE ALSO CCNS 13210 AND 13410 TO ENSURE CORRECT CCN APPLICATION.</t>
  </si>
  <si>
    <t>AIR PASSENGER TERMINAL</t>
  </si>
  <si>
    <t>AVIATION OPERATIONS BUILDING</t>
  </si>
  <si>
    <t>PASSENGER/CARGO TERMINAL</t>
  </si>
  <si>
    <t>AIRFIELD OPERATIONAL BUILDINGS</t>
  </si>
  <si>
    <t>THE AIR PASSENGER TERMINAL PROVIDES FACILITIES FOR PROCESSING AUTHORIZED PASSENGERS AND THEIR BAGGAGE AND FOR PROCESSING INCIDENTAL FREIGHT. SPACE IS PROVIDED IN THE TERMINAL FOR THE FOLLOWING FUNCTIONAL AREAS: ADMINISTRATIVE SPACE, BAGGAGE CLAIM ROOM, CHECK-IN COUNTER, MINOR FREIGHT STORAGE, INFORMATION COUNTER, AND WAITING LOUNGE WITH FOOD CONCESSIONS.</t>
  </si>
  <si>
    <t>AIR CARGO TERMINAL</t>
  </si>
  <si>
    <t>AN AIR CARGO TERMINAL IS PLANNED FOR AIR STATIONS WHERE CARGO AND FREIGHT HANDLING EXCEEDS 10,000 POUNDS PER DAY. THE AIR CARGO TERMINAL IS SEPARATE FROM THE AIR PASSENGER TERMINAL  WHERE ONLY INCIDENTAL FREIGHT IS HANDLED. AIR CARGO TERMINAL FUNCTIONS INCLUDE RECEIPT OF PACKAGES, CONTROL DOCUMENTATION, PALLETIZATION, HOLDING FOR SHIPMENT, AIRCRAFT LOADING AND UNLOADING.</t>
  </si>
  <si>
    <t>COURIER STATION</t>
  </si>
  <si>
    <t>THIS FACILITY IS USED TO STORE AND DISSEMINATE CLASSIFIED MATERIAL FOR MISSION PLANNING, PILOT TRAINING AND BRIEFINGS IN SUPPORT OF ATTACK AIRCRAFT OPERATIONS.</t>
  </si>
  <si>
    <t>AIRCRAFT FIRE AND RESCUE STATION</t>
  </si>
  <si>
    <t>AIRFIELD FIRE AND RESCUE STATION</t>
  </si>
  <si>
    <t>THE AIRCRAFT FIRE AND RESCUE STATION PROVIDES FIRE AND EMERGENCY RESCUE PROTECTION FOR PILOTS AND AIRCRAFT. WHEN FEASIBLE, THE AIRCRAFT FIRE AND RESCUE STATION IS COMBINED WITH THE STRUCTURAL FIRE STATION (CATEGORY CODE 730 10) TO FORM ONE COMPLETE EMERGENCY FACILITY, CATEGORY CODE 141 25, COMBINED STRUCTURAL/ AIRCRAFT FIRE/RESCUE STATION.</t>
  </si>
  <si>
    <t>COMBINED STRUCTURAL / AIRCRAFT FIRE / RESCUE STATION</t>
  </si>
  <si>
    <t>A COMBINED STRUCTURAL/AIRCRAFT FIRE/RESCUE STATION IS PLANNED UNDER CERTAIN CONDITIONS TO SERVE THE FUNCTION OF A STRUCTURAL FIRE STATION (CATEGORY CODE 730 10) AND AN AIRCRAFT FIRE AND RESCUE STATIONS. FIRE AND RESCUE STATION.  THE COMBINED FACILITY IS PLANNED FOR A LOCATION THAT SATISFIES THE RESPONSE TIME AND DISTANCE REQUIREMENTS FOR BOTH THE STRUCTURAL FIRE AND THE AIRCRAFT FIRE.</t>
  </si>
  <si>
    <t>AIRCRAFT LINE OPERATIONS BUILDING</t>
  </si>
  <si>
    <t>THE AIRCRAFT LINE OPERATIONS BUILDING IS USED TO CENTRALIZE GROUND OPERATIONS OF THE FLIGHT LINE. THE BUILDING IS UTILIZED IN KEEPING OF SQUADRON DAILY FLIGHT BOOKS, AIRCRAFT STATUS BOARDS, AND BULLETIN BOARDS AND AS SUPPORT FOR LINE OPERATIONS PERSONNEL BY PROVIDING SHELTER, A WATER COOLER, AND A CHEMICAL TOILET.</t>
  </si>
  <si>
    <t>AIRCRAFT OPERATIONS BUILDING (EXCLUDES CONTROL TWRS 14170)</t>
  </si>
  <si>
    <t>AN AIRCRAFT OPERATIONS BUILDING IS PLANNED FOR ALL NAVY AIR STATIONS, AUXILIARY AIR STATIONS, AND AIR FACILITIES. THE BUILDING HOUSES THE ADMINISTRATION OF FLIGHT OPERATIONAL ACTIVITIES WITH ALL SUPPORTING FUNCTIONS INCLUDING FLIGHT CONTROL, COMMUNICATIONS, AND WEATHER SERVICES.</t>
  </si>
  <si>
    <t>MARINE AIR TRAFFIC CONTROL UNIT (MATCU) OPERATIONS BLDG</t>
  </si>
  <si>
    <t>THE MATCU PERFORMS A COMBINED FUNCTION SIMILAR TO THAT ACCOMPLISHED WITH GROUND CONTROL APPROACH (GCA) SYSTEM;  TACAN BUILDING; AND, AIR SURVEILLANCE RADAR (ASR) BUILDING. DEPENDING ON THE LEVEL OF AIRCRAFT OPERATIONS, THE MATCU OPERATIONS BUILDING MAY PROVIDE THE SOLE GCA SUPPORT AT AN AIR INSTALLATION OR MAY SUPPLEMENT AND BE IN ADDITION TO PERMANENT ASR, TACAN, AND GCA FACILITIES</t>
  </si>
  <si>
    <t>AIR INTELLIGENCE SUPPORT CENTER</t>
  </si>
  <si>
    <t>OPERATIONS, INTELLIGENCE, SURVEILLANCE &amp; RECONNAISSANCE</t>
  </si>
  <si>
    <t>VISUAL INFORMATION FACILITY</t>
  </si>
  <si>
    <t>PHOTO/TV PRODUCTION BUILDING</t>
  </si>
  <si>
    <t>HEADQUARTERS &amp; ADMINISTRATIVE</t>
  </si>
  <si>
    <t>A PHOTOGRAPHIC BUILDING IS PLANNED TO SUPPORT THE PHOTOGRAPHIC MISSION OF AN ACTIVITY. IT PROVIDES THE LABORATORY COMPLETE WITH EQUIPMENT AND STORAGE THAT APPLIES TO THE SPECIFIC MISSION.</t>
  </si>
  <si>
    <t>FLEET RECONAISSANCE PHOTOGRAPHIC LABORATORY</t>
  </si>
  <si>
    <t>A FLEET RECONNAISSANCE PHOTOGRAPHIC LABORATORY IS PLANNED ONLY WHERE THE STATION SUPPORTS THE MISSION OF PHOTOGRAPHIC RECONNAISSANCE SQUADRONS AND THERE IS NO PHOTOGRAPHIC BUILDING (CATEGORY CODE 141 60) TO PROVIDE THE SUPPORT.</t>
  </si>
  <si>
    <t>CONTROL TOWER (ATTACHED OR FREE-STANDING)</t>
  </si>
  <si>
    <t>AIR CONTROL TOWER</t>
  </si>
  <si>
    <t>A CONTROL TOWER PROVIDES SPACE FOR EQUIPMENT AND PERSONNEL TO CONTROL AIRCRAFT TRAFFIC. IT IS AN ELEVATED BUILDING HAVING AN UNOBSTRUCTED LINE-OF SIGHT TO THE AIRFIELD APPROACH AREAS, RUNWAYS, TAXIWAYS, AIRCRAFT PARKING AREAS, AND ALL OTHER AREAS OVER WHICH AIRCRAFT MOVEMENTS MUST BE CONTROLLED.</t>
  </si>
  <si>
    <t>GROUND CONTROL APPROACH CREW FACILITY</t>
  </si>
  <si>
    <t>THE GROUND CONTROL APPROACH (GCA) CREW FACILITY PROVIDES A READY ROOM FOR ON DUTY PERSONNEL ASSIGNED TO THE GCA VAN. THE FACILITY CONSISTS OF TWO (2) STANDARD DESIGN SKID-MOUNTED SHELTERS (EACH 12 FEET BY 20 FEET). THE CREW FACILITY IS AUTHORIZED WHENEVER THE MOBILE GCA UNIT IS FURNISHED.</t>
  </si>
  <si>
    <t>FULL PRESSURE SUIT FACILITY</t>
  </si>
  <si>
    <t>AIRCRAFT RPR, MAINT &amp; MODIFICATION</t>
  </si>
  <si>
    <t>INTER/DEPOT LEVEL MAINT</t>
  </si>
  <si>
    <t>PRESSURE SUIT MAINTENANCE PERFORMED UNDER THIS CATCODE, NORMALLY IN THE PARACHUTE AND SURVIVAL EQUIPMENT SHOP (CATEGORY CODE 211 34). SPECIAL JUSTIFICATION IS REQUIRED TO PROVIDE A SEPARATE FACILITY FOR THIS PURPOSE.</t>
  </si>
  <si>
    <t>LIQUID OXYGEN / NITROGEN FACILITY (NON-INDUSTRIAL)</t>
  </si>
  <si>
    <t>LIQUID OXYGEN STORAGE</t>
  </si>
  <si>
    <t>A LIQUID OXYGEN/NITROGEN FACILITY IS REQUIRED AT EACH NAVY AND MARINE CORPS AIR STATION WHERE 50 OR MORE ATTACK AND FIGHTER-TYPE AIRCRAFT ATE ASSIGNED. THE FACILITY PROVIDES FOR STORAGE, VAPORIZATION, AND TRANSFER OF NON-INDUSTRIAL OXYGEN AND NITROGEN AND FOR TEST AND REPAIR OF CRYOGENIC EQUIPMENT ASSOCIATED WITH AVIATOR AND AIRCRAFT SUPPORT.</t>
  </si>
  <si>
    <t>HARDENED AIRCRAFT SHELTER</t>
  </si>
  <si>
    <t>AIRCRAFT SHELTER, HARDENED</t>
  </si>
  <si>
    <t>AIRCRAFT HANGAR</t>
  </si>
  <si>
    <t>A REINFORCED HANGAR OR SHELTER USED TO PROTECT AIRCRAFT FROM ATTACK AND OFTEN USED IN FORWARD DEPLOYED LOCATIONS.</t>
  </si>
  <si>
    <t>HELIUM PROCESSING PLANT BUILDING</t>
  </si>
  <si>
    <t>HELIUM PRODUCTION/STORAGE BUILDING</t>
  </si>
  <si>
    <t>HELIUM PLANTS AND STORAGE</t>
  </si>
  <si>
    <t>A BUILDING FOR THE RECEIPT, BULK STORAGE, PROCESSING, AND DISPENSING OF HELIUM GAS.  INCLUDED ARE TANKS, VALVES, VALVE CHAMBERS, AND SIMILAR EQUIPMENT.</t>
  </si>
  <si>
    <t>HELIUM STORAGE BUILDING</t>
  </si>
  <si>
    <t>A BUILDING FOR THE STORAGE OF BULK HELIUM GAS.</t>
  </si>
  <si>
    <t>HELIUM STORAGE FACILITY</t>
  </si>
  <si>
    <t>A FACILITY, OTHER THAN A BUILDING, FOR THE BULK STORAGE OF HELIUM GAS.</t>
  </si>
  <si>
    <t>EXPEDITIONARY OPS BOAT MAINTENANCE REPAIR FACILITY</t>
  </si>
  <si>
    <t>MARINE MAINTENANCE SHOP</t>
  </si>
  <si>
    <t>SHIP RPR, MAINT &amp; MODIFICATION</t>
  </si>
  <si>
    <t>SHIP OPERATIONAL BUILDINGS</t>
  </si>
  <si>
    <t>AN EXPEDITIONARY OPERATIONS BOAT MAINTENANCE FACILITY PROVIDES SPACES FOR EXPEDITIONARY UNITS TO PERFORM CONTINUOUS MAINTENANCE ON BOATS. THE FACILITY WILL PROVIDE MAINTENANCE BAYS, A TOOL ROOM, PARTS ROOM, OILY WATER SEPARATOR SYSTEM, OVERHEAD CRANE, AND ADMINISTRATIVE SUPPORT SPACE.</t>
  </si>
  <si>
    <t>EXPEDITIONARY OPS SUPPORT FACILITY</t>
  </si>
  <si>
    <t>AMPHIBIOUS OPERATIONS</t>
  </si>
  <si>
    <t>EXPEDITIONARY OPS</t>
  </si>
  <si>
    <t>AN EXPEDITIONARY OPERATIONS SUPPORT MODULE (EOSM) PROVIDES SPACES FOR THE FOLLOWING: ADMIN, MEDICAL, MISSION PLANNING CELL (MAY OR MAY NOT BE PART OF SCIF), TRAINING CLASSROOMS, ARMORY, STORAGE, AND LOCKER AND SHOWER SPACES.</t>
  </si>
  <si>
    <t>EMERGENCY VEHICLE GARAGE</t>
  </si>
  <si>
    <t>AMBULANCE SHELTER</t>
  </si>
  <si>
    <t>THIS IS A BUILDING FOR OFFICIAL EMERGENCY AND ALERT VEHICLES, SUCH AS AN AMBULANCE. IT IS JUSTIFIED IN INSTANCES WHEN IMMEDIATE RESPONSE REQUIRED BY SPECIAL WATERFRONT OPERATIONAL VEHICLE.</t>
  </si>
  <si>
    <t>OPERATIONAL VEHICLE GARAGE</t>
  </si>
  <si>
    <t>AN OPERATIONAL VEHICLE GARAGE IS USED FOR THE STORAGE OF VEHICLES WHICH ARE NOT UTILIZED ON A DAILY BASIS AND WHICH ARE EXPOSED TO ADVERSE WEATHER CONDITIONS THAT WOULD HAVE A DETRIMENTAL EFFECT UPON THEM IF STORED OUT IN THE OPEN. ACCORDINGLY, THE TYPE OF VEHICLE STORED, FREQUENCY OF USE AND CLIMATIC CONDITIONS, WILL DETERMINE WHETHER THIS TYPE OF FACILITY IS WARRANTED.</t>
  </si>
  <si>
    <t>OPERATIONAL VEHICLE LAYDOWN AREA</t>
  </si>
  <si>
    <t>VEHICLE STAGING AREA, SURFACED</t>
  </si>
  <si>
    <t>EQUIPMENT LAYDOWN</t>
  </si>
  <si>
    <t>AN OPERATIONAL VEHICLE PARKING AND/OR LAYDOWN AREA CONSISTS OF AN ASPHALT OR CONCRETE PAVED AREA LARGE ENOUGH TO STORE AND PROVIDE CIRCULATION FOR THE VEHICLES AND EQUIPMENT FOR WHICH THE COMMAND IS RESPONSIBLE.</t>
  </si>
  <si>
    <t>OPERATIONAL VEHICLE/EQUIPMENT CANOPY</t>
  </si>
  <si>
    <t>AN OVERHEAD COVER USED BY NAVY AND MARINE CORPS EXPEDITIONARY UNITS TO PROTECT VEHICLES AND EQUIPMENT FROM THE WEATHER.</t>
  </si>
  <si>
    <t>RANGE OPERATIONS CENTER</t>
  </si>
  <si>
    <t>RANGE SUPPORT BUILDING</t>
  </si>
  <si>
    <t>TRAINING AREAS, RANGES, COURSES, MOCK-UPS</t>
  </si>
  <si>
    <t>TRAINING</t>
  </si>
  <si>
    <t>A RANGE OPERATIONS CENTER IS THE CONTROL POINT FOR TESTING TORPEDOES, CALIBRATING SHIPS? FIRING SYSTEMS, AND TRAINING PILOTS AND TESTING AIRCRAFT ON GUNNERY AND BOMBING RANGES. THE CENTER WILL VARY WITH THE EQUIPMENT AND CONTROL AREAS REQUIRED. STANDARD PLANNING FACTORS FOR A CENTER ARE NOT AVAILABLE. ITS SIZE MUST BE PLANNED TO SUPPORT THE EQUIPMENT AND CONTROL AREAS TO BE HOUSED.</t>
  </si>
  <si>
    <t>SPACE SURVEILLANCE FACILITY</t>
  </si>
  <si>
    <t xml:space="preserve">FACILITIES TYPICALLY SUPPORT GLOBAL SPACE SURVEILLANCE NETWORK WHICH DETECTS, TRACKS, IDENTIFIES, AND CATALOGS MAN-MADE OBJECTS IN SPACE AND PROVIDES POSITION INFORMATION ON THESE OBJECTS. REQUIREMENTS ARE DETERMINED BY NAVAL NETWORK AND SPACE OPERATIONS COMMAND. </t>
  </si>
  <si>
    <t>ORDNANCE OPERATIONS BUILDING</t>
  </si>
  <si>
    <t>ORDNANCE/MUNITIONS REPAIR, MAINT &amp; MODIFICATION</t>
  </si>
  <si>
    <t>AN ORDNANCE OPERATIONS BUILDING IS AUTHORIZED WHERE THERE IS A NEED TO CONTROL AN ORDNANCE OPERATION. ORDNANCE OPERATIONS ARE THOSE INVOLVING AMMUNITION STORAGE, HANDLING OR DISPOSAL AND ORGANIZATIONAL LEVEL MAINTENANCE. THE FACILITIES WHOSE PRIMARY FUNCTION IS ORDNANCE MAINTENANCE, INTERMEDIATE LEVEL AND ABOVE, ARE ADDRESSED IN THE 200 SERIES CATEGORY CODES.</t>
  </si>
  <si>
    <t>AMMUNITION SEGREGATION FACILITY</t>
  </si>
  <si>
    <t>OPERATIONS SUPPLY BUILDING</t>
  </si>
  <si>
    <t>ORDNANCE SECURITY</t>
  </si>
  <si>
    <t>A SEGREGATION FACILITY IS A BUILDING OR SERIES OF BUILDINGS WHERE FLEET RETURN EXPLOSIVE AND INERT MATERIAL ARE SCREENED AND GROUPED BY TYPE AND PHYSICAL CONDITION.</t>
  </si>
  <si>
    <t>NAVY EXPLOSIVE ORDNANCE DISPOSAL SHORE DETACHMENT</t>
  </si>
  <si>
    <t>THIS FACILITY PROVIDES SUPPORT FOR EOD SHORE DETACHMENTS PERMANENTLY ASSIGNED TO NAVY INSTALLATIONS.</t>
  </si>
  <si>
    <t>NAVY EXPLOSIVE ORDNANCE DISPOSAL MOBILE UNIT (EODMU)</t>
  </si>
  <si>
    <t xml:space="preserve">A FACILITY THAT SUPPORTS EXPLOSIVE ORDNANCE DISPOSAL MOBILE UNITS. EODMUS ARE RESPONSIBLE FOR MANNING, EQUIPPING AND TRAINING OF ANY NUMBER OF DEPLOYABLE EOD DETACHMENTS: MOBILE DETACHMENTS, AREA SEARCH DETACHMENTS, ORDNANCE CLEARANCE DETACHMENTS, MOBILE COMMUNICATIONS DETACHMENTS, COMBAT SERVICE SUPPORT DETACHMENTS, FLY AWAY RECOMPRESSION CHAMBER DETACHMENTS, MINE COUNTER MEASURES DETACHMENTS </t>
  </si>
  <si>
    <t>MARINE CORPS EXPLOSIVE ORDNANCE DISPOSAL FACILITY</t>
  </si>
  <si>
    <t>THESE FACILITIES PROVIDE SUPPORT FOR MARINE CORPS EOD SHORE TEAMS AND PLATOONS PERMANENTLY ASSIGNED TO MARINE CORPS INSTALLATIONS. THE MANNING STRUCTURE FOR EOD TEAMS AND PLATOONS HAS INCREASED AND IS REFLECTED BELOW IN CATEGORY CODES 143 24 AND 143 26.</t>
  </si>
  <si>
    <t>SEAL TEAM BUILDING</t>
  </si>
  <si>
    <t>SPECIAL FORCES SUPPORT</t>
  </si>
  <si>
    <t>THIS FACILITY IS FOR THE SUPPORT OF SEAL TEAMS. THE REQUIREMENTS FOR THESE FACILITIES ARE DEVELOPED BY AN INDUSTRIAL ANALYSIS FOR THE SPECIFIC FACILITY. SEE CATEGORY CODE 610 10 FOR ADMINISTRATIVE SPACE GUIDELINES AND CATEGORY CODE 159 64 FOR WATERFRONT OPERATIONS BUILDING GUIDELINES.</t>
  </si>
  <si>
    <t>MARINE CORPS EXPLOSIVE ORDNANCE DISPOSAL PLATOON FACILITY</t>
  </si>
  <si>
    <t>THIS FACILITY IS RESPONSIBLE FOR MANNING, EQUIPPING, AND TRAINING FOR EOD OPERATIONS IN SUPPORT OF FLEET MARINE FORCES.</t>
  </si>
  <si>
    <t>REGISTERED PUBLICATIONS ISSUING OFFICE</t>
  </si>
  <si>
    <t>A REGISTERED PUBLICATIONS ISSUING OFFICE (RPIO) HAS A PRIMARY MISSION OF SUPPORTING COMMUNICATIONS OPERATIONS OF THE FLEET, NAVAL AVIATION, U.S. MARINE CORPS, AND THE U.S. COAST GUARD. RPIO?S RECEIVE, STORE, ISSUE, ACCOUNT FOR, AND-OFFICIATE DURING THE DESTRUCTION OF HIGHLY CLASSIFIED CRYPTOLOGICAL PUBLICATIONS, EQUIPMENT, AND DEVICES CIRCULATING IN THE REGISTERED PUBLICATIONS SYSTEM (RPS).</t>
  </si>
  <si>
    <t>AMPHIBIOUS OPERATIONS BUILDING</t>
  </si>
  <si>
    <t>SHIP OPERATIONS BUILDING</t>
  </si>
  <si>
    <t>ORGANIZATIONAL FACILITY FOR EXPEDITIONARY AMPHIBIOUS OPERATIONS.</t>
  </si>
  <si>
    <t>ARMORY</t>
  </si>
  <si>
    <t>SMALL ARMS STORAGE, INSTALLATION</t>
  </si>
  <si>
    <t>A NAVY INSTALLATION ARMORY PROVIDES SPACE FOR STORAGE AND ROUTINE MAINTENANCE OF SMALL ARMS AND EMERGENCY GEAR. THE MATERIALS STORED WILL PROVIDE FOR EMERGENCIES AND FOR TRAINING OF SELECTED PERSONNEL IN THE HANDLING OF STATION EMERGENCIES, CIVIL DISORDERS, AND AREA DISASTERS.</t>
  </si>
  <si>
    <t>MARINE BARRACKS - GENERAL PURPOSE BUILDING</t>
  </si>
  <si>
    <t>SECURITY FORCE BUILDING</t>
  </si>
  <si>
    <t>THE CRITERIA CONTAINED HEREIN ARE APPLICABLE TO CNO COMMANDED MARINE BARRACKS. THE PURPOSE OF THE MARINE BARRACKS IS TO PROVIDE SUCH SECURITY AS APPROVED BY THE CHIEF OF NAVAL OPERATIONS, IN COORDINATION WITH THE COMMANDANT OF THE MARINE CORPS, AND TO PERFORM SUCH ADDITIONAL FUNCTIONS AS DIRECTED BY CMC.</t>
  </si>
  <si>
    <t>ALERT FORCE BUILDING</t>
  </si>
  <si>
    <t>AN ALERT FORCE BUILDING IS PROGRAMMED IN CONJUNCTION WITH AN AIR/UNDERWATER WEAPONS SHOP, WHEN REQUIRED TO MEET THE ALERT FORCE RESPONSE TIMES ESTABLISHED FOR THE SHOP. THE ALERT FORCE BUILDING BARRACKS FACILITIES, INCLUDING LIMITED FACILITIES NECESSARY TO SUPPORT THE GUARD OF THE DAY FOR AN AUW SHOP. IT ALSO CONTAINS A DUTY OFFICE, PROVISION FOR WEAPONS STORAGE AND AN ALARM REPEATER PANEL.</t>
  </si>
  <si>
    <t>TRANSIT SHED</t>
  </si>
  <si>
    <t>COVERED STORAGE SHED, INSTALLATION</t>
  </si>
  <si>
    <t>A TRANSIT SHED IS PLANNED TO SUPPORT THE RAPID AND ORDERLY TRANSFER OF TRUCK AND RAIL FREIGHT IN SHIPMENT FROM ONE CARRIER TO ANOTHER WITH MINIMUM STORAGE. FOR A WATERFRONT TRANSIT SHED, SEE CATEGORY CODE 156 10. THE TRANSIT SHED IS OF THE MINIMUM DESIGN THAT WILL PROTECT THE FREIGHT FROM THE WEATHER AND PROVIDE ANY SECURITY NECESSARY.</t>
  </si>
  <si>
    <t>EXPLOSIVES,  SHIPPING / TRANSFER DEPOT</t>
  </si>
  <si>
    <t>AN EXPLOSIVES TRANSFER DEPOT IS A FACILITY USED TO TRANSFER BREAK-BULK AMMUNITION AND EXPLOSIVES BETWEEN AUTOMOTIVE VEHICLES AND RAILCARS FOR FURTHER SHIPMENT, OR FOR DELIVERY TO A STORAGE MAGAZINE, LOADING BUILDING, WATERFRONT OR AIRFIELD.</t>
  </si>
  <si>
    <t>REGION /INSTALLATION EMERGENCY OPERATIONS CENTER</t>
  </si>
  <si>
    <t>COMMAND &amp; CONTROL</t>
  </si>
  <si>
    <t>A REGION/INSTALLATION EMERGENCY OPERATIONS FACILITY IS A SHORE MISSION SPECIFIC COMMAND, CONTROL, AND COORDINATION (C3) AREA IN DIRECT SUPPORT OF THE OPERATIONAL MISSION OF A REGION/INSTALLATION NAVY OR MARINE CORPS ACTIVITY. THIS FACILITY CAN ALSO BE DESIGNATED AS A REGIONAL OPERATIONS CENTER (ROC), EMERGENCY CONTROL CENTER (ECC), OR EMERGENCY ACTION CENTER (EAC).</t>
  </si>
  <si>
    <t>RADIATION INSTRUMENT CALIBRATION FACILITY</t>
  </si>
  <si>
    <t>OPERATIONS SUPPORT LAB</t>
  </si>
  <si>
    <t>OTHER EQUIP RPR, MAINT &amp; MODIFICATION</t>
  </si>
  <si>
    <t>A HEALTH PHYSICS CALIBRATION BUILDING CONTAINS FACILITIES REQUIRED FOR CALIBRATION OF HEALTH PHYSICS SURVEY INSTRUMENTS AND AREA MONITORING DEVICES. THESE DEVICES ARE USED TO PROTECT PERSONNEL AGAINST IONIZING RADIATION FROM X-RAYS AND ATOMIC PARTICLES.</t>
  </si>
  <si>
    <t>POL OPERATIONS / SAMPLING / TESTING BUILDING</t>
  </si>
  <si>
    <t>THE POL OPERATION BUILDING PROVIDES SPACE REQUIRED FOR QUALITY CONTROL AND ADMINISTRATION OF FUEL ACTIVITY. SPACE IS PROVIDED IN THE BUILDING FOR AN ADMINISTRATIVE OFFICE, CONTROL/GAUGE MONITORING CENTER, AND FUELS TESTING LABORATORY. PHYSICAL OPERATION AND CONTROL OF THE FUEL SYSTEM WILL BE ACCOMPLISHED ELSEWHERE (SUCH AS THE PUMP HOUSE).</t>
  </si>
  <si>
    <t>OPERATIONAL STORAGE</t>
  </si>
  <si>
    <t>STORAGE &amp; WAREHOUSING</t>
  </si>
  <si>
    <t>OPERATIONAL STORAGE SUPPORTS MULTIPLE DEPARTMENTS/DIVISIONS WITHIN A COMMAND. IT IS UNDER THE CONTROL OF THE LOGISTICS AND SUPPLY DEPARTMENT. THIS CATEGORY CODE IS USED TO IDENTIFY AREAS USED FOR BULK STORAGE AREAS OF MAJOR END ITEMS, AND OPERATIONAL MATERIAL.</t>
  </si>
  <si>
    <t>OPERATIONAL HAZARDOUS / FLAMMABLE STORAGE</t>
  </si>
  <si>
    <t>THIS CATEGORY WILL BE USED TO PROVIDE A FACILITY FOR THE STORAGE OF MATERIALS USED IN DAILY OPERATIONS THAT REQUIRE SPECIAL ENVIRONMENTAL SEPARATION. THESE MATERIALS SUCH AS PAINT, ACETONE, OIL, ETC. ARE CONSIDERED TO BE HAZARDOUS AND/OR FLAMMABLE.</t>
  </si>
  <si>
    <t>MISSION OPERATION COMMAND AND CONTROL FACILITY</t>
  </si>
  <si>
    <t>EMERGENCY OPERATIONS CENTER / SCIF</t>
  </si>
  <si>
    <t>A MISSION OPERATION COMMAND AND CONTROL FACILITY IS A SPECIALIZED FACILITY THAT IS ONLY REQUIRED IN SELECT LOCATIONS TO SUPPORT THE OPERATIONS OF FORCE COMMANDERS AND FLEET COMMANDERS (E.G. US FLEET FORCES COMMANDER, PACIFIC FLEET) AND SELECTED OTHERS AS ESTABLISHED BY DOD. A MISSION OPERATION COMMAND AND CONTROL FACILITY MAY ALSO CONTAIN FACILITY REQUIREMENTS FOR TYPE COMMANDS (E.G. AIRLANT, SUBPAC), OPERATIONAL SUPPORT COMMANDS (E.G. CTF AND CTG) AND A MARITIME OPERATIONS CENTER (MOC).</t>
  </si>
  <si>
    <t>SECURE OPERATIONS FACILITY</t>
  </si>
  <si>
    <t>SECURE OPERTL, STORAGE, AND IT BUILDING</t>
  </si>
  <si>
    <t>GROUND OPERATIONAL BUILDINGS</t>
  </si>
  <si>
    <t>A SECURE AREA THAT CAN BE USED AS SECURE OPERATIONAL SPACE, SECURE STORAGE, OR ANY MIX OF BOTH.  IT MUST MEET INTELLIGENCE COMMUNITY DIRECTIVE (ICD) 705 STANDARDS AND CAN BE EITHER A SECURE BUILDING OR A SECURE SPACE WITHIN A BUILDING.</t>
  </si>
  <si>
    <t>JOINT RESERVE INTELLIGENCE CENTER</t>
  </si>
  <si>
    <t>JOINT RESERVE INTELLIGENCE CENTER (JRIC). A JRIC IS A JOINT INTELLIGENCE PRODUCTION AND TRAINING ACTIVITY THAT USES INFORMATION NETWORKS TO LINK RESERVIST INTELLIGENCE PERSONNEL, ACTIVE DUTY UNITS AND CONTRACTORS WITH THE COMBATANT COMMANDS, SERVICES, AND/OR COMBAT SUPPORT AGENCIES.</t>
  </si>
  <si>
    <t>SCALE HOUSE</t>
  </si>
  <si>
    <t>OPERATIONAL SUPPORT BUILDINGS</t>
  </si>
  <si>
    <t>A BUILDING THAT PROVIDES A PROTECTIVE ENCLOSURE FOR THE OPERATOR OF A VEHICLE/RAILCAR WEIGHING STATION.</t>
  </si>
  <si>
    <t>MISCELLANEOUS AIR OPS OR WATERFRONT OPS SUPPORT BUILDING</t>
  </si>
  <si>
    <t>MAINTENANCE SHOP</t>
  </si>
  <si>
    <t>THIS CATEGORY CODE IS USED TO CAPTURE ANY AIRFIELD OR WATERFRONT OPERATIONS SUPPORT BUILDINGS NOT CAPTURED UNDER OTHER CATEGORY CODES.</t>
  </si>
  <si>
    <t>SHIP PROPULSION SUPPORT FACILITY</t>
  </si>
  <si>
    <t>NUCLEAR PROPULSION SUPPORT FACILITY</t>
  </si>
  <si>
    <t>SHIP OPERATIONAL FACILITIES OTHER THAN BUILDINGS</t>
  </si>
  <si>
    <t xml:space="preserve"> A FACILITY, OTHER THAN A BUILDING, DIRECTLY RELATED TO SHIP PROPULSION OPERATIONS.  PLANNING AND PROGRAMMING FOR THIS FACILITY REQUIRES CONCURRENCE AND PLANNING GUIDANCE BY NAVSEA CODE 08 (POWER DIRECTORATE).</t>
  </si>
  <si>
    <t>SHIP WEAPONS HANDLING FACILITY</t>
  </si>
  <si>
    <t>NUCLEAR WEAPONS SUPPORT FACILITY</t>
  </si>
  <si>
    <t>A FACILITY, OTHER THAN A BUILDING, DIRECTLY RELATED TO SHIP WEAPONS HANDLING OPERATIONS.  PLANNING AND PROGRAMMING FOR THIS FACILITY PLEASE CONTACT DIRECTOR, STRATEGIC SYSTEMS PROGRAM (SSP) OFFICE.</t>
  </si>
  <si>
    <t>SPACE SURVEILLANCE ANTENNA</t>
  </si>
  <si>
    <t>MISSILE DEFENSE FACILITY</t>
  </si>
  <si>
    <t>REQUIREMENTS ARE DETERMINED BY NAVAL NETWORK AND SPACE OPERATIONS COMMAND. FACILITIES TYPICALLY SUPPORT GLOBAL SPACE SURVEILLANCE NETWORK WHICH DETECTS, TRACKS, IDENTIFIES, AND CATALOGS MAN-MADE OBJECTS IN SPACE AND PROVIDES POSITION INFORMATION ON THESE OBJECTS.</t>
  </si>
  <si>
    <t>ORDNANCE DEMOLITION AREA</t>
  </si>
  <si>
    <t>LIGHT DEMOLITION AND FLAME TRAINING RANGE</t>
  </si>
  <si>
    <t>AN ORDNANCE DEMOLITION (TREATMENT) AREA IS A LOCATION SPECIFICALLY DESIGNATED AND RESERVED FOR DESTROYING EXPLOSIVES AND EXPLOSIVES-LOADED DEVICES. THE FUNCTION TYPICALLY MEANS BURNING OR DETONATING EXPLOSIVES IN A BERMED OPEN BURN/OPEN DETONATION (OB/OD) AREA.</t>
  </si>
  <si>
    <t>EXPLOSIVE TRUCK HOLDING YARD</t>
  </si>
  <si>
    <t>MISCELLANEOUS PAVED AREA</t>
  </si>
  <si>
    <t>THIS YARD IS WHERE TRUCKS CONTAINING AMMUNITION AND/OR EXPLOSIVES ARE HELD FOR INTERIM PERIODS OF TIME PRIOR TO STORAGE OR SHIPMENT. SAFE HAVENS AND WHARF YARDS NEAR PIERS AND WHARVES SHOULD BE CATEGORIZED UNDER THIS FUNCTION. EACH FACILITY REQUIRES INDIVIDUAL JUSTIFICATION. DEPENDING ON LAND CONSTRAINTS AND EXPLOSIVE SAFETY CRITERIA THESE FACILITIES MAY OR MAY NOT BE BARRICADED.</t>
  </si>
  <si>
    <t>EXPLOSIVES RAILROAD CAR HOLDING YARD</t>
  </si>
  <si>
    <t>EXPLOSIVES RAILWAY HOLDING YARD</t>
  </si>
  <si>
    <t>THIS IS A TEMPORARY HOLDING AREA FOR RAILCARS CONTAINING ORDNANCE PRIOR TO STORAGE OR SHIPMENT. EACH FACILITY REQUIRES INDIVIDUAL JUSTIFICATION. DEPENDING ON LAND CONSTRAINTS AND EXPLOSIVE SAFETY CRITERIA THESE FACILITIES MAY OR MAY NOT BE BARRICADED. FOR CONTAINERIZED ORDNANCE USE CATEGORY CODE 148 35, CONTAINER HOLDING YARD.</t>
  </si>
  <si>
    <t>CONTAINER HOLDING YARD</t>
  </si>
  <si>
    <t>THIS IS AN OPEN AREA THAT PROVIDES A TEMPORARY HOLDING OR STAGING AREA FOR CONTAINERS LOADED WITH EXPLOSIVE ORDNANCE. WHARF YARDS NEAR PIERS AND WHARVES ARE ALSO DESCRIBED BY THIS FUNCTION.</t>
  </si>
  <si>
    <t>CONTAINER TRANSFER FACILITY (ORDNANCE)</t>
  </si>
  <si>
    <t>A CONTAINER TRANSFER FACILITY IS USED TO TRANSFER CONTAINERS BETWEEN RAIL FLATCARS AND TRUCK FLATBEDS OR CHASSIS, ON A PAVED HARDSTAND AREA, BY MEANS OF A BRIDGE CRANE OR CONTAINER HANDLING EQUIPMENT. SCALE EQUIPMENT SHOULD BE EXPECTED TO A PART OF THIS FUNCTION. THE AREA MAY BE BARRICADED OR UNBARRICADED.</t>
  </si>
  <si>
    <t>RAIL / TRUCK RECEIVING STATION (ORDNANCE)</t>
  </si>
  <si>
    <t>A RAIL/TRUCK RECEIVING STATION WEIGHS AND INSPECTS ALL INCOMING SHIPMENTS OF BREAK-BULK AND CONTAINERIZED ORDNANCE ARRIVING BY RAIL OR TRUCK AND ALSO A PERCENTAGE OF THE OUTGOING SHIPMENTS. THIS STATION CAN BE USED AS A SHORT TERM STORAGE FACILITY LIMITED TO OVERNIGHT AND WEEKEND PERIODS AND AS AN INTERCHANGE STORAGE FACILITY LIMITED TO OVERNIGHT AND WEEKEND PERIODS AND AS AN INTERCHANGE YARD.</t>
  </si>
  <si>
    <t>PROTECTIVE BARRICADE/REVETMENT</t>
  </si>
  <si>
    <t>REVETMENT</t>
  </si>
  <si>
    <t>OPERATIONAL SUPPORT FACILITIES OTHER THAN BUILDINGS</t>
  </si>
  <si>
    <t>PROTECTIVE BARRICADES (ALSO KNOWN AS REVETMENTS) ARE CONSTRUCTED AT LOCATIONS WHERE EXPLOSIVES SAFETY DICTATES THE NEED, SUCH AS IN MAGAZINE AREAS, COMBAT AIRCRAFT LOADING AREAS, EXPLOSIVE HOLDING YARDS, ETC. THEY CAN BE EITHER STEEL STRUCTURES OR EARTHEN BERMS.</t>
  </si>
  <si>
    <t>FIXED POINT UTILITIES SYSTEM</t>
  </si>
  <si>
    <t>SP</t>
  </si>
  <si>
    <t>AIRCRAFT SUPPORT FACILITY</t>
  </si>
  <si>
    <t>AIRCRAFT ENGINE RPR, MAINT &amp; MODIFICATION</t>
  </si>
  <si>
    <t>FIXED POINT UTILITIES SYSTEMS SUPPLY UTILITIES TO AIRCRAFT PARKING APRON SERVICE POINTS AND AIRCRAFT MAINTENANCE HANGAR SERVICE POINT. THE FPUS CAN PROVIDE COMPRESSED AIR, PRECONDITIONED AIR FOR HANGARED AIRCRAFT, AND/OR ELECTRICAL POWER. IT CAN CONSIST OF AN ENCLOSED PUMP HOUSE AND STORAGE TANKS, AN IN-GROUND DIST. SYSTEM AND SERVICE POINTS IN AIRCRAFT PARKING APRONS OR AIRCRAFT HANGARS.</t>
  </si>
  <si>
    <t>AIRCRAFT ARRESTING GEAR</t>
  </si>
  <si>
    <t>AIRCRAFT ARRESTING SYSTEM</t>
  </si>
  <si>
    <t>AIRCRAFT ARRESTING GEAR IS DESIGNED TO BRING AN AIRCRAFT TO A STOP IN CASE OF AN ABORTED TAKEOFF OR AN EMERGENCY LANDING.</t>
  </si>
  <si>
    <t>MISSILE LAUNCH FACILITY</t>
  </si>
  <si>
    <t>MISCELLANEOUS RDT&amp;E FACILITY</t>
  </si>
  <si>
    <t>MISSILE RPR, MAINT &amp; MODIFICATION</t>
  </si>
  <si>
    <t>THIS CATEGORY CODE IS FOR LOCATIONS LAUNCHING MISSILES OR DRONES, IT ALSO IS PROVIDED FOR INVENTORY PURPOSES OF MISSILE AND DRONE LAUNCH PADS. SEE NAVSEA OP-5 FOR EXPLOSIVE SAFETY SITING CRITERIA OF ENERGETIC LIQUIDS ASSOCIATED WITH LAUNCH PADS.</t>
  </si>
  <si>
    <t>BLAST DEFLECTOR FENCE</t>
  </si>
  <si>
    <t>AIRCRAFT BLAST DEFLECTOR</t>
  </si>
  <si>
    <t>BLAST DEFLECTOR FENCES ARE STRUCTURES THAT DIRECT THE EXHAUST FROM JET ENGINES UPWARD. THEY ARE USED IN CONGESTED AREAS AND PARKING AND MAINTENANCE AREAS TO PROTECT PERSONNEL AND FACILITIES FROM THE BLAST EFFECT OF JET ENGINE EXHAUST. BLAST FENCES ARE ALSO USED TO PREVENT EROSION OF PAVED AND UNPAVED AREAS AND TO PROVIDE PROTECTION FROM FLYING DEBRIS.</t>
  </si>
  <si>
    <t>TACTICAL VEHICLE WASH FACILITY</t>
  </si>
  <si>
    <t>A WASH STRUCTURE LOCATED TO SUPPORT MANEUVER/TRAINING AREAS AND PROVIDE PREWASH MUD REMOVAL AND WASHING OF MILITARY VEHICLES.  STRUCTURE TYPICALLY PROVIDES WATER SOAKIING CAPABILITY FOR TACTICAL TRACKED AND WHEELED VEHICLES, HIGH AND LOW PRESSURE CLEANING CAPABILITY, WATER CANNONS, WASH WATER CONTAINMENT AND DRAINS, SEDIMENT BASINS, AND SLUDGE REMOVAL. PREP AND PREWASH AREAS, WASH STATIONS, WATER TREATMENT, WATER SUPPLY, BASINS AND CONTROLS/EQUIPMENT ARE INCLUDED AS COMPONENTS OF THE FACILITY. THE FACILITY THAT HOUSES THE CONTROLS/EQUIPMENT ARE CAPTURED UNDER CCN 89009 MISC UTILITY BUILDING.</t>
  </si>
  <si>
    <t>EXPEDITIONARY AIR CONTROL SITE MACS AND MASS</t>
  </si>
  <si>
    <t>THESE ARE MARINE CORPS FACILITIES REQUIRED TO ACCOMMODATE, IN-GARRISON, THE EQUIPMENT USED FOR EXPEDITIONARY AIRCRAFT COMMAND AND CONTROL. THESE FACILITIES ARE ASSIGNED TO SPECIALIZED MARINE CORPS SQUADRONS, AND THE EXPEDITIONARY EQUIPMENT USED IN CONJUNCTION WITH THESE FACILITIES IS NORMALLY SQUADRON PROPERTY.</t>
  </si>
  <si>
    <t>OPERATIONS SUPPORT SHED</t>
  </si>
  <si>
    <t xml:space="preserve">STORAGE SHED OR OTHER COVERED AREA USED FOR OPERATIONAL SUPPORT.  NOT FOR WEAPONS CLEANING AREAS. </t>
  </si>
  <si>
    <t>AMMUNITION PIER</t>
  </si>
  <si>
    <t>FB</t>
  </si>
  <si>
    <t>DW</t>
  </si>
  <si>
    <t>PIER</t>
  </si>
  <si>
    <t>PIERS AND WHARFS</t>
  </si>
  <si>
    <t>AMMUNITION PIERS ARE DESIGNED FOR USE IN THE RECEIPT OF AMMUNITION FOR STORAGE AND FOR THE OUTLOADING OF AMMUNITION ONTO BARGES AND SHIPS. IN SOME CASES OUTGOING AMMUNITION IS FIRST LOADED FROM THE AMMUNITION PIER ONTO BARGES FOR TRANSFER TO SHIPS MOORED OFFSHORE OR IN A ROADSTEAD.</t>
  </si>
  <si>
    <t>GENERAL PURPOSE /  BERTHING PIER</t>
  </si>
  <si>
    <t>PIERS</t>
  </si>
  <si>
    <t>GENERAL PURPOSE BERTHING PIERS ARE USED PRIMARILY FOR MOORING HOME PORTED AND TRANSIENT SHIPS THAT DO NOT REQUIRE PIERS EQUIPPED WITH SHIPYARD FACILITIES. BERTHING PIERS ARE CLASSIFIED AS ACTIVE OR INACTIVE. THE ACTIVE BERTHING PIERS ARE USED WHEN SHIPS ARE BERTHED FOR A RELATIVELY SHORT TIME; THE INACTIVE CLASSES ARE USED WHEN SHIPS ARE TO BE TIED UP FOR LONG PERIODS IN A DECOMMISSIONED STATUS.</t>
  </si>
  <si>
    <t>FUELING PIER</t>
  </si>
  <si>
    <t>FACILITIES FOR BERTHING SHIPS WHILE DISCHARGING FUEL TO STORAGE OR RECEIVING FUEL FROM STORAGE ARE PROVIDED AT FUELING PIERS. SUCH PIERS WILL PROVIDE SALT WATER FOR FIREFIGHTING, TELEPHONE AND FIRE ALARM FACILITIES AND MAY PROVIDE FRESHWATER, STEAM IN COLD CLIMATES, ELECTRIC POWER.</t>
  </si>
  <si>
    <t>OPERATIONAL FLOATING PIER SYSTEM</t>
  </si>
  <si>
    <t>RECREATIONAL PIER</t>
  </si>
  <si>
    <t>OUTDOOR RECREATION FACILITIES</t>
  </si>
  <si>
    <t>A FLOATING PIER SYSTEM FOR SMALL, OPERATIONAL BOATS THAT UTILIZES PILES DRIVEN INTO THE SEA BED AS THE STRUCTURAL SYSTEM TO WHICH PIER SECTIONS ARE ATTACHED.  DOES NOT INCLUDE FLOATING PIER SYSTEMS SECURED WITH MEANS OTHER THAN PILES, WHICH ARE EQUIPMENT.</t>
  </si>
  <si>
    <t>REPAIR PIER</t>
  </si>
  <si>
    <t>REPAIR PIERS ARE CONSTRUCTED AND EQUIPPED TO PERMIT OVERHAUL OF THOSE PORTIONS OF A VESSEL ABOVE THE WATERLINE. THESE STRUCTURES WILL NORMALLY BE EQUIPPED WITH A GANTRY CRANE AND STANDARD-GAGE RAILROAD TRACKS AND HAVE FACILITIES TO PROVIDE SALT AND FRESHWATER, STEAM, COMPRESSED AIR, TELEPHONE AND FIRE ALARM SERVICE, AND ELECTRIC POWER FOR SHIP SERVICE, LIGHTING AND WELDING.</t>
  </si>
  <si>
    <t>SUPPLY PIER</t>
  </si>
  <si>
    <t>SUPPLY PIERS ACCOMMODATE BERTHING FOR THE TRANSFER OF MATERIALS BETWEEN SHIP AND SHORE. A LARGE BUILDING OR TRANSIT SHED NORMALLY OCCUPIES THE CENTRAL PORTION OF A SUPPLY PIER.</t>
  </si>
  <si>
    <t>ORDNANCE CONTAINER HANDLING PIER</t>
  </si>
  <si>
    <t>AN ORDNANCE CONTAINER HANDLING PIER IS USED PRIMARILY FOR THE OUTLOADING AND RECEIVING OF EXPLOSIVE ORDNANCE IN CONTAINERS FROM NON-SELF-SUSTAINING CONTAINER SHIPS.</t>
  </si>
  <si>
    <t>DEGAUSSING PIER</t>
  </si>
  <si>
    <t>MAGNETIC SILENCING</t>
  </si>
  <si>
    <t>THESE PIERS ARE USED TO ERASE THE MAGNETIC SIGNATURE OF A SHIP OR SUBMARINE. SIZING FOR THIS CATEGORY CODE IS BASED ON THE TYPE OF VESSELS TO BE SERVICED AND IS DRIVEN BY THE NAVSEA SPECIFIED EQUIPMENT. SPECIAL STUDIES ARE REQUIRED ON A CASE BY CASE BASIS.</t>
  </si>
  <si>
    <t>DEPERMING PIER</t>
  </si>
  <si>
    <t>ACCESS TRESTLE TO PIERS AND WHARVES</t>
  </si>
  <si>
    <t>PIER/WHARF ACCESS TRESTLE</t>
  </si>
  <si>
    <t>A VEHICULAR AND/OR RAILROAD TRESTLE CONNECTING SHORE FACILITIES TO A PIER OR WHARF.</t>
  </si>
  <si>
    <t>AMMUNITION WHARF</t>
  </si>
  <si>
    <t>WHARF</t>
  </si>
  <si>
    <t>WHARFS</t>
  </si>
  <si>
    <t>AMMUNITION WHARVES ARE DESIGNED FOR USE IN THE RECEIPT OF AMMUNITION FOR STORAGE AND FOR THE OUTLOADING OF AMMUNITION ONTO BARGES AND SHIPS. IN SOME CASES OUTGOING AMMUNITION IS FIRST LOADED FROM THE AMMUNITION PIER ONTO BARGES FOR TRANSFER TO SHIPS MOORED OFFSHORE OR IN A ROADSTEAD.</t>
  </si>
  <si>
    <t>GENERAL PURPOSE /  BERTHING WHARF</t>
  </si>
  <si>
    <t>WHARVES</t>
  </si>
  <si>
    <t>GENERAL PURPOSE BERTHING WHARVES ARE USED PRIMARILY FOR MOORING HOME PORTED AND TRANSIENT SHIPS THAT DO NOT REQUIRE PIERS EQUIPPED WITH SHIPYARD FACILITIES. BERTHING PIERS ARE CLASSIFIED AS ACTIVE OR INACTIVE. THE ACTIVE BERTHING PIERS ARE USED WHEN SHIPS ARE BERTHED FOR A RELATIVELY SHORT TIME; THE INACTIVE CLASSES ARE USED WHEN SHIPS ARE TO BE TIED UP FOR LONG PERIODS IN A DECOMMISSIONED STATUS.</t>
  </si>
  <si>
    <t>FITTING OUT WHARF</t>
  </si>
  <si>
    <t>WHARVES FOR FITTING OUT ARE VERY SIMILAR TO THOSE USED FOR REPAIR PURPOSES, PROVIDING APPROXIMATELY THE SAME FACILITIES. HOWEVER, FITTING OUT PIERS WILL HAVE, IN ADDITION TO LIGHT AND HEAVY GANTRY CRANES, A LARGE FIXED TOWER CRANE FOR HANDLING GUNS, TURRETS, ENGINES, AND HEAVY ARMOR.</t>
  </si>
  <si>
    <t>FUELING WHARF</t>
  </si>
  <si>
    <t>FACILITIES FOR BERTHING SHIPS WHILE DISCHARGING FUEL TO STORAGE OR RECEIVING FUEL FROM STORAGE ARE PROVIDED AT FUELING WHARVES. SUCH WHARVES WILL PROVIDE SALT WATER FOR FIREFIGHTING, TELEPHONE AND FIRE ALARM FACILITIES AND MAY PROVIDE FRESHWATER, STEAM IN COLD CLIMATES, ELECTRIC POWER.</t>
  </si>
  <si>
    <t>REPAIR WHARF</t>
  </si>
  <si>
    <t>REPAIR WHARVES ARE CONSTRUCTED AND EQUIPPED TO PERMIT OVERHAUL OF THOSE PORTIONS OF A VESSEL ABOVE THE WATERLINE. THESE STRUCTURES WILL NORMALLY BE EQUIPPED WITH A GANTRY CRANE AND STANDARD-GAGE RAILROAD TRACKS AND HAVE FACILITIES TO PROVIDE SALT AND FRESHWATER, STEAM, COMPRESSED AIR, TELEPHONE AND FIRE ALARM SERVICE, AND ELECTRIC POWER FOR SHIP SERVICE, LIGHTING AND WELDING.</t>
  </si>
  <si>
    <t>SUPPLY WHARF</t>
  </si>
  <si>
    <t>SUPPLY WHARVES ACCOMMODATE BERTHING FOR THE TRANSFER OF MATERIALS BETWEEN SHIP AND SHORE. A LARGE BUILDING OR TRANSIT SHED NORMALLY OCCUPIES THE CENTRAL PORTION OF A SUPPLY WHARF.</t>
  </si>
  <si>
    <t>ORDNANCE CONTAINER HANDLING WHARF</t>
  </si>
  <si>
    <t>AN ORDNANCE CONTAINER HANDLING WHARF IS USED PRIMARILY FOR THE OUTLOADING AND RECEIVING OF EXPLOSIVE ORDNANCE IN CONTAINERS FROM NON-SELF-SUSTAINING CONTAINER SHIPS.</t>
  </si>
  <si>
    <t>DEGAUSSING WHARF</t>
  </si>
  <si>
    <t>THESE WHARVES ARE USED TO ERASE THE MAGNETIC SIGNATURE OF A SHIP OR SUBMARINE. SIZING FOR THIS CATEGORY CODE IS BASED ON THE TYPE OF VESSELS TO BE SERVICED AND IS DRIVEN BY THE NAVSEA SPECIFIED EQUIPMENT. SPECIAL STUDIES ARE REQUIRED ON A CASE BY CASE BASIS.</t>
  </si>
  <si>
    <t>DEPERMING WHARF</t>
  </si>
  <si>
    <t>CARGO STAGING AREA</t>
  </si>
  <si>
    <t>CARGO HANDLING</t>
  </si>
  <si>
    <t>CARGO HANDLING AND STORAGE AREAS</t>
  </si>
  <si>
    <t>A CARGO STAGING AREA IS AN OPEN HARDSTAND FOR TEMPORARY STORAGE OF CARGO AWAITING FURTHER TRANSSHIPMENT.</t>
  </si>
  <si>
    <t>SHALLOW WTR BULKHEAD AND QUAYWALL W OUT RELIEVING PLATFORM</t>
  </si>
  <si>
    <t>SHORE EROSION PREVENTION FACILITY</t>
  </si>
  <si>
    <t>SEA WALLS, BULKHEADS, AND QUAY WALLS</t>
  </si>
  <si>
    <t>THIS TYPE OF BULKHEAD OR QUAYWALL IS A STRUCTURE TO RETAIN EARTH ALONG A SHORELINE IN SHALLOW WATER. THE DEPTH OF WATER IS TYPICALLY LIMITED TO A 25 FEET AND THE STRUCTURE HAS NO RELIEVING PLATFORM. THIS STRUCTURE DOES NOT PROVIDE SHIP BERTHING (151 PIERS AND 152 WHARVES SHOULD BE USED FOR ANY SHIP BERTHING REQUIREMENT).</t>
  </si>
  <si>
    <t>DEEP WATER BULKHEAD AND QUAYWALL WITH A RELIEVING PLATFORM</t>
  </si>
  <si>
    <t>THIS TYPE OF BULKHEAD OR QUAYWALL IS A STRUCTURE TO RETAIN EARTH ALONG A SHORELINE IN DEEP WATER. TYPICALLY WITH A WATER DEPTH EXCEEDING 25 FEET AND INCLUDES A RELIEVING PLATFORM TO SUPPORT HEAVY LOGISTICS OPERATIONS. THIS STRUCTURE DOES NOT PROVIDE SHIP BERTHING (151 PIERS AND 152 WHARVES SHOULD BE USED FOR ANY SHIP BERTHING REQUIREMENT).</t>
  </si>
  <si>
    <t>SEAWALLS AND RIP RAP</t>
  </si>
  <si>
    <t>THESE ARE STRUCTURES BUILT ALONG AND PARALLEL TO A SHORELINE (RIVER OR COAST LINE) PROTECTING AND STABILIZING THE SHORE AGAINST EROSION RESULTING FROM WAVE AND CURRENT ACTION. THIS IS A FUNCTIONAL DEFINITION AND VARIOUS TYPES OF CONSTRUCTION CAN BE USED TO SUPPORT THIS FUNCTION.</t>
  </si>
  <si>
    <t>FLEET LANDING</t>
  </si>
  <si>
    <t>A FLEET LANDING IS A FIXED OR FLOATING PIER DESIGNED FOR THE LOADING AND/OR UNLOADING OF A SHIP'S PERSONNEL ONTO OR FROM A PERSONNEL BOAT OR FERRY.</t>
  </si>
  <si>
    <t>FLEET LANDING BUILDING</t>
  </si>
  <si>
    <t>SMALL CRAFT BUILDING</t>
  </si>
  <si>
    <t>A FLEET LANDING BUILDING IS USED TO ACCOMMODATE SHIP'S PERSONNEL BEING LOADED OR UNLOADED FROM A PERSONNEL BOAT OR FERRY.</t>
  </si>
  <si>
    <t>THIS CATCODE SHOULD INCLUDE FACILITIES FOR HARBOR AND PILOT LAUNCHES, SURVEY BOATS, WORK BOATS, SPECIAL SERVICE CRAFT, RESCUE BOATS, AND OTHER SMALL CRAFT.</t>
  </si>
  <si>
    <t>SMALL CRAFT BOATHOUSE</t>
  </si>
  <si>
    <t>A BOATHOUSE IS NECESSARY WHERE AN ALERT CREW IS REQUIRED, WHERE A BOAT FACILITY IS REMOTE FROM THE SUPPORTING ACTIVITY, OR WHERE BOAT REPAIR FACILITIES ARE ESSENTIAL.</t>
  </si>
  <si>
    <t>SMALL CRAFT BOAT RAMP FACILITY</t>
  </si>
  <si>
    <t xml:space="preserve">WATER LAUNCH RAMP </t>
  </si>
  <si>
    <t>SMALL BOAT LAUNCH RAMPS FOR OPERATIONAL OR SECURITY FORCES THE PURPOSES OF CONDUCTING IN-SHORE TRAINING MANEUVERS OR SECURITY PATROLS.</t>
  </si>
  <si>
    <t>WATERFRONT TRANSIT SHED</t>
  </si>
  <si>
    <t>CARGO HANDLING FACILITIES/BUILDINGS</t>
  </si>
  <si>
    <t>A WATERFRONT TRANSIT SHED IS A BUILDING OR SHED FOR STORAGE OF CARGO AWAITING FURTHER TRANSSHIPMENT AND REQUIRING PROTECTION.</t>
  </si>
  <si>
    <t>CONTAINER OPERATIONS BUILDING</t>
  </si>
  <si>
    <t>A CONTAINER OPERATIONS BUILDING IS ESSENTIAL FOR SAFE DIRECTION AND CONTROL OF CONTAINER OPERATIONS TO PROMOTE EFFICIENT AND CONTINUOUS FLOW TO, WITHIN, AND FROM THE HANDLING AREA.</t>
  </si>
  <si>
    <t>AIRCRAFT DOCKING FACILITY</t>
  </si>
  <si>
    <t>OTHER WATERFRONT OPERATIONAL FACILITIES</t>
  </si>
  <si>
    <t>WATERFRONT FACILITIES THAT WERE ORIGINALLY CREATED TO SUPPORT SEAPLANES SUCH AS PBY CATALINAS AND SIMILAR FROM THE WWII ERA AND LATER. IT IS NOT ASSOCIATED WITH ANY AIRFIELD CRITERIA AND NEW FACILITIES WILL NOT BE PLANNED UNDER THIS CCN.</t>
  </si>
  <si>
    <t>DEGAUSSING BUILDING</t>
  </si>
  <si>
    <t>DEGAUSSING IS THE SCIENCE DEALING WITH THE METHODS AND TECHNIQUES OF REDUCING A SHIP'S MAGNETIC FIELD SO THAT THE POSSIBILITY OF DETECTION BY MAGNETIC MINES AND OTHER MAGNETIC INFLUENCE DETECTION DEVICES IS MINIMIZED. IT CONSISTS OF TWO FUNCTIONALLY INTERDEPENDENT INSTALLATIONS: AN UNDERWATER DEGAUSSING RANGE INSTALLATION AND THIS FACILITY, WHICH SERVES AS AN INSTRUMENT STATION.</t>
  </si>
  <si>
    <t>DEGAUSSING RANGE</t>
  </si>
  <si>
    <t>MAGNETIC SILENCING RANGER</t>
  </si>
  <si>
    <t>A DEGAUSSING RANGE IS AN AREA SET ASIDE IN A CHANNEL OR HARBOR THAT CONTAINS SUBMERGED INSTRUMENTS, CONNECTED TO THE COMPUTER IN THE DEGAUSSING BUILDING (CATEGORY CODE 159 20), WHICH REGISTERS A SHIP'S MAGNETIC SIGNATURE AS IT PASSES THROUGH THE RANGE.</t>
  </si>
  <si>
    <t>DEPERMING BUILDING</t>
  </si>
  <si>
    <t>A DEPERMING BUILDING IS A FACILITY THAT CONTAINS ELECTRICAL INSTRUMENTS USED TO REGULATE AND MONITOR THE DEPERMING OPERATION. DEPERMING, THE SECOND PHASE OF DEGAUSSING, IS THE PROCESS BY WHICH A SHIP'S PERMANENT LONGITUDINAL AND ATHWARTSHIP MAGNETISM IS REMOVED AND ITS PERMANENT VERTICAL MAGNETISM STABILIZED AT A LOW LEVEL.</t>
  </si>
  <si>
    <t>FERRY SLIP</t>
  </si>
  <si>
    <t>A FERRY SLIP PROVIDES THE ANCHORAGE FOR FERRIES WHILE LOADING OR UNLOADING. IT CONSISTS OF WATER AREAS DIRECTLY IN FRONT OF TRANSFER BRIDGES AND IS USUALLY BORDERED BY FENDER RACKS.</t>
  </si>
  <si>
    <t>WATERFRONT OPERATIONS BUILDING</t>
  </si>
  <si>
    <t>A WATERFRONT OPERATIONS BUILDING, PROVIDES FOR ALL SHIP BERTHING, SMALL CRAFT MAINTENANCE INCLUDING RELATED ELECTRONICS SYSTEMS, AND PROVIDING SUCH FACILITIES AS A DUTY CREW BUNK ROOM, CREW'S LOUNGE, BOATSWAIN?S LOCKER, BERTHING FOR SMALL BOATS IF AN INTEGRAL PART OF THE BUILDING, SPACE FOR STORAGE OF BOAT GEAR AND PAINT, OIL SPILL EQUIPMENT AND A BATTERY CHARGING ROOM.</t>
  </si>
  <si>
    <t>LANDING CRAFT RAMP</t>
  </si>
  <si>
    <t>A WATERFRONT LAUNCH RAMP FOR PURPOSES OF LAUNCH AND RETRIEVAL OF LANDING CRAFT.</t>
  </si>
  <si>
    <t>FIXED NET ANCHORAGE</t>
  </si>
  <si>
    <t>HARBOR CONTROL FACILITY</t>
  </si>
  <si>
    <t>WATERFRONT SECURITY</t>
  </si>
  <si>
    <t>HARBOR PROTECTION FACILITIES</t>
  </si>
  <si>
    <t>THIS CATEGORY CODE INCLUDES SUCH FUNCTIONS AS PILE CLUSTERS AND PLATFORMS USED TO SUPPORT ANTI-TERRORISM/FORCE PROTECTION (AT/FP) FLOATING BARRIERS. IF A TRADITIONAL SUBMERGED HARBOR NET IS USED, THIS TYPE OF FEATURE WOULD ALSO BE REQUIRED.</t>
  </si>
  <si>
    <t>WINCH HOUSE</t>
  </si>
  <si>
    <t>A WINCH HOUSE IS A STRUCTURE USED IN CONTROL OF HARBOR NETS, FLOATING BARRIERS AND OIL BOOMS.</t>
  </si>
  <si>
    <t>GUN EMPLACEMENTS</t>
  </si>
  <si>
    <t>MISCELLANEOUS OPERATIONS SUPPORT FACILITY</t>
  </si>
  <si>
    <t>COASTAL-PROTECTION - FACILITIES</t>
  </si>
  <si>
    <t>SPACE IN STRATEGIC SITES IS PROVIDED ON BASE FOR THE INSTALLATION OF GUN EMPLACEMENTS, INCLUDING ANTI-AIRCRAFT GUNS, FOR USE IN HARBOR DEFENSE.</t>
  </si>
  <si>
    <t>MOORING DOLPHIN</t>
  </si>
  <si>
    <t>OFFSHORE MOORING FACILITY</t>
  </si>
  <si>
    <t>MOORINGS</t>
  </si>
  <si>
    <t>MOORING DOLPHINS ARE INDEPENDENT STRUCTURES THAT ARE OFTEN PLACED AT THE OUTBOARD ENDS OF PIERS OR WHARVES TO PROVIDE A MOORING POINT THAT PERMITS TYING MOORING LINES AT FAVORABLE ANGLES WITHOUT HAVING TO EXTEND THE ENTIRE PIER OR WHARF STRUCTURE.</t>
  </si>
  <si>
    <t>MOORING PLATFORM</t>
  </si>
  <si>
    <t>A MOORING PLATFORM IS AN ISOLATED STRUCTURE CONSISTING OF A TIMBER, STEEL OR CONCRETE DECK SUPPORTED ON PILING OR CAN BE A STEEL PILE, SHEET PILE OR CONCRETE TYPE CAISSON. TWO OR MORE PLATFORMS ARE PROVIDED IN LINE FOR BERTHING OF ONE OR MORE VESSELS ALONGSIDE.</t>
  </si>
  <si>
    <t>STAKE PILE MOORING</t>
  </si>
  <si>
    <t>A STAKE PILE MOORING CONSISTS OF A STAKE PILE DRIVEN BELOW THE SURFACE OF THE FIRM BOTTOM OF THE OCEAN FLOOR. A CHAIN ATTACHED TO THE STAKE IS USED TO MOOR THE VESSEL.</t>
  </si>
  <si>
    <t>BREAKWATER</t>
  </si>
  <si>
    <t>HARBOR MARINE IMPROVEMENTS</t>
  </si>
  <si>
    <t>MARINE IMPROVEMENTS</t>
  </si>
  <si>
    <t>A BREAKWATER IS A FREESTANDING BARRIER DESIGNED TO BREAK UP AND DISPERSE HEAVY SEAS AND TO SHIELD THE WATERS OF A HARBOR FROM WAVE ACTION.</t>
  </si>
  <si>
    <t>GROINS AND JETTIES</t>
  </si>
  <si>
    <t>GROINS AND JETTIES ARE STRUCTURES BUILT TO INTERCEPT AND DEFLECT CURRENTS TO CONTROL LITTORAL DRIFT AND DEPOSIT OF SAND AND SILT.</t>
  </si>
  <si>
    <t>HARBOR ENTRANCE CONTROL FACILITY</t>
  </si>
  <si>
    <t>OTHER HARBOR AND COASTAL</t>
  </si>
  <si>
    <t>A LARGE PAVED SITE FOR LAYOUT AND ASSEMBLY OF HARBOR NETS AND ALLIED EQUIPMENT. THE LAYOUT AREA SHOULD BE NEAR THE WATERFRONT AND ACCESSIBLE TO MOBILE CRANES FOR NET AND EQUIPMENT HANDLING. THE AREA IS KNOWN AS THE NET DEPOT AND IS USED FOR NET MAINTENANCE AND FOR TRAINING IN NET HANDLING.</t>
  </si>
  <si>
    <t>ACADEMIC INSTRUCTION BUILDING</t>
  </si>
  <si>
    <t>PN</t>
  </si>
  <si>
    <t>GENERAL PURPOSE INSTRUCTION BUILDING</t>
  </si>
  <si>
    <t>ACADEMIC INSTRUCTION</t>
  </si>
  <si>
    <t>TRAINING BUILDINGS</t>
  </si>
  <si>
    <t>THERE ARE GENERALLY TWO TYPES OF CLASSROOM: GENERAL ACADEMIC CLASSROOM - IS ONE WHICH SUPPORTS APPROVED TRAINING PROGRAMS AND PROVIDES ACCOMMODATIONS FOR CLASSROOM LECTURE INSTRUCTION, AND MODIFIED ACADEMIC CLASSROOM - IS ONE WHICH IS EQUIPPED WITH DESKS OR OTHER WORKING SURFACES</t>
  </si>
  <si>
    <t>NAVY AND MARINE CORPS RESERVE TRAINING BUILDING</t>
  </si>
  <si>
    <t>RESERVE TRAINING FACILITY</t>
  </si>
  <si>
    <t>RESERVE TRAINING</t>
  </si>
  <si>
    <t>THIS CATEGORY CODE REFERS TO THE RESERVE TRAINING CENTER ONLY. CRITERIA FOR OTHER FACILITIES NOT INCLUDED IN THIS SECTION (E.G., UNACCOMPANIED HOUSING, DINING, AIRCRAFT MAINTENANCE HANGARS, ETC.) FOLLOW THE SAME CRITERIA AS ACTIVE DUTY, AND CAN BE FOUND IN THE SUBSEQUENT CATEGORY CODES. REFER TO NAVFAC P-72 FOR A FUNCTION / CATEGORY CODE CROSS-REFERENCE.</t>
  </si>
  <si>
    <t>TV CENTER FOR INSTRUCTIONAL MATTER</t>
  </si>
  <si>
    <t>THIS FACILITY MAY BE PROVIDED ONLY WHEN SPECIFICALLY AUTHORIZED BY CNET. REQUIREMENTS WILL BE DETERMINED FOR EACH INDIVIDUAL CASE, WITH CNET GUIDANCE.</t>
  </si>
  <si>
    <t>APPLIED INSTRUCTION BUILDING</t>
  </si>
  <si>
    <t>APPLIED INSTRUCTION</t>
  </si>
  <si>
    <t>THIS FACILITY PROVIDES FOR TRAINING PERSONNEL THROUGH THE APPLIED USE OF TECHNICAL EQUIPMENT AND TOOLS.</t>
  </si>
  <si>
    <t>GENERAL PURPOSE AUDITORIUM</t>
  </si>
  <si>
    <t>SE</t>
  </si>
  <si>
    <t>AUDITORIUM AND THEATER FACILITY</t>
  </si>
  <si>
    <t>AN AUDITORIUM MAY BE AUTHORIZED WHEN REQUIRED AS AN ADJUNCT TO TRAINING OR OTHER FUNCTIONS (EXCEPT ADMINISTRATION). THE PRIMARY PURPOSE OF THE AUDITORIUM IS AN ASSEMBLY AREA FOR INSTRUCTION AND TRAINING.</t>
  </si>
  <si>
    <t>PHYSICAL EDUCATION FACILITY</t>
  </si>
  <si>
    <t>PHYSICAL EDUCATION BUILDING</t>
  </si>
  <si>
    <t>A SERVICCE ACADEMY LEVEL PHYSICAL FITNESS TRAINING FACILITY FOR USE BY THE US NAVAL ACADEMY.</t>
  </si>
  <si>
    <t>OPERATIONAL TRAINER FACILITY</t>
  </si>
  <si>
    <t>FLIGHT SIMULATOR FACILITY</t>
  </si>
  <si>
    <t>OPERATIONAL TRAINER</t>
  </si>
  <si>
    <t>THIS FACILITY HOUSES LARGE OPERATIONAL TRAINERS, USUALLY DUPLICATING PART OR ALL OF SURFACE OR AIR WEAPONS SYSTEM.</t>
  </si>
  <si>
    <t>RADAR SIMULATOR FACILITY</t>
  </si>
  <si>
    <t>GENERAL PURPOSE SIMULATOR FACILITY</t>
  </si>
  <si>
    <t>THIS FACILITY HOUSES VARIOUS RADAR TRAINING FACILITIES AND MAY BE PROVIDED ONLY WHEN SPECIFICALLY AUTHORIZED BY CNET. REQUIREMENTS WILL BE DETERMINED FOR EACH INDIVIDUAL CASE, WITH CNET GUIDANCE.</t>
  </si>
  <si>
    <t>DRILL HALL</t>
  </si>
  <si>
    <t>PARADE &amp; DRILL FIELDS</t>
  </si>
  <si>
    <t>A COMPONENT OF A RESERVE TRAINING FACILITY USED PRIMARILY TO PRACTICE DRILLING AND MARCHING.</t>
  </si>
  <si>
    <t>MOCK-UP AND TRAINING AID PREPARATION CENTER</t>
  </si>
  <si>
    <t>TRAINING AIDS SUPPORT BUILDING</t>
  </si>
  <si>
    <t>FACILITY FOR THE CONSTRUCTION, MAINTENANCE, AND REPAIR OF TRAINING MOCK UPS FOR TRAINING FACILITIES.</t>
  </si>
  <si>
    <t>SMALL ARMS RANGE - INDOORS</t>
  </si>
  <si>
    <t>FP</t>
  </si>
  <si>
    <t>INDOOR FIRING RANGE AND SUPPORTING FACILITY</t>
  </si>
  <si>
    <t>INDOOR RANGES</t>
  </si>
  <si>
    <t>AN INDOOR SMALL ARMS RANGE PROVIDES TRAINING SPACE FOR THE USE OF PISTOLS AND SMALL CALIBER (22) RIFLES. RANGES WILL BE USED BY ALL SERVICES ON A JOINT BASIS WHEN FEASIBLE, AND THEY MUST BE OF SUFFICIENT SIZE AND CAPACITY TO PROVIDE CONTINUAL TRAINING AND RETRAINING FOR ALL MILITARY PERSONNEL THAT REQUIRE WEAPONS TRAINING/QUALIFICATION.</t>
  </si>
  <si>
    <t>RECRUIT PROCESSING BUILDING</t>
  </si>
  <si>
    <t>GENERAL ADMINISTRATIVE BUILDING</t>
  </si>
  <si>
    <t>RECRUIT PROCESSING</t>
  </si>
  <si>
    <t>A RECRUIT PROCESSING BUILDING IS A FACILITY FOR RECEIVING, EXAMINING, AND OUTFITTING RECRUITS. THE PROCESSING BUILDING MUST PROVIDE SPACE FOR THE COMPLETE ORIENTATION, EXAMINATION, AND PROCESSING (MEDICAL, DENTAL, SUPPLY, ADMINISTRATIVE) OF ALL NEWLY INDUCTED AND RECRUITED PERSONNEL.</t>
  </si>
  <si>
    <t>TRAINING MATERIAL STORAGE (READY ISSUE/SHOP STORES/MISC)</t>
  </si>
  <si>
    <t>STORAGE FACILITIES FOR MISCELLANEOUS GOODS OR EQUIPMENT RELATED TO TRAINING FACILITY SUPPORT WILL BE PROVIDED ONLY WHERE IT CAN BE INDIVIDUALLY JUSTIFIED. THERE ARE NO CRITERIA FOR THIS TYPE OF FACILITY.</t>
  </si>
  <si>
    <t>GAS CHAMBER</t>
  </si>
  <si>
    <t>GAS TRAINING FACILITY</t>
  </si>
  <si>
    <t>SIMULATION FACILITIES</t>
  </si>
  <si>
    <t>A GAS CHAMBER IS A BUILDING USED FOR TRAINING PERSONNEL IN THE USE OF PROTECTIVE MASKS AND THE EFFECTS OF CHEMICAL WARFARE.</t>
  </si>
  <si>
    <t>RANGE OPERATIONS BUILDING</t>
  </si>
  <si>
    <t>TRAINING SUPPORT FACILITIES</t>
  </si>
  <si>
    <t>RANGE OPERATIONS BUILDINGS ARE DESIGNED FOR DIRECT SUPPORT TO RANGE OPERATIONS. SUCH BUILDINGS CAN SUPPORT A VARIETY OF OPERATIONS FOR A FIRING RANGE, SUCH AS : RANGE OPERATIONS, ADMINISTRATIVE SUPPORT, TARGET STORAGE AND ISSUE, EQUIPMENT STORAGE AND MAINTENANCE, AND AMMUNITION BREAKDOWN AND DISTRIBUTION (NOT STORAGE).</t>
  </si>
  <si>
    <t>A RANGE SUPPORT BUILDING WOULD BE A BUILDING WHICH HOUSES SUPPORT FUNCTIONS CONDUCTED AT THE RANGE COMPLEX, BUT NOT COVERED ELSEWHERE. THIS INCLUDES RANGE BILLETS, CLASSROOM SPACE AT A RANGE, BUILDINGS TO CONDUCT AFTER ACTION REVIEWS, AND ALL OTHER RANGE SUPPORT ACTIVITIES WITH THE EXCEPTION OF ACTIVITIES DESCRIBED IN RANGE OPERATIONS BUILDING, WEAPONS RANGE OBSERVATION TOWER, AND PUBLIC TOILET.</t>
  </si>
  <si>
    <t>TRAINING AIDS CENTER</t>
  </si>
  <si>
    <t>A TRAINING AIDS CENTER IS A BUILDING THAT IS USED TO FABRICATE, MAINTAIN, STORE, AND ISSUE TRAINING DEVICES AND MATERIALS INCLUDING MULTIPLE INTEGRATED LASER EQUIPMENT SYSTEM (MILES) AND VISUAL INFORMATION (VI) AIDS; IT ALSO PROVIDES THE ADMINISTRATIVE SPACE FOR THE TRAINING SUPPORT DIVISION (TSD) MANAGEMENT STAFF.</t>
  </si>
  <si>
    <t>COVERED TRAINING AREA</t>
  </si>
  <si>
    <t>TRAINING SUPPORT STRUCTURE</t>
  </si>
  <si>
    <t>COVERED TRAINING AREAS ARE STRUCTURES WHICH PROVIDE A COVERED AREA TO SUPPORT AND CONDUCT TRAINING OR FOR FEEDING OF PERSONNEL ON A TRAINING FACILITY WHILE PROVIDING PROTECTION FOR EQUIPMENT AND PERSONNEL FROM THE ELEMENTS.</t>
  </si>
  <si>
    <t>EOD BUNKER/SHELTER</t>
  </si>
  <si>
    <t>MISSILE PROOF SHELTER (MPS) AND OBSERVATION BUNKER (OB)</t>
  </si>
  <si>
    <t>THIS CATEGORY CODE IS USED TO CAPTURE PROTECTIVE SHELTERS AT NAVY/MARINE CORPS EOD RANGES FOR THE PROTECTION OF EOD TECHNICIANS AND OBSERVERS.</t>
  </si>
  <si>
    <t>MANEUVER / TRAINING AREA, LIGHT FORCES</t>
  </si>
  <si>
    <t>AC</t>
  </si>
  <si>
    <t>MANEUVER/TRAINING LAND, LIGHT FORCES</t>
  </si>
  <si>
    <t>IMPACT, MANEUVER, AND TRAINING AREAS</t>
  </si>
  <si>
    <t>THIS CATEGORY INCLUDES ALL SPACE FOR GROUND AND AIR COMBAT FORCES TO PRACTICE MOVEMENTS AND TACTICS. DIFFERENT TYPES OF UNITS MAY SUPPORT ONE ANOTHER (COMBINED ARMS), OR A UNIT MAY OPERATE INDEPENDENTLY. THE ?LIGHT? DESIGNATION REFERS TO AREAS WHERE MANEUVER IS RESTRICTED TO ONLY SMALL UNITS OR UNITS HAVING ONLY WHEELED VEHICLES.</t>
  </si>
  <si>
    <t>MANEUVER / TRAINING AREA, AMPHIBIOUS FORCES</t>
  </si>
  <si>
    <t>THIS CATEGORY INCLUDES ALL SPACE FOR GROUND AND AIR COMBAT FORCES TO PRACTICE MOVEMENTS AND TACTICS DURING AMPHIBIOUS (SHIP-TO-SHORE) OPERATIONS.</t>
  </si>
  <si>
    <t>LAND NAVIGATION COURSE</t>
  </si>
  <si>
    <t>A LAND NAVIGATION COURSE IS AN AREA LOCATED WITHIN THE TRAINING COMPLEX WHICH IS PRINCIPALLY SCHEDULED AND USED FOR MAP READING, TERRAIN ASSOCIATION, OR NAVIGATIONAL TRAINING.</t>
  </si>
  <si>
    <t>FIELD TRAINING AREA</t>
  </si>
  <si>
    <t>A FIELD TRAINING AREA IS A SPECIFIC AREA THAT IS INTENDED FOR THE TRAINING OF PERSONNEL OR ANIMALS IN A FIELD ENVIRONMENT THAT CANNOT BE CATEGORIZED BY THE OTHER CATEGORY CODES IN THE 174 BASIC SERIES. TRAINING CONDUCTED IN SUCH AN AREA MAY INCLUDE MEDICAL, K-9, OR COMMUNICATIONS EQUIPMENT.</t>
  </si>
  <si>
    <t>MANEUVER / TRAINING AREA, HEAVY FORCES</t>
  </si>
  <si>
    <t>MANEUVER/TRAINING LAND, HEAVY FORCES</t>
  </si>
  <si>
    <t>THIS CATEGORY INCLUDES ALL SPACE FOR GROUND AND AIR COMBAT FORCES TO PRACTICE MOVEMENTS AND TACTICS. DIFFERENT TYPES OF UNITS MAY SUPPORT ONE ANOTHER (COMBINED ARMS), OR MAY OPERATE INDEPENDENTLY. THE ?HEAVY? DESIGNATION REFERS TO AREAS WHERE MANEUVER IS UNRESTRICTED AND CAN CONSIST OF ALL TYPES OF VEHICLES AND EQUIPMENT, INCLUDING TRACKED VEHICLES.</t>
  </si>
  <si>
    <t>IMPACT AREA DUDDED</t>
  </si>
  <si>
    <t>WEAPONS IMPACT AREA</t>
  </si>
  <si>
    <t>AN AREA HAVING DESIGNATED BOUNDARIES WITHIN WHICH ALL ORDNANCE WILL DETONATE OR IMPACT SHALL BE CATEGORIZED AS IMPACT AREA DUDDED. THIS AREA INCLUDES ALL IMPACT AREAS THAT DO NOT CONTAIN AUTOMATED TARGETS OR TARGETS CLASSIFIED AS REAL PROPERTY.</t>
  </si>
  <si>
    <t>IMPACT AREA NON-DUDDED</t>
  </si>
  <si>
    <t>AN AREA HAVING DESIGNATED BOUNDARIES WITHIN WHICH ORDNANCE THAT DOES NOT PRODUCE DUDS WILL IMPACT IS AN IMPACT AREA NON-DUDDED. THIS AREA IS COMPOSED MOSTLY OF THE SAFETY FANS FOR SMALL ARMS RANGES.</t>
  </si>
  <si>
    <t>PERSONNEL / EQUIPMENT DROP ZONE</t>
  </si>
  <si>
    <t>PARACHUTE DROP ZONE</t>
  </si>
  <si>
    <t>A LARGE, FLAT, CLEARED AREA FOR PERSONNEL AND EQUIPMENT TO LAND FOLLOWING A PARACHUTE JUMP SHALL BE CATEGORIZED AS A PERSONNEL/EQUIPMENT DROP ZONE.</t>
  </si>
  <si>
    <t>AUTOMATIC RIFLE RANGE</t>
  </si>
  <si>
    <t>GENERAL PURPOSE SMALL ARMS RANGE</t>
  </si>
  <si>
    <t>SMALL ARMS RANGES</t>
  </si>
  <si>
    <t>THE AUTOMATIC RIFLE RANGE IS DESIGNED FOR TRAINING TARGET ENGAGEMENT TECHNIQUES WITH RIFLES AND SQUAD AUTOMATIC WEAPON (SAW). THIS RANGE IS USED TO TRAIN PERSONNEL ON THE SKILLS NECESSARY TO EMPLOY AUTOMATIC AND SEMI-AUTOMATIC FIRING TECHNIQUES.</t>
  </si>
  <si>
    <t>NON-STANDARD SMALL ARMS RANGE</t>
  </si>
  <si>
    <t>THE NON-STANDARD SMALL ARMS RANGE IS DESIGNED FOR TRAINING REQUIREMENTS THAT ARE NOT ASSOCIATED WITH CURRENT PUBLISHED DOCTRINE, BUT FALL WITHIN A COMMANDER?S TRAINING REQUIREMENTS. THIS RANGE INCLUDES ALL SMALL ARMS RANGES THAT DO NOT FIT INTO OTHER CATEGORIES.</t>
  </si>
  <si>
    <t>BASIC 10M - 25M FIRING RANGE (ZERO)</t>
  </si>
  <si>
    <t>ZERO RANGE</t>
  </si>
  <si>
    <t>A BASIC ZERO FIRING RANGE IS DESIGNED FOR TRAINING SHOT-GROUPING AND ZEROING EXERCISES WITH RIFLES AND MACHINE GUNS. THIS RANGE IS USED TO TRAIN INDIVIDUAL PERSONNEL ON THE SKILLS NECESSARY TO ALIGN THE SIGHTS AND PRACTICE BASIC MARKSMANSHIP TECHNIQUES AGAINST STATIONARY TARGETS.</t>
  </si>
  <si>
    <t>AUTOMATED FIELD FIRE (AFF) RANGE</t>
  </si>
  <si>
    <t>FIELD FIRE RANGE</t>
  </si>
  <si>
    <t>AN AUTOMATE FIELD FIRE RANGE IS DESIGNED FOR TRAINING TARGET ENGAGEMENT TECHNIQUES WITH RIFLES. THIS RANGE IS USED TO TRAIN AND FAMILIARIZE PERSONNEL ON THE SKILLS NECESSARY TO IDENTIFY, ENGAGE, AND HIT STATIONARY INFANTRY TARGETS.</t>
  </si>
  <si>
    <t>RECORD FIRE RANGE, NON-AUTOMATED</t>
  </si>
  <si>
    <t>RECORD FIRE RANGE</t>
  </si>
  <si>
    <t>A RECORD FIRE RANGE IS DESIGNED FOR TRAINING AND DAY/NIGHT QUALIFICATION REQUIREMENTS WITH RIFLES. THIS RANGE IS USED TO TRAIN AND TEST PERSONNEL ON THE SKILLS NECESSARY TO IDENTIFY, ENGAGE, AND HIT STATIONARY INFANTRY TARGETS.</t>
  </si>
  <si>
    <t>AUTOMATED RECORD FIRE (ARF) RANGE</t>
  </si>
  <si>
    <t>AN AUTOMATED RECORD FIRE RANGE IS DESIGNED FOR TRAINING AND DAY/NIGHT QUALIFICATION REQUIREMENTS WITH RIFLES. THIS RANGE IS USED TO TRAIN AND TEST PERSONNEL ON THE SKILLS NECESSARY TO IDENTIFY, ENGAGE, AND HIT STATIONARY INFANTRY TARGETS. ALL TARGETS ARE FULLY AUTOMATED AND THE EVENT SPECIFIC TARGET SCENARIO IS COMPUTER DRIVEN AND SCORED FROM THE RANGE OPERATIONS CENTER.</t>
  </si>
  <si>
    <t>MODIFIED RECORD FIRE RANGE</t>
  </si>
  <si>
    <t>A MODIFIED RECORD FIRE RANGE IS DESIGNED FOR TRAINING AND DAY/NIGHT QUALIFICATION WITH RIFLES.</t>
  </si>
  <si>
    <t>RIFLE KNOWN DISTANCE (KD) RANGE</t>
  </si>
  <si>
    <t>KNOWN DISTANCE RANGE</t>
  </si>
  <si>
    <t>A RIFLE KNOWN DISTANCE RANGE IS DESIGNED FOR TRAINING RIFLE MARKSMANSHIP AND TARGET ENGAGEMENT TECHNIQUES. THIS RANGE IS USED TO TRAIN PERSONNEL ON THE SKILLS NECESSARY TO IDENTIFY, ENGAGE, AND HIT STATIONARY TARGETS IN A STATIC ARRAY FROM A KNOWN DISTANCE.</t>
  </si>
  <si>
    <t>SNIPER FIELD FIRE RANGE</t>
  </si>
  <si>
    <t>SNIPER RANGE</t>
  </si>
  <si>
    <t>A SNIPER FIELD FIRE RANGE IS DESIGNED TO MEET TRAINING AND QUALIFICATION REQUIREMENTS WITH THE SNIPER RIFLE. THIS RANGE IS USED TO TRAIN AND TEST SNIPERS ON THE SKILLS NECESSARY TO DETECT, IDENTIFY, ENGAGE, AND HIT STATIONARY AND MOVING INFANTRY TARGETS IN A TACTICAL ARRAY IN ACCORDANCE WITH APPLICABLE FIELD MANUALS. IN THIS RANGE TARGETS ARE NOT FULLY AUTOMATED.</t>
  </si>
  <si>
    <t>AUTOMATED SNIPER FIELD FIRE RANGE</t>
  </si>
  <si>
    <t>AN AUTOMATED SNIPER FIELD FIRE RANGE IS DESIGNED TO MEET THE TRAINING AND QUALIFICATION REQUIREMENTS WITH THE SNIPER RIFLE. THIS RANGE IS USED TO TRAIN AND TEST SNIPERS ON THE SKILLS NECESSARY TO DETECT, IDENTIFY, ENGAGE, AND HIT STATIONARY AND MOVING INFANTRY TARGETS IN A TACTICAL ARRAY IN ACCORDANCE WITH APPLICABLE FIELD MANUALS.</t>
  </si>
  <si>
    <t>PISTOL KNOWN DISTANCE (KD) RANGE</t>
  </si>
  <si>
    <t>PISTOL RANGE</t>
  </si>
  <si>
    <t>A PISTOL KNOWN DISTANCE (KD) RANGE IS DESIGNED FOR TRAINING PISTOL AND REVOLVER MARKSMANSHIP AND TARGET ENGAGEMENT TECHNIQUES. THIS RANGE IS USED TO TRAIN PERSONNEL ON THE SKILLS NECESSARY TO IDENTIFY, ENGAGE, AND HIT STATIONARY TARGETS IN A STATIC ARRAY FROM A KNOWN DISTANCE.</t>
  </si>
  <si>
    <t>COMBAT PISTOL / MP FIREARMS QUALIFICATION COURSE</t>
  </si>
  <si>
    <t>A COMBAT PISTOL/MP FIREARMS QUALIFICATION COURSE IS A RANGE DESIGNED TO MEET TRAINING AND QUALIFICATION REQUIREMENTS WITH COMBAT PISTOLS AND REVOLVERS. THIS RANGE IS USED TO TRAIN AND TEST PERSONNEL ON THE SKILLS NECESSARY TO IDENTIFY, ENGAGE, AND HIT STATIONARY INFANTRY TARGETS.</t>
  </si>
  <si>
    <t>AUTOMATED COMBAT PISTOL / MP FIREARMS QUALIFICATION COURSE</t>
  </si>
  <si>
    <t>AN AUTOMATED COMBAT PISTOL/MP FIREARMS QUALIFICATION COURSE IS A RANGE DESIGNED TO MEET TRAINING AND QUALIFICATION REQUIREMENTS WITH COMBAT PISTOLS AND REVOLVERS. THIS RANGE IS USED TO TRAIN AND TEST PERSONNEL ON THE SKILLS NECESSARY TO IDENTIFY, ENGAGE, AND HIT STATIONARY INFANTRY TARGETS.</t>
  </si>
  <si>
    <t>SUBMACHINE GUN RANGE</t>
  </si>
  <si>
    <t>MACHINEGUN RANGE</t>
  </si>
  <si>
    <t>A SUBMACHINE GUN RANGE IS DESIGNED FOR TRAINING TARGET ENGAGEMENT TECHNIQUES WITH THE SUBMACHINE GUN. THIS RANGE IS USED TO TRAIN PERSONNEL ON THE SKILLS NECESSARY TO IDENTIFY, ENGAGE, AND HIT STATIONARY INFANTRY TARGETS.</t>
  </si>
  <si>
    <t>MACHINE GUN TRANSITION RANGE</t>
  </si>
  <si>
    <t>A MACHINE GUN TRANSITION RANGE IS DESIGNED TO MEET THE TRAINING REQUIREMENTS WITH MACHINE GUNS. THIS RANGE IS USED TO TRAIN PERSONNEL ON THE SKILLS NECESSARY TO IDENTIFY, ENGAGE, AND HIT STATIONARY INFANTRY TARGETS AT KNOWN DISTANCES.</t>
  </si>
  <si>
    <t>MACHINE GUN FIELD FIRE RANGE</t>
  </si>
  <si>
    <t>A MACHINE GUN FIELD FIRE RANGE IS DESIGNED TO TRAIN TARGET ENGAGEMENT TECHNIQUES WITH SQUAD ASSAULT WEAPONS AND MACHINE GUNS. THIS RANGE IS USED TO TRAIN PERSONNEL ON THE SKILLS NECESSARY TO IDENTIFY, ENGAGE, AND HIT STATIONARY INFANTRY, VEHICLE, AND BUNKER TYPE TARGETS.</t>
  </si>
  <si>
    <t>AUTOMATED MULTIPURPOSE MACHINE GUN (MPMG) RANGE</t>
  </si>
  <si>
    <t>AN AUTOMATED MULTIPURPOSE MACHINE GUN (MPMG) RANGE IS DESIGNED FOR ZEROING, TRAINING, AND QUALIFICATION REQUIREMENTS WITH SQUAD ASSAULT WEAPONS (SAW) AND MACHINE GUNS. THIS RANGE IS USED TO TRAIN PERSONNEL ON THE SKILLS NECESSARY TO IDENTIFY, ENGAGE, AND HIT STATIONARY INFANTRY TARGETS.</t>
  </si>
  <si>
    <t>GRENADE LAUNCHER RANGE</t>
  </si>
  <si>
    <t>WEAPONS RANGES</t>
  </si>
  <si>
    <t>A GRENADE LAUNCHER RANGE IS DESIGNED TO MEET TRAINING AND QUALIFICATION REQUIREMENTS OF THE 40MM M203 GRENADE LAUNCHER. THIS RANGE IS USED TO TRAIN AND TEST PERSONNEL ON THE SKILLS NECESSARY TO ENGAGE AND DEFEAT STATIONARY TARGET EMPLACEMENTS WITH THE 40MM GRENADE LAUNCHER.</t>
  </si>
  <si>
    <t>40MM (GRENADE) MACHINE GUN QUALIFICATION RANGE</t>
  </si>
  <si>
    <t>LN</t>
  </si>
  <si>
    <t>GRENADE MACHINEGUN RANGE</t>
  </si>
  <si>
    <t>A 40MM MACHINE GUN QUALIFICATION RANGE IS DESIGNED TO CONDUCT TRAINING QUALIFICATION FIRING WITH THE GRENADE MACHINE GUN (E.G., MK-19). THIS RANGE IS USED TO TRAIN PERSONNEL WITH THE WEAPON EITHER GROUND OR VEHICLE MOUNTED. TARGETS IN THIS RANGE MAY BE EITHER NON-AUTOMATED OR FULLY AUTOMATED AND THE EVENT SPECIFIC TARGET SCENARIO IS COMPUTER DRIVEN AND SCORED FROM THE RANGE OPERATIONS CENTER.</t>
  </si>
  <si>
    <t>LIGHT ANTIARMOR WEAPONS RANGE SUBCALIBER</t>
  </si>
  <si>
    <t>LIGHT ANTIARMOR WEAPON RANGE</t>
  </si>
  <si>
    <t>A LIGHT ANTI-ARMOR WEAPONS RANGE IS DESIGNED FOR TRAINING TARGET ENGAGEMENT TECHNIQUES WITH LIGHT ANTI-ARMOR WEAPONS (E.G., LAW/AT-4). THIS RANGE IS USED TO TRAIN PERSONNEL ON THE SKILLS NECESSARY TO EMPLOY THE WEAPON AND HIT STATIONARY AND MOVING TARGETS USING A SUB-CALIBER TRAINING DEVICE.</t>
  </si>
  <si>
    <t>LIGHT ANTIARMOR WEAPONS RANGE LIVE</t>
  </si>
  <si>
    <t>A LIGHT ANTI-ARMOR WEAPONS RANGE LIVE IS DESIGNED FOR TRAINING TARGET ENGAGEMENT TECHNIQUES WITH LIGHT ANTI-ARMOR WEAPONS (E.G., LAW/ AT-4). THIS RANGE IS USED TO TRAIN PERSONNEL ON THE SKILLS NECESSARY TO EMPLOY THE WEAPON AND HIT STATIONARY AND MOVING TARGETS USING LIVE ROCKETS OR A SUB-CALIBER TRAINING DEVICE.</t>
  </si>
  <si>
    <t>ANTIARMOR TRACKING AND LIVE-FIRE RANGE</t>
  </si>
  <si>
    <t>HEAVY ANTIARMOR WEAPON RANGE</t>
  </si>
  <si>
    <t>AN ANTI-ARMOR TRACKING AND LIVE-FIRE RANGE IS A COMPLEX DESIGNED TO MEET TRAINING AND QUALIFICATION REQUIREMENTS WITH MEDIUM AND HEAVY ANTI-ARMOR WEAPONS SYSTEMS. THIS COMPLEX IS USED TO TRAIN AND TEST SOLDIERS ON THE SKILLS NECESSARY TO EMPLOY THE WEAPON, IDENTIFY, TRACK, ENGAGE, AND DEFEAT STATIONARY AND MOVING ARMOR TARGETS PRESENTED INDIVIDUALLY OR AS PART OF A TACTICAL ARRAY.</t>
  </si>
  <si>
    <t>AUTOMATED ANTIARMOR TRACKING AND LIVE-FIRE RANGE</t>
  </si>
  <si>
    <t>AN AUTOMATED ANTI-ARMOR TRACKING AND LIVE-FIRE RANGE IS A COMPLEX DESIGNED TO MEET TRAINING AND QUALIFICATION REQUIREMENTS WITH MEDIUM AND HEAVY ANTI-ARMOR WEAPONS SYSTEMS. THIS COMPLEX IS USED TO TRAIN AND TEST PERSONNEL ON THE SKILLS NECESSARY TO EMPLOY THE WEAPON, IDENTIFY, TRACK, ENGAGE, AND DEFEAT STATIONARY AND MOVING ARMOR TARGETS PRESENTED INDIVIDUALLY OR AS PART OF A TACTICAL ARRAY.</t>
  </si>
  <si>
    <t>FIELD ARTILLERY DIRECT FIRE RANGE</t>
  </si>
  <si>
    <t>ARTILLERY DIRECT FIRE RANGE</t>
  </si>
  <si>
    <t>A FIELD ARTILLERY DIRECT FIRE RANGE IS DESIGNED TO MEET TRAINING REQUIREMENTS OF FIELD ARTILLERY CREWS. THIS RANGE IS USED TO TRAIN FIELD ARTILLERY CREWS ON THE SKILLS NEC4ESSARY TO EMPLOY DIRECT FIRE GUNNERY TECHNIQUES WITH INDIRECT FIRE EQUIPMENT AGAINST STATIONARY TARGETS IN A TACTICAL ARRAY USING LIVE DIRECT FIRE ARTILLERY.</t>
  </si>
  <si>
    <t>TANK / FIGHTING VEHICLE STATIONARY GUNNERY RANGE</t>
  </si>
  <si>
    <t>TANK STATIONARY GUNNERY RANGE</t>
  </si>
  <si>
    <t>A TANK/FIGHTING VEHICLE STATIONARY GUNNERY RANGE IS DESIGNED FOR CONDUCTING WEAPONS SYSTEM BORE SIGHTING, SCREENING, ZEROING AND/OR HARMONIZATION. ARMOR, INFANTRY AND/OR AVIATION CREW USE THIS RANGE.</t>
  </si>
  <si>
    <t>MORTAR RANGE</t>
  </si>
  <si>
    <t>INDIRECT FIRE RANGE</t>
  </si>
  <si>
    <t>A MORTAR RANGE IS DESIGNED TO MEET THE TRAINING REQUIREMENTS OF MORTAR CREWMEN. THIS RANGE IS USED TO TRAIN MORTAR CREWS ON THE SKILLS NECESSARY TO APPLY FIRE MISSION DATA, ENGAGE, AND HIT STATIONARY TARGETS IN A TACTICAL ARRAY USING LIVE FIRE MORTARS.</t>
  </si>
  <si>
    <t>FIELD ARTILLERY INDIRECT FIRE RANGE</t>
  </si>
  <si>
    <t>A FIELD ARTILLERY INDIRECT FIRE RANGE IS DESIGNED TO MEET THE TRAINING AND QUALIFICATION REQUIREMENTS OF FIELD ARTILLERY UNITS. THIS RANGE IS USED TO TRAIN FIELD ARTILLERY CREWS ON THE SKILLS NECESSARY TO APPLY FIRE MISSION DATA, ENGAGE, AND HIT STATIONARY TARGETS IN A TACTICAL ARRAY WITH INDIRECT FIRE.</t>
  </si>
  <si>
    <t>MORTAR SCALED RANGE</t>
  </si>
  <si>
    <t>SCALED INDIRECT FIRE RANGE</t>
  </si>
  <si>
    <t>A MORTAR SCALED RANGE IS DESIGNED TO MEET THE TRAINING REQUIREMENTS OF MORTAR CREWMEN. THIS RANGE IS USED TO TRAIN MORTAR CREWS ON THE SKILLS NECESSARY TO APPLY FIRE MISSION DATA, ENGAGE, AND HIT STATIONARY TARGETS IN A TACTICAL ARRAY USING SUB-CALIBER TRAINING DEVICES.</t>
  </si>
  <si>
    <t>FIELD ARTILLERY SCALED RANGE</t>
  </si>
  <si>
    <t>A FIELD ARTILLERY SCALED RANGE IS DESIGNED TO MEET TRAINING REQUIREMENTS OF FIELD ARTILLERY CREWS. THIS RANGE IS USED TO TRAIN FIELD ARTILLERY CREWS ON THE SKILLS NECESSARY TO APPLY FIRE MISSION DATA, ENGAGE, AND HIT STATIONARY TARGETS IN A TACTICAL ARRAY USING SUB-CALIBER TRAINING DEVICES.</t>
  </si>
  <si>
    <t>SCALED GUNNERY RANGE (1:30 AND 1:60)</t>
  </si>
  <si>
    <t>SCALED GUNNERY RANGE</t>
  </si>
  <si>
    <t>A SCALED GUNNERY RANGE (1:30 AND 1:60) IS DESIGNED TO MEET TRAINING REQUIREMENTS OF ARMOR CREWS. THIS RANGE IS USED TO TRAIN ARMOR CREWS ON THE SKILLS NECESSARY TO DETECT, IDENTIFY, ENGAGE, AND HIT STATIONARY AND MOVING SCALED TARGETS IN A TACTICAL ARRAY USING SUB-CALIBER TRAINING DEVICES.</t>
  </si>
  <si>
    <t>SCALED GUNNERY RANGE (1:5 AND 1:10)</t>
  </si>
  <si>
    <t>A SCALED GUNNERY RANGE (1:50 AND 1:10) IS DESIGNED TO MEET TRAINING REQUIREMENTS OF ARMOR AND INFANTRY CREWS. THIS RANGE IS USED TO TRAIN ARMOR AND INFANTRY CREWS ON THE SKILLS NECESSARY TO DETECT, IDENTIFY, ENGAGE, AND HIT STATIONARY AND MOVING SCALED TARGETS IN A TACTICAL ARRAY USING SUB-CALIBER TRAINING DEVICES AND/OR SIMULATIONS.</t>
  </si>
  <si>
    <t>MULTIPURPOSE TRAINING RANGE</t>
  </si>
  <si>
    <t>ARMOR VEHICLE CREW TRAINING RANGE</t>
  </si>
  <si>
    <t>TEAM AND UNIT RANGES</t>
  </si>
  <si>
    <t>A MULTIPURPOSE TRAINING RANGE IS DESIGNED TO MEET THE TRAINING AND QUALIFICATION REQUIREMENTS FOR THE CREWS, TEAMS AND SECTIONS OF COMBAT UNITS. THIS RANGE IS USED TO TRAIN AND TEST ARMOR, INFANTRY, AND AVIATION CREWS AND SECTIONS ON THE SKILLS NECESSARY TO DETECT, IDENTIFY, ENGAGE, AND DEFEAT STATIONARY AND MOVING ARMOR AND INFANTRY TARGETS IN A TACTICAL ARRAY.</t>
  </si>
  <si>
    <t>AUTOMATED MULTIPURPOSE TRAINING RANGE</t>
  </si>
  <si>
    <t>AN AUTOMATED MULTIPURPOSE TRAINING RANGE IS SPECIFICALLY DESIGNED TO SATISFY THE TRAINING AND QUALIFICATION REQUIREMENTS FOR THE CREWS, TEAMS AND SECTIONS OF COMBAT UNITS. THIS RANGE SUPPORTS DISMOUNTED INFANTRY SQUAD TACTICAL LIVE-FIRE OPERATIONS EITHER INDEPENDENTLY OF, OR SIMULTANEOUSLY WITH SUPPORTING VEHICLES.</t>
  </si>
  <si>
    <t>TANK / FIGHTING VEHICLE PLATOON BATTLE RUN</t>
  </si>
  <si>
    <t>ARMOR VEHICLE UNIT TRAINING RANGE</t>
  </si>
  <si>
    <t>A TANK/FIGHTING VEHICLE PLATOON BATTLE RUN IS DESIGNED TO MEET THE TRAINING AND QUALIFICATION REQUIREMENTS FOR PLATOONS OF ARMOR AND INFANTRY UNITS. THIS RANGE IS USED TO TRAIN AND TEST ARMOR AND INFANTRY PLATOONS AND SECTIONS ON THE SKILLS NECESSARY TO DETECT, IDENTIFY, ENGAGE, AND DEFEAT STATIONARY AND MOVING ARMOR AND INFANTRY TARGETS IN A TACTICAL ARRAY.</t>
  </si>
  <si>
    <t>TANK/FIGHTING VEH MULTIPURPOSE RANGE COMPLEX, LIGHT, AUTO</t>
  </si>
  <si>
    <t>A TANK/FIGHTING VEHICLE MULTIPURPOSE RANGE COMPLEX, LIGHT, AUTOMATED, IS DESIGNED TO MEET THE TRAINING AND QUALIFICATION REQUIREMENTS FOR LIGHT AND MECHANIZED INFANTRY, ARMOR, AND AVIATION UNITS. IT IS USED TO TRAIN AND TEST INFANTRY, ARMOR, AND AVIATION TEAMS AND CREWS ON THE SKILLS NECESSARY TO DETECT, IDENTIFY, ENGAGE, AND DEFEAT STATIONARY AND MOVING ARMOR AND INFANTRY TARGETS.</t>
  </si>
  <si>
    <t>TANK/FIGHTING VEH MULTIPURPOSE RANGE COMPLEX, HEAVY, AUTO</t>
  </si>
  <si>
    <t>A TANK/FIGHTING VEHICLE MULTIPURPOSE RANGE COMPLEX, HEAVY, AUTOMATED, IS DESIGNED FOR TRAINING AND QUALIFICATION REQUIREMENTS FOR THE CREWS OF ARMOR, INFANTRY AND AVIATION UNITS. IT SUPPORTS INFANTRY SQUAD TACTICAL LIVE-FIRE OPERATIONS. IT IS USED TO TRAIN AND TEST ARMOR, INFANTRY, AND AVIATION TEAMS ON THE SKILLS TO DETECT, IDENTIFY, AND DEFEAT STATIONARY AND MOVING ARMOR AND INFANTRY TARGETS.</t>
  </si>
  <si>
    <t>FIRE AND MOVEMENT RANGE</t>
  </si>
  <si>
    <t>A FIRE AND MOVEMENT RANGE IS DESIGNED FOR TRAINING INDIVIDUAL AND BUDDY/TEAM FIRE AND MOVEMENT TECHNIQUES. THE TEAM NEGOTIATES MANEUVER UTILIZING COVER AND CONCEALMENT TECHNIQUES.</t>
  </si>
  <si>
    <t>SQUAD DEFENSE RANGE</t>
  </si>
  <si>
    <t>A SQUAD DEFENSE RANGE IS DESIGNED FOR TRAINING INDIVIDUALS AND SQUADS ON DEFENSIVE ENGAGEMENT TECHNIQUES AND MUTUALLY SUPPORTING FIRES. THIS RANGE IS USED TO TRAIN PERSONNEL ON THE SKILLS NECESSARY TO DESIGNATE SECTORS OF FIRE, IDENTIFY, AND PROVIDE SUPPRESSIVE FIRE ON STATIONARY INFANTRY TARGETS.</t>
  </si>
  <si>
    <t xml:space="preserve">INFANTRY SQUAD BATTLE COURSE </t>
  </si>
  <si>
    <t>INFANTRY BATTLE COURSE</t>
  </si>
  <si>
    <t>AN INFANTRY SQUAD BATTLE COURSE IS FOR THE TRAINING AND QUALIFICATION REQUIREMENTS OF TEAMS AND SQUADS ON INDIVIDUAL AND COLLECTIVE TACTICS, TECHNIQUES, AND PROCEDURES AND EMPLOYMENT IN TACTICAL SITUATIONS. IT IS USED TO TRAIN AND TEST TEAMS AND SQUADS ON THE SKILLS NECESSARY TO CONDUCT TACTICAL MOVEMENT TECHNIQUES, DETECT, IDENTIFY, AND DEFEAT STATIONARY AND MOVING ARMOR AND INFANTRY TARGETS.</t>
  </si>
  <si>
    <t xml:space="preserve">AUTOMATED INFANTRY SQUAD BATTLE COURSE </t>
  </si>
  <si>
    <t>AN AUTOMATED INFANTRY SQUAD BATTLE COURSE IS DESIGNED FOR TRAINING AND QUALIFICATION REQUIREMENTS OF TEAMS AND SQUADS ON INDIVIDUAL AND COLLECTIVE TACTICS, TECHNIQUES AND PROCEDURES AND EMPLOYMENT IN TACTICAL SITUATIONS. IT IS USED TO TRAIN AND TEST TEAMS AND SQUADS ON THE SKILLS TO CONDUCT TACTICAL MOVEMENT TECHNIQUES, DETECT, IDENTIFY, AND DEFEAT STATIONARY AND MOVING ARMOR AND INFANTRY TARGETS.</t>
  </si>
  <si>
    <t>INFANTRY PLATOON BATTLE COURSE</t>
  </si>
  <si>
    <t>AN INFANTRY PLATOON BATTLE COURSE IS DESIGNED FOR THE TRAINING AND QUALIFICATION REQUIREMENTS OF INFANTRY PLATOONS, EITHER MOUNTED OR DISMOUNTED, ON MOVEMENT TECHNIQUES AND OPERATIONS. THIS COMPLEX IS USED TO TRAIN AND TEST PLATOONS ON THE SKILLS NECESSARY TO CONDUCT TACTICAL MOVEMENT TECHNIQUES, DETECT, IDENTIFY, ENGAGE, AND DEFEAT STATIONARY AND MOVING ARMOR AND INFANTRY TARGETS.</t>
  </si>
  <si>
    <t>AUTOMATED INFANTRY PLATOON BATTLE COURSE</t>
  </si>
  <si>
    <t>AN AUTOMATED INFANTRY PLATOON BATTLE COURSE IS DESIGNED FOR THE TRAINING AND QUALIFICATION REQUIREMENTS OF INFANTRY PLATOONS, EITHER MOUNTED OR DISMOUNTED, ON MOVEMENT TECHNIQUES AND OPERATIONS. THIS COMPLEX IS USED TO TRAIN AND TEST PLATOONS ON THE SKILLS TO CONDUCT TACTICAL MOVEMENT TECHNIQUES, DETECT, IDENTIFY, ENGAGE, AND DEFEAT STATIONARY AND MOVING ARMOR AND INFANTRY TARGETS.</t>
  </si>
  <si>
    <t>MOUT ASSAULT COURSE</t>
  </si>
  <si>
    <t>URBAN COMBAT TRAINING RANGE</t>
  </si>
  <si>
    <t>A MOUT ASSAULT COURSE IS A FACILITY FOR LOW-LEVEL COLLECTIVE TRAINING USING LIVE FIRE OR MILES. THIS FACILITY IS USED FOR TRAINING SPECIFIC TASKS BEFORE TRAINING ON UNIT PROFICIENCY MOUT SITES OR COMBAT IN CITIES FACILITY, CARRIED UNDER CATEGORY CODE 179 61.</t>
  </si>
  <si>
    <t>LIVE HAND GRENADE RANGE</t>
  </si>
  <si>
    <t>EXPLOSIVES AND FLAME RANGES</t>
  </si>
  <si>
    <t>A LIVE HAND GRENADE RANGE IS DESIGNED TO SATISFY THE TRAINING REQUIREMENT OF THROWING LIVE FRAGMENTATION GRENADES. THIS RANGE FAMILIARIZES SOLDIERS WITH THE EFFECTS OF LIVE FRAGMENTATION GRENADES.</t>
  </si>
  <si>
    <t>ENGINEER QUALIFICATION RANGE, NON-STANDARDIZED</t>
  </si>
  <si>
    <t>ENGINEER QUALIFICATION RANGE</t>
  </si>
  <si>
    <t>AN ENGINEER QUALIFICATION RANGE, NON-STANDARDIZED, IS DESIGNED TO MEET THE TRAINING AND QUALIFICATION REQUIREMENTS FOR ENGINEER AND COMBAT ENGINEER CREWS. THIS RANGE IS USED TO TRAIN AND TEST ENGINEER CREWS ON THE SKILLS NECESSARY TO ZERO AND/OR BORESIGHT WEAPONS SYSTEMS, IDENTIFY, CLASSIFY, AND REDUCE OBSTACLES.</t>
  </si>
  <si>
    <t>ENGINEER QUALIFICATION RANGE, AUTOMATED/STANDARDIZED</t>
  </si>
  <si>
    <t>AN ENGINEER QUALIFICATION RANGE, AUTOMATED/STANDARDIZED, IS DESIGNED FOR THE TRAINING AND QUALIFICATION REQUIREMENTS OF ENGINEER AND COMBAT ENGINEER CREWS. THIS RANGE IS USED TO TRAIN AND TEST ENGINEER CREWS ON THE SKILLS NECESSARY TO ZERO AND / OR BORESIGHT WEAPONS SYSTEMS, IDENTIFY, CLASSIFY, AND REDUCE OBSTACLES.</t>
  </si>
  <si>
    <t>LIGHT DEMOLITION RANGE</t>
  </si>
  <si>
    <t>A LIGHT DEMOLITION RANGE IS DESIGNED FOR THE TRAINING AND QUALIFICATION OF EMPLOYING EXPLOSIVES AND DEMOLITION CHARGES. THIS RANGE IS USED TO TRAIN PERSONNEL ON THE PROPER TECHNIQUES OF WIRE, MINEFIELD AND CONCRETE OBSTACLE BREACHING, TIMBER AND STEEL CUTTING, ROAD CRATERING, AND EXPLOSIVE DEMOLITION.</t>
  </si>
  <si>
    <t>BAYONET ASSAULT COURSE</t>
  </si>
  <si>
    <t>GROUND COMBAT TRAINING STRUCTURE</t>
  </si>
  <si>
    <t>TRAINING FACILITIES OTHER THAN BUILDINGS</t>
  </si>
  <si>
    <t>A BAYONET ASSAULT COURSE IS DESIGNED FOR TRAINING ASSAULT TECHNIQUES WITH A RIFLE AND BAYONET. THESE TECHNIQUES ARE APPLIED THROUGH A SERIES OF OBSTACLES.</t>
  </si>
  <si>
    <t>TARGET DETECTION (TD) RANGE, NON-FIRING</t>
  </si>
  <si>
    <t>MISCELLANEOUS TRAINING FACILITY</t>
  </si>
  <si>
    <t>A TARGET DETECTION RANGE, NON-FIRING, IS A NON-FIRING RANGE TO TEACH SOLDIERS HOW TO DETECT PERSONNEL ON THE BATTLEFIELD UNDER VARYING DEGREES OF CONCEALMENT AND VISIBILITY.</t>
  </si>
  <si>
    <t>HAND TO HAND COMBAT PIT</t>
  </si>
  <si>
    <t>A HAND TO HAND COMBAT PIT IS A STRUCTURE CONTAINING A CIRCLE OF SAND OR SAWDUST FOR TRAINING IN HAND-TO-HAND FIGHTING.</t>
  </si>
  <si>
    <t>PRISONER OF WAR TRAINING AREA</t>
  </si>
  <si>
    <t>A PRISONER OF WAR TRAINING AREA IS TYPICALLY AND AREA FENCED IN WITH BARBED WIRE AND WITH GUARD TOWERS USED FOR THE TRAINING OF PERSONNEL IN THE HANDLING OF PRISONERS-OF-WAR. THE FACILITY MAY ALSO BE USED FOR THE TRAINING OF PERSONNEL IN A SIMULATED POW ENVIRONMENT.</t>
  </si>
  <si>
    <t>MINE WARFARE AREA</t>
  </si>
  <si>
    <t>A MINE WARFARE AREA IS A CLEARED AREA FOR TRAINING IN THE PLACEMENT, ARMING, DISARMING, AND DETECTION OF VEHICLE AND ANTI-PERSONNEL MINES USING NON-EXPLOSIVE TRAINING MATERIAL.</t>
  </si>
  <si>
    <t>WHEELED VEHICLE DRIVERS COURSE</t>
  </si>
  <si>
    <t>A WHEELED VEHICLE DRIVERS COURSE IS FOR TEACHING BASIC DRIVING SKILLS, AND FOR PRACTICE IN FOUR-WHEEL DRIVE SITUATIONS, PARKING, AND BACKING UP.</t>
  </si>
  <si>
    <t>TRACKED VEHICLE DRIVERS COURSE</t>
  </si>
  <si>
    <t>A TRACKED VEHICLE DRIVERS COURSE IS AN AREA TO TEACH THE BASIC DRIVING SKILLS OF STEERING AND GEAR SHIFTING ON A LEVEL COURSE. THE FACILITY MAY ALSO CONTAIN A HILLY COURSE FOR DEVELOPING ADVANCED TRACKED VEHICLE DRIVING SKILLS SUCH AS TURNING ON SLOPES AND NEGOTIATING STEEP GRADES.</t>
  </si>
  <si>
    <t>AMPHIBIOUS VEHICLE TRAINING AREA</t>
  </si>
  <si>
    <t>AN AMPHIBIOUS VEHICLE TRAINING AREA CONTAINS SAND OR IS CLOSE TO A BEACH FOR TRAINING MILITARY PERSONNEL ON UNIQUE DRIVING, TECHNICAL AND TACTICAL TASKS ASSOCIATED WITH AMPHIBIOUS OPERATIONS.</t>
  </si>
  <si>
    <t>SHIP LOADING AND UNLOADING MOCKUP</t>
  </si>
  <si>
    <t>A MOCKUP OF A SHIP USED FOR TRAINING PERSONNEL IN SHIP LOADING AND OFF-LOADING. TRAINING AREA CAN ALSO INCLUDE NEGOTIATING CARGO NETS USED DURING AMPHIBIOUS OPERATIONS AND OPERATIONS AT DOCKSIDE.</t>
  </si>
  <si>
    <t>AIRCRAFT GUNNERY, BOMBING, AND ROCKET RANGES</t>
  </si>
  <si>
    <t>AIRCRAFT WEAPONS RANGE</t>
  </si>
  <si>
    <t>AIRCRAFT GUNNERY, BOMBING AND ROCKET RANGES (AIRCRAFT WEAPONS RANGES) PROVIDE AIR CREWS WITH OPERATING AREAS FOR THE DEVELOPMENT OF PROFICIENCY IN GUNNERY, BOMBING, ROCKETRY, MISSILE DELIVERY, STRAFING, AND MINE LAYING.</t>
  </si>
  <si>
    <t>AIR TRANSPORT MOCKUP</t>
  </si>
  <si>
    <t>AN AIR TRANSPORT MOCKUP IS A RAMP AND A PLATFORM STRUCTURE USED TO SIMULATE VARYING TYPES OF FIXED- AND ROTARY-WING AIRCRAFT. STRUCTURE ALLOWS LOADING, SECURING, AND UNLOADING OF VEHICLES, EQUIPMENT, AND/OR PERSONNEL.</t>
  </si>
  <si>
    <t>ELEVATED TRAINING PLATFORM/TOWER</t>
  </si>
  <si>
    <t>Observation &amp; Training  Tower/Bunker</t>
  </si>
  <si>
    <t>A STRUCTURE THAT SUPPORTS VARIOUS TRAINING SCENARIOS, INCLUDING USES SUCH AS PARACHUTE LANDING PLATFORMS, SUSPENDED HARNESS MOCKUPS, AND MOCK JUMP TOWERS. LF MEASUREMENT REFERS TO HEIGHT</t>
  </si>
  <si>
    <t>RAPPELLING TRAINING AREA</t>
  </si>
  <si>
    <t>A RAPPELLING TRAINING AREA IS AN AREA THAT INCLUDES AT LEAST ONE STRUCTURE USED TO PRACTICE RAPPELLING (ROPE DESCENT). THE TRAINING AREA MAY ALSO INCLUDE MODIFIED TOWERS FOR TRAINING IN HELICOPTER RAPPELS. LF MEASUREMENT REFERS TO HEIGHT</t>
  </si>
  <si>
    <t>AIRFIELD DEMOLITION RANGE (ADR)</t>
  </si>
  <si>
    <t>AN EXPEDITIONARY TRAINING AREA COMPRISED OF CONSTRUCTED RUNWAY SURFACES THAT ARE INTENTIONALLY DAMAGED, THEN REPAIRED BY EXPEDITIONARY FORCES IN AN EFFORT TO INCREASE EXPEDIENCY OF REPAIRS DAMAGED IN THEATER BY INSURGENTS USING IEDS AND OTHER MEANS.</t>
  </si>
  <si>
    <t>TIMBER BRIDGE AREA</t>
  </si>
  <si>
    <t>A TIMBER BRIDGE AREA IS A CLEARED AREA BESIDE A DITCH OR RAVINE FOR ENGINEER UNITS TO PRACTICE BUILDING TIMBER BRIDGES.</t>
  </si>
  <si>
    <t>PANEL BRIDGE AREA</t>
  </si>
  <si>
    <t>A PANEL BRIDGE AREA IS A CLEARED AREA BESIDE A CREEK OR RAVINE FOR ENGINEER UNITS TO PRACTICE BUILDING PANEL BRIDGES.</t>
  </si>
  <si>
    <t>FLOATING BRIDGE SITE</t>
  </si>
  <si>
    <t>A FLOATING BRIDGE SITE IS A CLEARED RIVERBANK AREA FOR ENGINEER UNITS TO PRACTICE FORDING WATER OBSTACLES AND ERECTION AND RETRIEVAL OF FLOATING BRIDGING EQUIPMENT.</t>
  </si>
  <si>
    <t>AIRFIELD SITE SELECTION TRAINING AREA</t>
  </si>
  <si>
    <t>AN AIRFIELD SITE SELECTION TRAINING AREA IS CLEARED LAND USED TO TRAIN SOLDIERS IN THE FUNDAMENTALS OF SELECTING AND SECURING A SITE SUITABLE FOR TAKEOFFS AND PARKING OF ROTARY-WING AIRCRAFT.</t>
  </si>
  <si>
    <t>AERIAL GUNNERY RANGE</t>
  </si>
  <si>
    <t>ATTACK HELICOPTER WEAPONS RANGE</t>
  </si>
  <si>
    <t>AN AERIAL GUNNERY RANGE IS DESIGNED TO SUPPORT THE TRAINING AND QUALIFICATION REQUIREMENTS OF HELICOPTER GUNNERY. THIS RANGE IS USED TO TRAIN AND TEST HELICOPTER CREWS ON THE SKILLS NECESSARY TO DETECT, IDENTIFY, ENGAGE, AND HIT STATIONARY ARMOR AND INFANTRY TARGETS IN A TACTICAL ARRAY.</t>
  </si>
  <si>
    <t>SURFACE PROJECTILE RANGE</t>
  </si>
  <si>
    <t>THIS CODE IS FOR RANGES SUPPORTING SURFACE-LAUNCHED PROJECTILES AS OPPOSED TO RANGES FOR AIR-LAUNCHED PROJECTILES WHICH ARE CODED AS CATEGORY CODE 179 10. CRITERIA ARE NOT PRESENTLY AVAILABLE FOR SURFACE PROJECTILE RANGE REQUIREMENTS.</t>
  </si>
  <si>
    <t>MEDIUM HEAVY EQUIPMENT TRAINING AREA</t>
  </si>
  <si>
    <t>A MEDIUM HEAVY EQUIPMENT TRAINING AREA IS AN UNIMPROVED AREA FOR TRAINING IN PLACEMENT, COMPACTION, AND GRADING OF FILL, AND TRAINING IN CONSTRUCTION OF DRAINAGE STRUCTURES.</t>
  </si>
  <si>
    <t>WEAPONS RANGE OPERATIONS TOWER</t>
  </si>
  <si>
    <t>RANGE OPERATIONS TOWERS ARE USED AT GUNNERY, BOMBING, AND ROCKET RANGES TO PROVIDE AN UNOBSTRUCTED VIEW OF TARGET AREAS FOR PURPOSES OF CONTROL AND SPOTTING IMPACTS. LF MEASUREMENT REFERS TO HEIGHT</t>
  </si>
  <si>
    <t>CLOSE AIR SUPPORT RANGE</t>
  </si>
  <si>
    <t>A CLOSE AIR SUPPORT RANGE IS DESIGNED TO SUPPORT THE TRAINING AND QUALIFICATION REQUIREMENTS OF CLOSE AIR SUPPORT AIRCRAFT. THIS RANGE IS USED TO TRAIN AND TEST AIRCRAFT CREWS ON THE SKILLS NECESSARY TO PROVIDE AIR SUPPORT TO GROUND FORCES UNDER VARYING CONDITIONS.</t>
  </si>
  <si>
    <t>AERIAL BOMBING RANGE</t>
  </si>
  <si>
    <t>AN AERIAL BOMBING RANGE IS DESIGNED TO SUPPORT THE TRAINING AND QUALIFICATION REQUIREMENTS FOR FIXED-WING AIRCRAFT DROPPING THEIR ORDNANCE. THIS RANGE IS USED TO TRAIN AND TEST AIRCRAFT CREWS ON THE SKILLS NECESSARY TO DETECT AND SUPPRESS ENEMY TARGETS IN A TACTICAL ARRAY.</t>
  </si>
  <si>
    <t>SMALL ARMS RANGE - OUTDOOR</t>
  </si>
  <si>
    <t>A SMALL ARMS RANGE PROVIDES AN AREA FOR TRAINING IN THE USE OF PISTOLS, SMALL CALIBER RIFLES, AND SMALL CALIBER MACHINE GUNS. RANGES MUST BE AVAILABLE ALL YEAR TO PROVIDE CONTINUAL TRAINING AND RETRAINING FOR PERSONNEL WHO MUST BE PROFICIENT IN THE USE OF SMALL ARMS.</t>
  </si>
  <si>
    <t>AIR DEFENSE MISSILE FIRING RANGE</t>
  </si>
  <si>
    <t>AIR DEFENSE RANGE</t>
  </si>
  <si>
    <t>AN AIR DEFENSE MISSILE FIRING RANGE IS DESIGNED TO MEET TRAINING AND QUALIFICATION REQUIREMENTS OF AIR DEFENSE (LAAD/STINGER) UNITS. THIS RANGE IS USED TO TRAIN AND TEST CREWS ON THE SKILLS NECESSARY TO EMPLOY GROUND TO AIR ANTI-AIRCRAFT MISSILES AGAINST BALLISTIC AERIAL TARGET SYSTEMS (BATS).</t>
  </si>
  <si>
    <t>TRAINING MOCK-UPS</t>
  </si>
  <si>
    <t>THIS CODE INCLUDES MOCKUP STRUCTURES REPRESENTING ALL OR PARTS OF SHIPS, AIRCRAFT, TANKS, OR BUILDINGS FOR TRAINING PERSONNEL IN SKILLS SUCH AS DISASTER CONTROL, FIRE FIGHTING, AND EQUIPMENT HANDLING.</t>
  </si>
  <si>
    <t>TRAINING COURSE</t>
  </si>
  <si>
    <t>THIS CODE INCLUDES AREAS DESIGNATED FOR PERSONNEL TRAINING IN VARIOUS SKILLS UNDER ACTUAL OPERATIONAL CONDITIONS. TABLE 17950-1 OUTLINES THE FACILITIES OF THIS GROUP AND APPROXIMATE REQUIREMENTS.</t>
  </si>
  <si>
    <t>UNENCLOSED FIRE FIGHTER TRAINER</t>
  </si>
  <si>
    <t>UNENCLOSED FIRE FIGHTER TRAINER FACILITY</t>
  </si>
  <si>
    <t>A FIRE FIGHTING AND RESCUE TRAINING AREA IS AN OPEN AREA OR STRUCTURE CONSISTING OF A MOCKUP OF A MULTISTORY BUILDING, AIRCRAFT, OR VEHICLE FOR TRAINING IN FIRE CONTAINMENT, LADDER USE, ESCAPE, AND RESCUE FROM BUILDINGS.  FOR ENCLOSED FIRE FIGHTER TRAINER FACILITIES, SEE CCN 17953.</t>
  </si>
  <si>
    <t>ENCLOSED FIRE FIGHTER TRAINER FACILITY</t>
  </si>
  <si>
    <t>AN ENCLOSED FACILITY THAT HOUSES INTERIOR AND EXTERIOR  MOCKUPS OF AREAS WITHIN A SURFACE SHIP, SUBMARINE, OR MULTISTORY BUILDING FOR LIVE-FIRE FIGHTING AND RESCUE TRAINING.</t>
  </si>
  <si>
    <t>DAMAGE CONTROL (WET) TRAINER</t>
  </si>
  <si>
    <t>THIS CATEGORY CODE IS USED TO CAPTURE FACILITIES USED IN THE TRAINING OF SHIPBOARD FLOODING COUNTERMEASURES.  THESE FACILITIES INCLUDE BELOW-DECK SHIPBOARD MOCKUPS WITH WATER DELUGE SYSTEMS, OBSERVATION DECKS, TRAINING CLASSROOMS, ADMINISTRATIVE SPACES, AND WATER DELUGE PUMPS, PIPING, AND DRAINAGE SYSTEMS.</t>
  </si>
  <si>
    <t>COMBAT TRAINING POOL / TANK</t>
  </si>
  <si>
    <t>ME</t>
  </si>
  <si>
    <t>TRAINING POOL AND TANK</t>
  </si>
  <si>
    <t>TRAINING POOLS/TANKS</t>
  </si>
  <si>
    <t>A COMBAT TRAINING POOL/TANK IS PLANNED FOR INSTRUCTIONS IN SWIMMING AND SURVIVAL UNDER COMBAT CONDITIONS. THE SWIMMING POOL/TANK MAY BE PROVIDED ONLY AS REQUIRED FOR TRAINING PURPOSES.  THIS CCN IS FOR THE POOL ONLY AND DOES NOT INCLUDE THE BUILDING.  TRAINING POOL BUILDINGS ARE CAPTURED SEPARATELY UNDER CCN 17957 "COMBAT TRAINING POOL/TANK BUILDING".</t>
  </si>
  <si>
    <t>COMBAT TRAINING POOL/TANK BUILDING</t>
  </si>
  <si>
    <t>A BUILDING THAT HOUSES INDOOR TRAINING POOLS OR TANKS AND RELATED FUNCTIONS.  TRAINING POOLS/TANKS THEMSELVES ARE CAPTURED SEPARATELY UNDER CCN 17955.</t>
  </si>
  <si>
    <t>PARADE AND DRILL FIELD</t>
  </si>
  <si>
    <t>THIS FACILITY PROVIDES SPACE FOR FORMATION DRILLS, PARADE AND REVIEW FUNCTIONS, AND HONOR CEREMONIES. SUCH A FIELD MAY BE PLANNED FOR STATIONS HAVING INDEPENDENT COMMAND FUNCTIONS.</t>
  </si>
  <si>
    <t>COMBAT IN CITIES FACILITY</t>
  </si>
  <si>
    <t>A COMBAT IN CITIES FACILITY IS A NON-STANDARD TRAINING FACILITY THAT TYPICALLY INCLUDES THE BUILDINGS, ROADS, AND SIDEWALKS NORMALLY FOUND IN AN URBAN ENVIRONMENT, AND WHICH IS USED TO TRAIN AND SUSTAIN UNIT PROFICIENCY IN AN URBAN ENVIRONMENT.</t>
  </si>
  <si>
    <t>MOUT COLLECTIVE TRAINING FACILITY (SMALL)</t>
  </si>
  <si>
    <t>A MOUT COLLECTIVE TRAINING FACILITY (SMALL) IS DESIGNED TO MEET THE TRAINING REQUIREMENTS OF AN INFANTRY COMPANY-SIZED UNIT IN AN URBAN ENVIRONMENT. THIS STRUCTURE CONTAINS 24 BUILDINGS OR LESS AND IS USED TO TRAIN UNIT COLLECTIVE TASKS ASSOCIATED WITH URBAN TERRAIN.</t>
  </si>
  <si>
    <t>MOUT COLLECTIVE TRAINING FACILITY (LARGE)</t>
  </si>
  <si>
    <t>URBAN COMBAT TRAINING AREA, NON-FIRE</t>
  </si>
  <si>
    <t>A MOUT COLLECTIVE TRAINING FACILITY (LARGE) IS DESIGNED TO MEET THE TRAINING REQUIREMENTS OF AN INFANTRY BATTALION-SIZED UNIT IN AN URBAN ENVIRONMENT. THIS STRUCTURE CONTAINS MORE THAN 24 BUILDINGS AND IS USED TO TRAIN UNIT COLLECTIVE TASKS ASSOCIATED WITH URBAN TERRAIN.</t>
  </si>
  <si>
    <t>RADAR BOMB SCORING FACILITY</t>
  </si>
  <si>
    <t>A RADAR BOMB SCORING FACILITY (RBS) IS USED TO MEASURE, ELECTRONICALLY, AIRCRAFT SIMULATED-BOMBING RESULTS AND TO PRODUCE GRAPHIC FLIGHT PATH TRACKING DATA AND OTHER PERTINENT AIRCRAFT TARGET SCORING INFORMATION.</t>
  </si>
  <si>
    <t>ELECTRONIC WARFARE TRAINING RANGE</t>
  </si>
  <si>
    <t>TRAINING RANGE FOR USING REMOTE CONTROLLED EQUIPMENT SUCH AS ROBOTS FOR EOD TRAINING.</t>
  </si>
  <si>
    <t>UNDERWATER TRACKING TRAINING RANGE</t>
  </si>
  <si>
    <t>THE UNDERWATER TRACKING RANGE IS USED TO SUPPORT SURFACE AND SUBSURFACE WEAPON SYSTEM ACCURACY TRIALS AND DEVELOPMENT, TEST, AND EVALUATION PROJECTS. PLANNING FACTORS, STANDARDS, AND GUIDES FOR COMPUTING REQUIREMENTS FOR FACILITIES UNDER THIS CATEGORY ARE EXCLUDED FROM THIS PUB BECAUSE OF THE SPECIAL PROVISIONS AND VARIANCES IN THE APPLICATION OF CRITERIA FOR PLANNING UNDERWATER TRACKING RANGES.</t>
  </si>
  <si>
    <t>INFILTRATION COURSE</t>
  </si>
  <si>
    <t>INFILTRATION COURSE, LIVE FIRE</t>
  </si>
  <si>
    <t>AN INFILTRATION COURSE IS DESIGNED FOR TRAINING INDIVIDUAL INFILTRATION AND COMBAT MOVEMENT TECHNIQUES AND THEN EXECUTING THEM WHILE SUBJECT TO LIVE FIRE.</t>
  </si>
  <si>
    <t>CONFIDENCE COURSE</t>
  </si>
  <si>
    <t>CONFIDENCE/OBSTACLE COURSE</t>
  </si>
  <si>
    <t>A CONFIDENCE COURSE IS DESIGNED FOR DEVELOPING INDIVIDUAL SOLDIER CONFIDENCE AND STRENGTH THROUGH A SERIES OF OBSTACLES. NO AUTOMATION IS REQUIRED FOR THIS FACILITY.</t>
  </si>
  <si>
    <t>OBSTACLE COURSE</t>
  </si>
  <si>
    <t>AN OBSTACLE COURSE IS A FACILITY CONTAINING NUMEROUS OBSTACLES DESIGNED FOR DEVELOPING AND MEASURING INDIVIDUAL SOLDIER SPEED, AGILITY, AND COORDINATION UTILIZING VARIOUS OBSTACLES IN AN EFFORT TO REACH THE OBJECTIVE.</t>
  </si>
  <si>
    <t>AIRCRAFT ENGINE TEST CELL BUILDING</t>
  </si>
  <si>
    <t>AIRCRAFT ENGINE TEST BUILDING</t>
  </si>
  <si>
    <t>AIRCRAFT MAINTENANCE FACILITIES</t>
  </si>
  <si>
    <t>A BUILDING OR UTILIZATION IN A BUILDING USED AS AN ENGINE TEST CELL FOR EITHER IN-FRAME OR OUT-OF-FRAME ENGINE TESTING.  SOMETIMES REFERRED TO AS A "HUSH HOUSE."</t>
  </si>
  <si>
    <t>CORROSION CONTROL HANGAR</t>
  </si>
  <si>
    <t>AIRCRAFT CORROSION CONTROL HANGAR</t>
  </si>
  <si>
    <t>THIS HANGAR PROVIDES SPACE FOR WASHING, RINSING, PAINT STRIPPING, CORROSION REMOVAL, PROTECTIVE COATING AND PAINTING OF AIRCRAFT AT THE INTERMEDIATE AND ORGANIZATIONAL MAINTENANCE LEVELS.</t>
  </si>
  <si>
    <t>PRE-ENGINEERED MAINTENANCE HANGAR</t>
  </si>
  <si>
    <t>AIRCRAFT MAINTENANCE HANGAR</t>
  </si>
  <si>
    <t xml:space="preserve">THIS PRE-ENGINEERED MAINTENANCE HANGAR PROVIDES A FACILITY FOR AN ORGANIZATIONAL LEVEL MAINTENANCE OF NAVY AND MARINE CORPS AIRCRAFT. ITS INTENDED USE IS PRIMARILY AT OVERSEAS LOCATIONS FOR THE SUPPORT OF A DETACHMENT SIZE UNIT OF FROM THREE TO FIVE AIRCRAFT. </t>
  </si>
  <si>
    <t>MAINTENANCE HANGAR - OH SPACE (HIGH BAY)</t>
  </si>
  <si>
    <t>MAINTENANCE HANGARS ARE REQUIRED TO PROVIDE WEATHER-PROTECTED SHELTER FOR THE SERVICING AND REPAIR OF NAVY AND MARINE CORPS AIRCRAFT AT THE ORGANIZATIONAL LEVEL AND EMERGENCY SHELTER FOR OPERABLE AIRCRAFT.</t>
  </si>
  <si>
    <t>MAINTENANCE HANGAR - 01 SPACE (CREW AND EQUIPMENT)</t>
  </si>
  <si>
    <t>AIRCRAFT MAINTENANCE SHOP</t>
  </si>
  <si>
    <t>(01) IN ADDITION TO PROVIDING A WEATHER-PROTECTED SHELTER FOR THE SERVICING AND REPAIR OF NAVY AND MARINE CORPS AIRCRAFT AT THE ORGANIZATIONAL LEVEL AND EMERGENCY SHELTER FOR OPERABLE AIRCRAFT, IT ALSO CONTAINS SPACE FOR CREW AND EQUIPMENT.</t>
  </si>
  <si>
    <t>MAINTENANCE HANGAR - 02 SPACE (ADMINISTRATIVE)</t>
  </si>
  <si>
    <t>(02) IN ADDITION TO PROVIDING A WEATHER-PROTECTED SHELTER FOR THE SERVICING AND REPAIR OF NAVY AND MARINE CORPS AIRCRAFT AT THE ORGANIZATIONAL LEVEL AND EMERGENCY SHELTER FOR OPERABLE AIRCRAFT, IT ALSO CONTAINS ADMINISTRATIVE SPACE.</t>
  </si>
  <si>
    <t>AIRFRAMES SHOP (NON-NAVAIR DEPOT)</t>
  </si>
  <si>
    <t>AN INTERMEDIATE MAINTENANCE LEVEL IS REQUIRED AT NAVY AND MARINE CORPS AIR INSTALLATIONS FOR THE TESTING, MAINTENANCE AND REPAIR OF AIRFRAMES COMPONENTS. THIS SECTION PROVIDES THE METHOD FOR DETERMINING THE SPACE REQUIREMENTS FOR THIS DIVISION. THE PRIMARY FUNCTION OF THE AIRFRAMES SHOP IS TO REPAIR AIRCRAFT BOTH STRUCTURAL AND HYDRAULIC.</t>
  </si>
  <si>
    <t>AIRCRAFT BORESIGHT RANGE (NON-NAVAIR DEPOT)</t>
  </si>
  <si>
    <t>AIRCRAFT WEAPONS CALIBRATION RANGE</t>
  </si>
  <si>
    <t>ONE AIRCRAFT BORESIGHT RANGE IS REQUIRED AT NAVY AND MARINE CORPS AIR INSTALLATIONS THAT SERVICE AIRCRAFT EQUIPPED WITH FIXED GUNS OR GUN PODS. A TAXIWAY, CATEGORY CODE 112 10 IS REQUIRED FOR ACCESS TO THIS FACILITY. AN AIRCRAFT PARKING APRON WITH TIE-DOWNS, CATEGORY CODE 113 20 IS REQUIRED TO PARK AND SECURE THE AIRCRAFT DURING GUN ALIGNMENT.</t>
  </si>
  <si>
    <t>AIRCRAFT OVERHAUL AND REPAIR SHOP</t>
  </si>
  <si>
    <t>AIRCRAFT MAINTENANCE SHOP, DEPOT</t>
  </si>
  <si>
    <t>AN AIRCRAFT OVERHAUL AND REPAIR SHOP IS REQUIRED FOR THE AIRFRAME PRODUCTION SHOP OF THE NAVAL AIR DEPOT (NAVAIR DEPOT). THERE ARE GENERALLY TWO TYPES OF AIRCRAFT OVERHAUL AND REPAIR SHOPS. ONE SUPPORTS AIRCRAFT OVERHAUL AND REPAIR OF TRAINER AIRCRAFT, FIGHTER AIRCRAFT, AND HELICOPTERS AND ONE SUPPORTS AIRCRAFT OVERHAUL AND REPAIR OF CARGO, TRANSPORT, AND PATROL AIRCRAFT.</t>
  </si>
  <si>
    <t>CORROSION CONTROL - CLEANING SHOP</t>
  </si>
  <si>
    <t>THIS SHOP IS REQUIRED TO PROVIDE SPACE FOR AIRCRAFT CORROSION CONTROL AND DECONTAMINATION FACILITIES DESIGNED FOR CLEANING, PAINT STRIPPING, ETC., OF THE COMPLETE AIRCRAFT FOR THE AIRFRAME PRODUCTION SHOP OF THE NAVAL AIR DEPOT (NAVAIR DEPOT).</t>
  </si>
  <si>
    <t>PAINT AND FINISHING HANGAR (NAVAIR DEPOT)</t>
  </si>
  <si>
    <t>THIS HANGER IS REQUIRED FOR THE AIRFRAME PRODUCTION SHOP OF THE NAVAL AIR DEPOT (NAVAIR DEPOT). THIS FACILITY PROVIDES SPACE TO REPAINT AN ENTIRE AIRCRAFT.</t>
  </si>
  <si>
    <t>AIRCRAFT NON-DESTRUCTIVE TESTING SHOP (NAVAIR DEPOT)</t>
  </si>
  <si>
    <t>THIS SHOP IS REQUIRED TO PROVIDE SPACE FOR THE NON-DESTRUCTIVE INSPECTION OF AIRFRAMES FOR THE AIRFRAME PRODUCTION SHOP OF THE NAVAL AIR DEPOT (NAVAIR DEPOT).</t>
  </si>
  <si>
    <t>AIRCRAFT REWORK SHOP (NAVAIR DEPOT)</t>
  </si>
  <si>
    <t>THIS IS THE AIRFRAME PRODUCTION SHOP OF THE NAVAL AIR DEPOT, WHICH INCLUDES AN AIRFRAME DEDICATED MACHINE SHOP, WELDING SHOP, PLATING SHOP, EXAMINATION AND EVALUATION, PRE-SHOP ANALYSIS, EXAMINATION AND INSPECTION SHOP, MAINTENANCE DOCK, QUICK ENGINE CHANGE SHOP ? (USED FOR QUICK ENGINE CHANGE AND ENGINE BUILD-UP INCLUDING DIESEL AND RESEAL OPERATIONS AND FUEL SYSTEMS MAINTENANCE FACILITIES).</t>
  </si>
  <si>
    <t>LINE MAINTENANCE SHELTER  (NON-NAVAIR DEPOT)</t>
  </si>
  <si>
    <t>LINE MAINTENANCE SHELTERS ARE REQUIRED IN SUPPORT OF AIRCRAFT LOCATED ON AIRCRAFT PARKING APRONS AND AT AIRCRAFT BORESIGHT RANGES (CATEGORY CODE 21109).</t>
  </si>
  <si>
    <t>AIRCRAFT INTERMEDIATE MAINTENANCE MANAGEMENT (NON-DEPOT)</t>
  </si>
  <si>
    <t>FACILITY FOR THE CONTROL, MONITORING, AND ADMINISTRATION OF THE INTERMEDIATE MAINTENANCE ACTIVITY (IMA). IT INCLUDES ADMINISTRATION AND SUPERVISION OF THE MAINTENANCE; PRODUCTION, QUALITY, AND MATERIAL CONTROL, FINANCIAL ACCOUNTING, TRAINING, PERSONNEL, ADMINISTRATION, TECHNICAL PUBLICATIONS LIBRARY, DATA ANALYSIS, AND TOOL CONTROL FOR COMMON AND SPECIAL TOOLS AND TEST EQUIPMENT.</t>
  </si>
  <si>
    <t>REGIONAL AIRCRAFT SERVICE FACILITY</t>
  </si>
  <si>
    <t>FACILITY PROVIDES SPACE TO PERFORM AIRCRAFT IN-SERVICE REPAIR (ISR), INTEGRATED MAINTENANCE (IMC/IMP), MODIFICATIONS (MOD) AND OTHER PROGRAM WORK THAT MAY CONCURRENTLY INVOLVE DEPOT, INTERMEDIATE, AND ORGANIZATIONAL LEVEL WORK ON AIRCRAFT BY SQUADRON, IMA, NAVAL AIR DEPOT (NAVAIR DEPOT), AND/OR CONTRACTOR PERSONNEL.</t>
  </si>
  <si>
    <t>AIRCRAFT ENGINE OVERHAUL SHOP (NAVAIR DEPOT)</t>
  </si>
  <si>
    <t>PROVIDES SPACE ASSOCIATED WITH PROCESSING JET, TURBOJET, AND RECIPROCATING TYPE AVIATION ENGINES IN TERMS OF OVERHAUL, LOW TIME REPAIR, COMPLETE REPAIR, AND MAJOR INSPECTION. THE WORK FUNCTIONS PERFORMED WITHIN THIS SPACE INCLUDE UNCANNING, DISASSEMBLY, CLEANING, MATERIAL EXAMINATION, PARTS RECONDITIONING, SUBASSEMBLY, FINAL ASSEMBLY AND PRESERVATION.</t>
  </si>
  <si>
    <t>ENGINE MAINTENANCE SHOP (NON-NAVAIR DEPOT)</t>
  </si>
  <si>
    <t>PROVIDES SPACE FOR ALL WORK CENTERS WITHIN THE POWER PLANTS DIVISION OF AN INTERMEDIATE LEVEL MAINTENANCE ACTIVITY (IMA).</t>
  </si>
  <si>
    <t>ENGINE PREPARATION AND STORAGE SHOP (NAVAIR DEPOT)</t>
  </si>
  <si>
    <t>PROVIDES SPACE USED IN PREPARING ENGINES FOR TEST, STORAGE OR SHIPMENT FOR THE ENGINE PRODUCTION SHOP OF THE NAVAL AIR DEPOT (NAVAIR DEPOT).</t>
  </si>
  <si>
    <t>ENGINE EXAMINATION AND EVALUATION SHOP (NAVAIR DEPOT)</t>
  </si>
  <si>
    <t>ENGINE EXAMINATION AND EVALUATION SHOP OF THE NAVAL AIR DEPOT OF THE NAVAL AIR DEPOT (NAVAIR DEPOT). INCLUDED WITHIN THIS CATEGORY CODE ARE: ENGINE NON-DESTRUCTIVE TESTING SHOP; AND ENGINE EXAMINATION AND EVALUATION, PRE-SHOP ANALYSIS, EXAMINATION AND INSPECTION SHOP.</t>
  </si>
  <si>
    <t>DEDICATED AIRCRAFT ENGINE OVERHAUL - GENL PROC (NAV DEPOT)</t>
  </si>
  <si>
    <t>DEDICATED AIRCRAFT ENGINE OVERHAUL ? GENERAL PROCESS SHOP TO SUPPORT THE ENGINE PRODUCTION SHOP OF THE NAVAL AIR DEPOT (NAVAIR DEPOT). INCLUDED WITHIN THIS CATEGORY CODE ARE:  ENGINE DEDICATED CLEANING SHOP; ENGINE DEDICATED PAINT SHOP; ENGINE DEDICATED MACHINE SHOP; ENGINE DEDICATED PLATING SHOP; ENGINE DEDICATED WELDING SHOP; AND ENGINE DEDICATED MODIFICATION AND REPAIR SHOP.</t>
  </si>
  <si>
    <t>JET ENGINE OVERHAUL SHOP (NAVAIR DEPOT)</t>
  </si>
  <si>
    <t>JET ENGINE OVERHAUL SHOP SUPPORTS THE ENGINE PRODUCTION SHOP OF THE NAVAL AIR DEPOT (NAVAIR DEPOT).</t>
  </si>
  <si>
    <t>RECIPROCATING ENGINE OVERHAUL SHOP (NAVAIR DEPOT)</t>
  </si>
  <si>
    <t>RECIPROCATING ENGINE OVERHAUL SHOP SUPPORTS THE ENGINE PRODUCTION SHOP OF THE NAVAL AIR DEPOT (NAVAIR DEPOT).</t>
  </si>
  <si>
    <t>TURBINE ENGINE OVERHAUL SHOP (NAVAIR DEPOT)</t>
  </si>
  <si>
    <t>TURBINE ENGINE OVERHAUL SHOP SUPPORTS THE ENGINE PRODUCTION SHOP OF THE NAVAL AIR DEPOT (NAVAIR DEPOT).</t>
  </si>
  <si>
    <t>AIRCRAFT AND ENGINE ACCESSORIES OVERHAUL SHOP (NAV DEPOT)</t>
  </si>
  <si>
    <t>PROVIDES SPACE FOR THE OVERHAUL AND TESTING OF MISCELLANEOUS ACCESSORIES SUCH AS CONTROL ASSEMBLIES, ENGINE FUEL SYSTEM COMPONENTS, AND ACCESSORIES GEAR DRIVE FOR THE ACCESSORIES AND COMPONENTS PRODUCTION SHOP OF THE NAVAL AIR DEPOT (NAVAIR DEPOT).</t>
  </si>
  <si>
    <t>DEDICATED AIRCRAFT &amp; ENGINE ACCESS OH - GEN PROC (DEPOT)</t>
  </si>
  <si>
    <t>DEDICATED AIRCRAFT AND ENGINE ACCESSORIES OVERHAUL SHOP INCLUDES THE FOLLOWING DEDICATED SHOPS: CLEANING, PAINT, MACHINE, PLATING, WELDING, EXAMINATION AND EVALUATION, PRE-SHOP ANALYSIS, EXAMINATION AND INSPECTION, HAZARDOUS TEST SHOP.</t>
  </si>
  <si>
    <t>METAL COMPONENTS SHOP (NAVAIR DEPOT)</t>
  </si>
  <si>
    <t>ACCESSORIES AND COMPONENTS PRODUCTION SHOP OF THE NAVAIR DEPOT  INCLUDES THE FOLLOWING SHOPS: TANK AND RADIATOR REPAIR; SHEET METAL; METAL SURFACE; SEAT REPAIR, METAL BONDING, AND CONTAINER RECLAMATION.</t>
  </si>
  <si>
    <t>NON-METAL COMPONENTS SHOP (NAVAIR DEPOT)</t>
  </si>
  <si>
    <t>NON-METALS COMPONENTS SHOP OF THE NAVAIR DEPOT INCLUDES THE FOLLOWING SHOPS: LIFE RAFT REPAIR; RUBBER REPAIR SHOP; PARACHUTE REPAIR SHOP; FABRIC AND UPHOLSTERY SHOP; TIRE REPAIR SHOP; PLASTIC AND FIBERGLASS SHOP; AND COMPOSITE REWORK SHOP.</t>
  </si>
  <si>
    <t>DYNAMIC COMPONENTS SHOP (NAVAIR DEPOT)</t>
  </si>
  <si>
    <t>ACCESSORIES AND COMPONENTS PRODUCTION SHOP OF THE NAVAL AIR DEPOT (NADEP).  INCLUDED WITHIN THIS CATEGORY CODE ARE: PROPELLER AND PROPELLER CONTROL OVERHAUL SHOP; ROTOR HEAD OVERHAUL SHOP; ROTOR BLADE OVERHAUL SHOP; TRANSMISSION/GEARBOX OVERHAUL SHOP; AND DYNAMIC DRIVE SYSTEM OVERHAUL SHOP.</t>
  </si>
  <si>
    <t>HYDRAULIC COMPONENTS SHOP (NAVAIR DEPOT)</t>
  </si>
  <si>
    <t>HYDRAULIC COMPONENTS SHOP OF THE NAVAIR DEPOT. INCLUDED WITHIN THIS CATEGORY CODE ARE: HYDRAULIC COMPONENTS OVERHAUL SHOP; BEARINGS SHOP; AND AIRCRAFT LANDING GEAR SHOP.</t>
  </si>
  <si>
    <t>ELECTRICAL COMPONENTS SHOP (NAVAIR DEPOT)</t>
  </si>
  <si>
    <t>ELECTRICAL COMPONENTS SHOP OF THE NAVAIR DEPOT. INCLUDED WITHIN THIS CATEGORY CODE ARE: ALTERNATOR DRIVE OVERHAUL SHOP; ELECTRICAL ACCESSORIES OVERHAUL AND TEST SHOP; BATTERY SHOP; CONSTANT SPEED DRIVE SHOP; AND ELECTRO-MECHANICAL COMPONENTS SHOP.</t>
  </si>
  <si>
    <t>TURBINE ACCESSORIES SHOP (NAVAIR DEPOT)</t>
  </si>
  <si>
    <t>TURBINE ACCESSORIES SHOP OF THE NAVAIR DEPOT. INCLUDED WITHIN THIS CATEGORY CODE ARE: TURBINE ACCESSORIES OVERHAUL SHOP; TURBINE ACCESSORIES TEST SHOP; GENERAL PURPOSE UNITS SHOP; GENERAL PURPOSE UNITS TESTS SHOP; RAM/AIR TURBINE ACCESSORIES OVERHAUL SHOP; AND RAM/AIR TURBINE ACCESSORIES TEST SHOP.</t>
  </si>
  <si>
    <t>PNEUMATIC OXYGEN SHOP (NAVAIR DEPOT)</t>
  </si>
  <si>
    <t>PNEUMATIC OXYGEN SHOP SUPPORTS THE ACCESSORIES AND COMPONENTS PRODUCTION SHOP OF THE NAVAIR DEPOT. INCLUDED WITHIN THIS CATEGORY CODE ARE: PNEUMATIC COMPONENTS OVERHAUL SHOP; CRYOGENICS SHOP; AND OXYGEN EQUIPMENT SHOP.</t>
  </si>
  <si>
    <t>OPTICAL AND PHOTOGRAPHIC COMPONENTS SHOP (NAVAIR DEPOT)</t>
  </si>
  <si>
    <t>OPTICAL AND PHOTOGRAPHIC COMPONENTS SHOP SUPPORTS THE ACCESSORIES AND COMPONENTS PRODUCTION SHOP OF THE (NAVAIR DEPOT). INCLUDED WITHIN THIS CATEGORY CODE ARE: PHOTOGRAPHIC EQUIPMENT REPAIR SHOP AND OPTICAL COMPONENT REPAIR SHOP.</t>
  </si>
  <si>
    <t>ELECTRONICS, COMMUNICATION AND ARMAMENT SYS SHOP (DEPOT)</t>
  </si>
  <si>
    <t>A SHOP THAT PROVIDES SPACE ASSOCIATED WITH PROCESSING AIRBORNE COMMUNICATION AND NAVIGATION EQUIPMENT, INSTRUMENTS, AIRBORNE DATA COMPUTERS, FIRE CONTROL AND BOMBING SYSTEM EQUIPMENT, GYROSCOPES, INERTIAL GUIDANCE SYSTEMS, AND OTHER AVIONICS EQUIPMENT.</t>
  </si>
  <si>
    <t>DEDICATED ELECTRON,COMM &amp; ARMAMENT - GENL PROC (DEPOT)</t>
  </si>
  <si>
    <t>SPECIALIZED SHOP THAT SUPPORTS THE ELECTRONIC, COMMUNICATION, AND ARMAMENT SYSTEMS PRODUCTION SHOP OF THE NAVAIR DEPOT. INCLUDED WITHIN THIS CATEGORY CODE ARE ELECTRONICS, COMMUNICATION, AND ARMAMENT SYSTEMS DEDICATED: CLEANING SHOP; PAINT SHOP; MACHINE SHOP; WELDING SHOP; PLATING SHOP; BEARINGS SHOP; AND INSTRUMENT OVERHAUL SHOP.</t>
  </si>
  <si>
    <t>ELECTRONIC SYSTEM COMPONENTS SHOP (NAVAIR DEPOT)</t>
  </si>
  <si>
    <t>SPECIALIZED SHOP THAT SUPPORTS ELECTRONIC, COMMUNICATION, AND ARMAMENT SYSTEMS PRODUCTION SHOP OF THE NAVAIR DEPOT. INCLUDED WITHIN THIS CATEGORY CODE ARE: ARMAMENT AND AVIONICS SHOP; AIRBORNE SYSTEMS SOFTWARE SHOP; NAVIGATIONAL AIDS REPAIR SHOP; AND AVIONICS TESTING SHOP.</t>
  </si>
  <si>
    <t>INERTIAL QUALITY INSTRUMENT OVERHAUL SHOP (NAVAIR DEPOT)</t>
  </si>
  <si>
    <t>INERTIAL QUALITY INSTRUMENT OVERHAUL SHOP OF THE NAVAIR DEPOT. INCLUDED WITHIN THIS CATEGORY CODE ARE: INERTIAL QUALITY GYROSCOPE OVERHAUL SHOP AND INERTIAL GUIDANCE SYSTEM OVERHAUL AND CALIBRATION SHOP.</t>
  </si>
  <si>
    <t>NON-INERTIAL QUALITY INSTRUMENT OVERHAUL SHP (DEPOT)</t>
  </si>
  <si>
    <t xml:space="preserve">SPECIALIZED SHOP THAT SUPPORTS THE ELECTRONIC, COMMUNICATION, AND ARMAMENT SYSTEMS PRODUCTION SHOP OF THE NAVAIR DEPOT. INCLUDED WITHIN THIS CATEGORY CODE ARE: ELECTRONIC INSTRUMENT OVERHAUL SHOP; MECHANICAL INSTRUMENT OVERHAUL SHOP; NON-INERTIAL GYROSCOPE OVERHAUL SHOP; AND MAGNETIC INSTRUMENT OVERHAUL AND TEST SHOP. </t>
  </si>
  <si>
    <t>AVIONICS SHOP (NON-NAVAIR DEPOT)</t>
  </si>
  <si>
    <t>AVIONICS DIVISION INTERMEDIATE MAINTENANCE LEVEL SHOP IS USED FOR THE TESTING, MAINTENANCE AND REPAIR OF AVIONICS SYSTEMS. IT UTILIZES STANDARD SIZE WORK CENTERS, VARIABLE SIZE WORK CENTERS AND SUPPORT SPACES.</t>
  </si>
  <si>
    <t>AIRCRAFT ARMAMENT / MISSILE REWORK SHOP (NAVAIR DEPOT)</t>
  </si>
  <si>
    <t>AIRCRAFT ARMAMENT/MISSILE REWORK SHOP IS REQUIRED TO PROVIDE SPACE ASSOCIATED WITH PROCESSING AIRCRAFT WEAPONS INCLUDING GUNS, MISSILES, BOMB RACKS, WEAPON PYLONS, ETC.</t>
  </si>
  <si>
    <t>DEDICATED ACFT ARMAMENT/MISSILE REWORK GEN PURP (DEPOT)</t>
  </si>
  <si>
    <t>A DEDICATED AIRCRAFT ARMAMENT/MISSILE REWORK ? GENERAL PURPOSE SHOP SUPPORTS THE ARMAMENT PRODUCTION SHOP OF THE NAVAL AIR DEPOT (NAVAIR DEPOT). INCLUDED WITHIN THIS CATEGORY CODE ARE ARMAMENT DEDICATED: CLEANING SHOP; PAINT SHOP; MACHINE SHOP; WELDING SHOP; PLATING SHOP; WEAPON OVERHAUL AND TEST SHOP; ORDNANCE EQUIPMENT SHOP; AND WEAPON ACCESSORIES REPAIR SHOP.</t>
  </si>
  <si>
    <t>AIRCRAFT WEAPON OVERHAUL AND TEST SHOP (NAVAIR DEPOT)</t>
  </si>
  <si>
    <t>A SHOP IS REQUIRED TO PROVIDE SPACE FOR THE REPAIR OF AIR LAUNCHED MISSILES FOR THE ARMAMENT PRODUCTION SHOP OF THE NAVAIR DEPOT.  INCLUDED WITHIN THIS CATEGORY CODE ARE: AIRCRAFT WEAPON OVERHAUL AND TEST SHOP; ORDNANCE EQUIPMENT SHOP; AND WEAPON ACCESSORIES REPAIR SHOP.</t>
  </si>
  <si>
    <t>AIR LAUNCHED MISSILE REWORK SHOP (NAVAIR DEPOT)</t>
  </si>
  <si>
    <t>AIR LAUNCHED MISSILE REWORK SHOP IS REQUIRED TO PROVIDE SPACE FOR THE REPAIR OF AIR LAUNCHED MISSILES FOR THE ARMAMENT PRODUCTION SHOP OF THE NAVAL AIR DEPOT (NAVAIR DEPOT).</t>
  </si>
  <si>
    <t>AVIATION ARMAMENT SHOP (NON-NAVAIR DEPOT)</t>
  </si>
  <si>
    <t>INTERMEDIATE MAINTENANCE LEVEL SHOP USED TO SUPPORT AIRCRAFT CAPABLE OF BEING ARMED. ALTHOUGH MISSILES AND ROCKETS ARE HANDLED AT THE MISSILE MAINTENANCE SHOP OR ROCKET ASSEMBLY AND LOADING AREAS, MAINTENANCE OF REUSABLE OR NON-EXPENDABLE TYPE ROCKET LAUNCHERS CLASSIFIED AS AMMUNITION ITEMS AND MAINTENANCE AND STORAGE OF MISSILE LAUNCHERS ARE HANDLED IN THE ARMAMENT SHOP.</t>
  </si>
  <si>
    <t>AVIATION ARMAMENT SUPPORT EQUIPMENT HLDG SHD (NON-DEPOT)</t>
  </si>
  <si>
    <t>COVERED STORAGE SHED, DEPOT</t>
  </si>
  <si>
    <t>FOR MARINE CORPS ACTIVITIES, AN AVIATION ARMAMENT SUPPORT EQUIPMENT HOLDING SHED IS PLANNED IN CONJUNCTION WITH THE CATEGORY CODE 211 54. THE SHED PROVIDES COVER FOR WEAPONS TRAILERS, BOMB CRADLES, SHORT AIRFIELD AND TACTICAL SUPPORT (SATS) TENTS, AND OTHER ARMAMENT SUPPORT EQUIPMENT AND IS AN INTEGRAL PART OF MARINE CORPS HEADQUARTERS AND MAINTENANCE SQUADRONS? ORDNANCE DIVISIONS</t>
  </si>
  <si>
    <t>SUPPORT EQUIPMENT REWORK SHOP (NAVAIR DEPOT)</t>
  </si>
  <si>
    <t>A SUPPORT EQUIPMENT REWORK SHOP IS REQUIRED TO PROVIDE SPACE ASSOCIATED WITH PROCESSING AVIATION GENERAL AND SPECIAL SUPPORT EQUIPMENT AND AEROSPACE GROUND SUPPORT EQUIPMENT.</t>
  </si>
  <si>
    <t>DEDICATED SUPPORT EQUIPMENT REWORK GEN PURP SHP (DEPOT)</t>
  </si>
  <si>
    <t>SPECIALIZED SHOP USED TO SUPPORT THE SUPPORT EQUIPMENT PRODUCTION SHOP OF THE NAVAL AIR DEPOT (NAVAIR DEPOT). INCLUDED WITHIN THIS CATEGORY CODE ARE SUPPORT EQUIPMENT DEDICATED:  CLEANING SHOP; PAINT SHOP; MACHINE SHOP; PLATING SHOP; AND WELDING SHOP.</t>
  </si>
  <si>
    <t>SUPPORT EQUIPMENT CALIBRATION SHOP (NAVAIR DEPOT)</t>
  </si>
  <si>
    <t>SPECIALIZED SHOP USED TO SUPPORT THE SUPPORT EQUIPMENT PRODUCTION SHOP OF THE NAVAL AIR DEPOT (NAVAIR DEPOT). INCLUDED WITHIN THIS CATEGORY CODE ARE: AERONAUTICAL ELECTRONIC SUPPORT EQUIPMENT SHOP; ELECTRONIC TEST SYSTEMS REPAIR SHOP; AND PRECISION MEASUREMENT EQUIPMENT SHOP .</t>
  </si>
  <si>
    <t>GROUND SUPPORT EQUIPMENT REWORK SHOP (NARF)</t>
  </si>
  <si>
    <t>A GROUND SUPPORT EQUIPMENT REWORK SHOP IS REQUIRED FOR THE SUPPORT EQUIPMENT PRODUCTION SHOP OF THE NAVAL AIR DEPOT (NAVAIR DEPOT). INCLUDED WITHIN THIS CATEGORY CODE ARE:  GSE MAINTENANCE SHOP, TRAINING DEVICES SHOP, HYDROSTATICS SHOP. THERE ARE NO SPECIFIC CRITERIA DEVELOPED FOR THIS CATEGORY CODE.</t>
  </si>
  <si>
    <t>GROUND SUPPORT EQUIPMENT HOLDING SHED (NAVAIR DEPOT)</t>
  </si>
  <si>
    <t>INSTALLATION SUPPORT EQUIPMENT MAINTENANCE SHED</t>
  </si>
  <si>
    <t>A GROUND SUPPORT EQUIPMENT HOLDING SHED IS REQUIRED FOR THE SUPPORT EQUIPMENT PRODUCTION SHOP OF THE NAVAL AIR DEPOT (NAVAIR DEPOT).  THERE ARE NO SPECIFIC CRITERIA DEVELOPED FOR THIS CATEGORY CODE.</t>
  </si>
  <si>
    <t>AIRBORNE WEAPONS SUPPORT EQUIPMENT SHOP (NAVAIR DEPOT)</t>
  </si>
  <si>
    <t>AN AIRBORNE WEAPONS SUPPORT EQUIPMENT SHOP IS REQUIRED FOR THE SUPPORT EQUIPMENT PRODUCTION SHOP OF THE NAVAL AIR DEPOT (NAVAIR DEPOT).  THERE ARE NO SPECIFIC CRITERIA DEVELOPED FOR THIS CATEGORY CODE.</t>
  </si>
  <si>
    <t>MANUFACTURING AND REPAIR SHOP (NAVAIR DEPOT)</t>
  </si>
  <si>
    <t xml:space="preserve">A MANUFACTURING AND REPAIR SHOP IS REQUIRED TO PROVIDE SPACE FOR AIRCRAFT REPAIR OPERATIONS BY SUCH WORK FUNCTIONS AS PARTS CLEANING AND PAINTING, PLATING AND METAL PROCESSING SHOP.  THERE ARE NO SPECIFIC CRITERIA DEVELOPED FOR THIS CATEGORY CODE. </t>
  </si>
  <si>
    <t>DEDICATED MANUFACTURING &amp; REPAIR GEN PURP SHP (DEPOT)</t>
  </si>
  <si>
    <t>A MANUFACTURING AND REPAIR - GENERAL PURPOSE SHOP IS REQUIRED FOR THE MANUFACTURE AND REPAIR PRODUCTION SHOP  (NAVAIR DEPOT). INCLUDED WITHIN THIS CATEGORY CODE ARE: WELDING SHOP, FOUNDRY SHOP, PEENING AND BLASTING SHOP, NON-DESTRUCTIVE INSPECTION ? MAGNETIC PARTICLE, DYE PENETRANT, ETC, PARTS CLEANING SHOP, PARTS PAINTING SHOP, THERE ARE NO SPECIFIC CRITERIA DEVELOPED FOR THIS CATEGORY CODE.</t>
  </si>
  <si>
    <t>METAL FABRICATION / MANUFACTURING SHOP (NAVAIR DEPOT)</t>
  </si>
  <si>
    <t>A METAL FABRICATION/MANUFACTURING SHOP IS REQUIRED FOR THE MANUFACTURE AND REPAIR PRODUCTION SHOP OF THE NAVAL AIR DEPOT (NAVAIR DEPOT). INCLUDED WITHIN THIS CATEGORY CODE ARE:  MACHINE SHOP, GRINDING SHOP, NC MACHINE SHOP, METAL PARTS FABRICATION SHOP. THERE ARE NO SPECIFIC CRITERIA DEVELOPED FOR THIS CATEGORY CODE.</t>
  </si>
  <si>
    <t>METAL TREATMENT SHOP (NAVAIR DEPOT)</t>
  </si>
  <si>
    <t>A METAL TREATMENT SHOP IS REQUIRED FOR THE MANUFACTURE AND REPAIR PRODUCTION SHOP OF THE NAVAL AIR DEPOT (NAVAIR DEPOT). INCLUDED WITHIN THIS CATEGORY CODE ARE:  METAL PROCESSING SHOP, PLATING SHOP, HEAT TREATING SHOP. THERE ARE NO SPECIFIC CRITERIA DEVELOPED FOR THIS CATEGORY CODE.</t>
  </si>
  <si>
    <t>NON-METAL FABRICATION / MANUFACTURING SHOP (NAVAIR DEPOT)</t>
  </si>
  <si>
    <t>A NON-METAL FABRICATION/MANUFACTURING SHOP IS REQUIRED FOR THE MANUFACTURE AND REPAIR PRODUCTION SHOP OF THE NAVAL AIR DEPOT (NAVAIR DEPOT). INCLUDED WITHIN THIS CATEGORY CODE ARE:  PLASTIC FABRICATION SHOP, PATTERN SHOP, DECAL (GRAPHIC ARTS) SHOP, WOODWORKING SHOP, RUBBER FABRICATION SHOP. THERE ARE NO SPECIFIC CRITERIA DEVELOPED FOR THIS CATEGORY CODE.</t>
  </si>
  <si>
    <t>PARACHUTE &amp; SURVIVAL EQUIPMENT SHOP (NON-NAVAIR DEPOT)</t>
  </si>
  <si>
    <t>PARACHUTE AND DINGHY MAINTENANCE SHOP</t>
  </si>
  <si>
    <t>AN AVIATION LIFE SUPPORT SYSTEMS SHOP IS REQUIRED AT NAVY AND MARINE CORPS AIR INSTALLATIONS FOR INSPECTING, REPAIRING, AND REPACKING OF PARACHUTES, FLOTATION DEVICES, OXYGEN AND OTHER LIFE SUPPORT EQUIPMENT.</t>
  </si>
  <si>
    <t>MISCELLANEOUS PARTS / COMPONENTS REPR SHOP (NAVAIR DEPOT)</t>
  </si>
  <si>
    <t>A MISCELLANEOUS PARTS/COMPONENTS REPAIR SHOP IS REQUIRED FOR THE MANUFACTURE AND REPAIR PRODUCTION SHOP OF THE NAVAL AIR DEPOT (NAVAIR DEPOT). INCLUDED WITHIN THIS CATEGORY CODE ARE:  TUBING SHOP, CABLE SHOP, CORDAGE (FLIGHT CONTROLS) SHOP, ELECTRICAL CABLE/HARNESS SHOP. THERE ARE NO SPECIFIC CRITERIA DEVELOPED FOR THIS CATEGORY CODE.</t>
  </si>
  <si>
    <t>TEST AND CALIBRATION SHOP (NAVAIR DEPOT)</t>
  </si>
  <si>
    <t>A TEST AND CALIBRATION SHOP IS REQUIRED TO PROVIDE SPACE DEDICATED TO TEST, TRIM, OR CALIBRATE ENGINES, ELECTRONICS, COMMUNICATIONS OR ARMAMENT SYSTEMS. THIS IS THE MAIN CATEGORY CODE USED FOR THE TEST AND CALIBRATION PRODUCTION SHOP OF THE NAVAL AIR DEPOT (NADEP).  THERE ARE NO SPECIFIC CRITERIA DEVELOPED FOR THIS CATEGORY CODE.</t>
  </si>
  <si>
    <t>ENGINE TEST CELL (NON-NAVAIR DEPOT)</t>
  </si>
  <si>
    <t>AIRCRAFT ENGINE TEST FACILITY</t>
  </si>
  <si>
    <t>AN ENGINE TEST CELL PROVIDES AN ACOUSTICALLY ATTENUATED AND FULLY INSTRUMENTED ENCLOSURE IN WHICH UNINSTALLED TURBOJET AND TURBOFAN ENGINES ARE TESTED AT INSTALLATIONS WHERE INTERMEDIATE LEVEL MAINTENANCE ENGINE REPAIR WORK IS PERFORMED.</t>
  </si>
  <si>
    <t>AIRCRAFT WEAPONS ALIGNMENT SHELTER (NON-NAVAIR DEPOT)</t>
  </si>
  <si>
    <t>A MINIMUM OF ONE AIRCRAFT WEAPONS ALIGNMENT SHELTER IS REQUIRED AT NAVY AND MARINE CORPS AIR INSTALLATIONS HAVING FIGHTER OR ATTACK AIRCRAFT WEAPONS SYSTEMS REQUIRING ALIGNMENT, WHICH IS THE PROCESS OF MECHANICALLY AND ELECTRICALLY ALIGNING AIRCRAFT WEAPONS ELECTRONIC SYSTEMS TO A COMMON AIRCRAFT AXIS.</t>
  </si>
  <si>
    <t>ENGINE TEST CELL (NAVAIR DEPOT)</t>
  </si>
  <si>
    <t>AN ENGINE TEST CELL IS REQUIRED FOR THE TEST AND CALIBRATION PRODUCTION SHOP OF THE (NAVAIR DEPOT). INCLUDED WITHIN THIS CATCODE ARE: VARIOUS JET ENGINE TEST CELLS, JET ENGINE TEST STAND, VARIOUS RECIPROCATING ENGINE TEST CELLS, RECIPROCATING ENGINE TEST STAND, AND TURBO SHAFT, TURBO FAN AND PNEUMATIC GAS/AIR TURBINE TEST CELLS.  THERE ARE NO SPECIFIC CRITERIA DEVELOPED FOR THIS CATEGORY CODE.</t>
  </si>
  <si>
    <t>HELICOPTER BLADE TEST FACILITY (NAVAIR DEPOT)</t>
  </si>
  <si>
    <t>A HELICOPTER BLADE TEST FACILITY IS REQUIRED FOR THE TEST AND CALIBRATION PRODUCTION SHOP OF THE NAVAL AIR DEPOT (NAVAIR DEPOT).  THERE ARE NO SPECIFIC CRITERIA DEVELOPED FOR THIS CATEGORY CODE.</t>
  </si>
  <si>
    <t>RADOME TEST FACILITY (NAVAIR DEPOT)</t>
  </si>
  <si>
    <t>A RADOME TEST FACILITY IS REQUIRED FOR THE TEST AND CALIBRATION PRODUCTION SHOP OF THE NAVAL AIR DEPOT (NAVAIR DEPOT). THERE ARE NO SPECIFIC CRITERIA DEVELOPED FOR THIS CATEGORY CODE.</t>
  </si>
  <si>
    <t>RADAR / ANTENNA TEST FACILITY (NAVAIR DEPOT)</t>
  </si>
  <si>
    <t>A RADAR/ANTENNA TEST FACILITY IS REQUIRED FOR THE TEST AND CALIBRATION PRODUCTION SHOP OF THE NAVAL AIR DEPOT (NAVAIR DEPOT).  THERE ARE NO SPECIFIC CRITERIA DEVELOPED FOR THIS CATEGORY CODE.</t>
  </si>
  <si>
    <t>AIRCRAFT WEAPONS ALIGNMENT / BORESIGHT FACILITY (DEPOT)</t>
  </si>
  <si>
    <t>AN AIRCRAFT WEAPONS ALIGNMENT/BORESIGHT FACILITY IS REQUIRED FOR THE TEST AND CALIBRATION PRODUCTION SHOP OF THE NAVAL AIR DEPOT (NAVAIR DEPOT).  THERE ARE NO SPECIFIC CRITERIA DEVELOPED FOR THIS CATEGORY CODE.</t>
  </si>
  <si>
    <t>POWER CHECK PAD WITH SOUND SUPPRESSION (NON-NAVAIR DEPOT)</t>
  </si>
  <si>
    <t>POWER CHECK PADS WITH SOUND SUPPRESSION, ARE PROVIDED WITH FIXED OR PORTABLE SOUND SUPPRESSORS, TO MEET DESIRED NOISE CRITERIA.</t>
  </si>
  <si>
    <t>POWER CHECK PAD WITHOUT SOUND SUPPRESSION (NON-DEPOT)</t>
  </si>
  <si>
    <t>THE POWER CHECK PAD IS USED TO TEST AND ADJUST ENGINES MOUNTED IN THE AIRCRAFT FOR IN-FRAME TESTING.</t>
  </si>
  <si>
    <t>OTHER SUPPORT FACILITIES (NAVAIR DEPOT)</t>
  </si>
  <si>
    <t>THE OTHER SUPPORT FACILITIES ARE THOSE AREAS USED TO PERFORM PRODUCTIVE NAVAIR DEPOT WORK THAT HAVE NOT BEEN PREVIOUSLY IDENTIFIED. THIS INCLUDES RAMP, APRON, AND AIRCRAFT STORAGE SITES.  THERE ARE NO SPECIFIC CRITERIA DEVELOPED FOR THIS CATEGORY CODE.</t>
  </si>
  <si>
    <t>UNCOVERED RAMP (NAVAIR DEPOT)</t>
  </si>
  <si>
    <t>UNCOVERED RAMP IS REQUIRED TO PERFORM NAVAIR DEPOT-SPECIFIC MAINTENANCE AND PRODUCTION FUNCTIONS. INCLUDED WITHIN THIS CATEGORY CODE ARE:  AIRCRAFT REWORK APRON, RECLAMATION APRON, ARMAMENT AND DISARMAMENT PAD, PREDOCK/POSTDOCK APRON, AIRCRAFT CORROSION CONTROL FACILITY, GROUND CHECK/FLIGHT TEST SUPPORT.  THERE ARE NO SPECIFIC CRITERIA DEVELOPED FOR THIS CATEGORY CODE.</t>
  </si>
  <si>
    <t>COVERED GROUND CHECK / FLIGHT TEST FACILITY (NAVAIR DEPOT)</t>
  </si>
  <si>
    <t>A COVERED GROUND CHECK/FLIGHT TEST FACILITY IS REQUIRED FOR THE NAVAL AIR DEPOT (NAVAIR DEPOT).</t>
  </si>
  <si>
    <t>ENGINEERING LABORATORY (NAVAIR DEPOT)</t>
  </si>
  <si>
    <t>AN ENGINEERING LAB IS REQUIRED TO PROVIDE SPACE TO SUPPORT NAVAIR DEPOT-SPECIFIC MAINTENANCE AND PRODUCTION FUNCTIONS. INCLUDED WITHIN THIS CATEGORY CODE ARE:  MATERIAL HANDLERS/PARTS EXPEDITERS, MATERIAL CONTROL LABORATORY, STANDARDS LABORATORY, PROGRAMMER?S ? AUTOMATIC TEST EQUIPMENT AND NUMERICAL CONTROLLED MACHINE. THERE ARE NO SPECIFIC CRITERIA DEVELOPED FOR THIS CATEGORY CODE.</t>
  </si>
  <si>
    <t>AIRCRAFT POWER CHECK FACILITIES (NAVAIR DEPOT)</t>
  </si>
  <si>
    <t>AIRCRAFT POWER CHECK FACILITIES ARE REQUIRED TO PERFORM NAVAIR DEPOT-SPECIFIC MAINTENANCE AND PRODUCTION FUNCTIONS. INCLUDED WITHIN THIS CATEGORY CODE ARE:  POWER CHECK PADS WITH AND WITHOUT SUPPRESSION, PROPELLOR AIRCRAFT, HELICOPTER AIRCRAFT AND VSTOL AIRCRAFT POWER CHECK PADS.</t>
  </si>
  <si>
    <t>MATERIAL AND EQUIPMENT STAGING / STORAGE FACILITY (DEPOT)</t>
  </si>
  <si>
    <t>A MATERIAL AND EQUIPMENT STAGING/STORAGE FACILITY FOR NAVAL AIR DEPOT (NAVAIR DEPOT) IS REQUIRED TO PROVIDE SPACE FOR PACKAGING AND PRESERVATION OF MATERIAL. THERE ARE NO SPECIFIC CRITERIA DEVELOPED FOR THIS CATEGORY CODE.</t>
  </si>
  <si>
    <t>MAINTENANCE AIRCRAFT SPARES /  STORAGE</t>
  </si>
  <si>
    <t>AIRCRAFT PARTS/SPARES STORAGE FACILITY.</t>
  </si>
  <si>
    <t>PLANT SERVICES FOR AIRCRAFT OVERHAUL (NAVAIR DEPOT)</t>
  </si>
  <si>
    <t>AIRCRAFT OVERHAUL FACILITY IS USED FOR FUNCTIONS SUCH AS MANAGEMENT, SUPERVISION, ENGINEERING, CLERICAL FUNCTIONS, PLANT MAINTENANCE, CENTRAL OR GENERAL STORAGE, QUALITY ASSURANCE, AND MATERIALS TESTING. THIS CATCODE INCLUDES OFFICES, CAFETERIAS, SUPERVISORS? WORK SPACE, SHOP PARTS STORAGE AREAS, DISPATCHING FACILITIES, INSPECTION FACILITIES, STAIRWELLS, AUXILIARY EQUIPMENT ROOMS, WALLS, ETC.</t>
  </si>
  <si>
    <t>AIRCRAFT ACOUSTICAL ENCLOSURE (NAVAIR DEPOT)</t>
  </si>
  <si>
    <t>THE AIRCRAFT ACOUSTICAL ENCLOSURE, SOMETIMES REFERRED TO AS A HUSH HOUSE, IS A TOTAL ENCLOSURE FOR FIXED WING AIRCRAFT DESIGNED TO ABATE NOISE DURING IN-FRAME RUN-UP OF JET ENGINES.  THERE ARE NO SPECIFIC CRITERIA DEVELOPED FOR THIS CATEGORY CODE.</t>
  </si>
  <si>
    <t>HAZARDOUS MATERIAL STOREHOUSE (NAVAIR DEPOT)</t>
  </si>
  <si>
    <t>HAZARDOUS MATERIALS STORAGE, DEPOT</t>
  </si>
  <si>
    <t>A HAZARDOUS MATERIAL STOREHOUSE FOR NAVAL AIR DEPOT (NAVAIR DEPOT) IS REQUIRED TO PROVIDE SPACE FOR THE STORAGE OF HAZARDOUS SUBSTANCES AND MATERIALS.  THERE ARE NO SPECIFIC CRITERIA DEVELOPED FOR THIS CATEGORY CODE.</t>
  </si>
  <si>
    <t>GUIDED MISSILE INTEGRATION FACILITY</t>
  </si>
  <si>
    <t>MISSILE MAINTENANCE/ASSEMBLY BUILDING</t>
  </si>
  <si>
    <t>GUIDED MISSILE MAINTENANCE FACILITIES</t>
  </si>
  <si>
    <t>THE PURPOSE OF THIS FACILITY IS TO ASSEMBLE NEW-PRODUCTION COMPONENTS OF AIR LAUNCHED GUIDED MISSILES AND PERFORM ANY REQUIRED MAINTENANCE ON FLEET RETURNED ALL-UP-ROUND (AUR) MISSILES OR COMPONENTS.</t>
  </si>
  <si>
    <t>MISSILE MODULE MAINTENANCE AND LOADING FACILITY</t>
  </si>
  <si>
    <t>THIS FACILITY WILL PROVIDE THE MAINTENANCE AND EXPLOSIVE OPERATION LOCATION, EOL, FOR THE NAVYS NEW MISSILE MODULE WEAPONS SYSTEMS.  THE FACILITY WILL BE SITED FOR ORDNANCE HANDLING AND PROVIDE MAINTENANCE/ORDNANCE LOADING HIGH BAY, A TOOL ROOM, PARTS ROOM, PRESSURIZED WASH SYSTEM, MM ELEVATED CLEANING PIT(S), MALE/FEMALE LOCKER/SHOWER ROOMS, OVERHEAD CRANE, AND ADMINISTRATIVE SUPPORT SPACE.</t>
  </si>
  <si>
    <t>MISSILE EQUIPMENT MAINTENANCE SHOP</t>
  </si>
  <si>
    <t>MISSILE/LAUNCHER MAINTENANCE SUPPORT FACILITY</t>
  </si>
  <si>
    <t>MISSILE EQUIPMENT MAINTENANCE SHOP.</t>
  </si>
  <si>
    <t>MISSILE ASSEMBLY AND TEST BUILDING</t>
  </si>
  <si>
    <t xml:space="preserve">THIS FACILITY IS REQUIRED FOR INTERMEDIATE LEVEL MAINTENANCE OF SURFACE LAUNCHED GUIDED MISSILES.  </t>
  </si>
  <si>
    <t>MISSILE COMPONENT SLING TEST TOWER</t>
  </si>
  <si>
    <t>MISSILE TEST TOWER</t>
  </si>
  <si>
    <t xml:space="preserve">THIS FACILITY IS USED TO TEST THE TENSILE STRENGTH OF ALL FORMS OF WEAPONS HANDLING EQUIPMENT SUCH AS SLINGS, BEAMS, BARS, ETC. IT IS USED IN TESTING DEVELOPMENTAL EQUIPMENT AND THE PERIODIC TESTING OF HANDLING EQUIPMENT.  </t>
  </si>
  <si>
    <t>SUBMARINE LAUNCHED BALLISTIC MISSILE PROCESSING FACILITY</t>
  </si>
  <si>
    <t>INTERCONTINENTAL BALLISTIC MISSILE PROCESSING FACILITY</t>
  </si>
  <si>
    <t>THESE FACILITIES ARE REQUIRED TO RECEIVE COMPONENTS; CHECKOUT, ASSEMBLE, REFURBISH, AND REPAIR SUBMARINE LAUNCHED BALLISTIC MISSILES.  NO PLANNING FACTORS ARE CURRENTLY AVAILABLE FOR THIS FACILITY.</t>
  </si>
  <si>
    <t>GUIDED-MISSILES-SPARES STORAGE</t>
  </si>
  <si>
    <t>THESE FACILITIES ARE STORAGE FACILITIES FOR MISCELLANEOUS EQUIPMENT OR GOODS RELATED TO GUIDED MISSILES.  THERE ARE NO CRITERIA FOR THIS TYPE OF FACILITY.</t>
  </si>
  <si>
    <t>DRYDOCK</t>
  </si>
  <si>
    <t>DS</t>
  </si>
  <si>
    <t>GRAVING DRY-DOCK</t>
  </si>
  <si>
    <t>DRYDOCKS</t>
  </si>
  <si>
    <t>SHIPS AND SPARES MAINTENANCE FACILITIES</t>
  </si>
  <si>
    <t>A DRY DOCK IS A LONG NARROW BASIN SITED IN THE FORESHORE OF A HARBOR. ITS ENTRANCE IS CLOSED BY A MOVABLE CAISSON OR BY GATES. THE BASIN IS SO CONSTRUCTED THAT A VESSEL MAY BE PLACED IN IT AND THE WATER REMOVED, ALLOWING THE VESSEL TO SETTLE ON SUPPORTS LOCATED ON THE DOCK FLOOR.  FOR DRYDOCK PUMP HOUSES ABOVE-GROUND (BUILDING ONLY), USE CCN 21367 "PUMP HOUSE, DRYDOCKS". FOR MONITORING STATIONS BELOW GROUND, USE CCN 89018 ?UTILITY VAULT-NON COMMUNICATIONS?.</t>
  </si>
  <si>
    <t>DRYDOCK UNDERGROUND MONITORING STATION</t>
  </si>
  <si>
    <t>MISCELLANEOUS UTILITIES - EACH</t>
  </si>
  <si>
    <t>AN INHABITABLE, UNDERGROUND MONITORING STATION ASSOCIATED WITH DRYDOCKS.  MONITORING EQUIPMENT IS PERSONAL PROPERTY.</t>
  </si>
  <si>
    <t>DRYDOCK COVER</t>
  </si>
  <si>
    <t>DEPOT AND ARSENAL COVERED STORAGE</t>
  </si>
  <si>
    <t>A STEEL FRAMED, METAL CLAD ENCLOSURE BUILT AROUND AND ATOP DRYDOCKS, LOOKING SIMILAR TO A WAREHOUSE FACILITY BUT WITHOUT FLOORING.</t>
  </si>
  <si>
    <t>MARINE RAILWAY</t>
  </si>
  <si>
    <t>TN</t>
  </si>
  <si>
    <t>THE FUNCTION OF A MARINE RAILWAY IS TO BRING A VESSEL OUT OF THE WATER FOR THE PURPOSE OF MAKING ALL PARTS AVAILABLE FOR OVERHAUL, AND TO RETURN THE VESSEL TO THE WATER WHEN THE WORK IS FINISHED.</t>
  </si>
  <si>
    <t>SHORE INTERMEDIATE MAINTENANCE FACILITY</t>
  </si>
  <si>
    <t>THIS FACILITY (SIMA) PROVIDES SPACE FOR THE FLEET INTERMEDIATE LEVEL MAINTENANCE OPERATIONS. A SIMA HAS TWO BASIC COMPONENTS: MAINTENANCE SHOPS AND ADMINISTRATION.</t>
  </si>
  <si>
    <t>SHORE DEPOT LEVEL REPAIR SHOP</t>
  </si>
  <si>
    <t xml:space="preserve">AN ENCLOSED BUILDING USED TO PERFORM DEPOT LEVEL
MAINTENANCE ON COMPONENTS AND ACCESSORIES OF SHIPS AND AMPHIBIOUS VEHICLES THAT CANNOT BE REPAIRED ON BOARD THE VESSELS. THIS SHOP MAY INCLUDE AREAS FOR ELECTRONICS REPAIR, WELDING, PAINTING, SMALL ITEM FABRICATION, AND A VARIETY OF OTHER REPAIR SHOP FUNCTIONS.  
</t>
  </si>
  <si>
    <t>SHIPYARD DEMILITARIZATION AND RECYCLING FACILITY</t>
  </si>
  <si>
    <t>MARINE MAINTENANCE SUPPORT FACILITY</t>
  </si>
  <si>
    <t>A SHIPYARD DEMILITARIZATION AND RECYCLING FACILITY IS
USED TO PROVIDE ADMINISTRATIVE, SHOP, LOGISTICS, AND PERSONNEL SUPPORT SPACE IN DIRECT SUPPORT OF DEMILITARIZATION AND RECYCLING OF SURFACE SHIPS AND SUBMARINES.</t>
  </si>
  <si>
    <t>FIXED CRANE STRUCTURES</t>
  </si>
  <si>
    <t>FIXED CRANE STRUCTURE</t>
  </si>
  <si>
    <t>THE PRINCIPAL TYPES OF FIXED CRANES ARE PILLAR, PILLAR-JIB, AND JIB. THE HAMMERHEAD AND TOWER CRANES ARE ALSO CLASSED AS STATIONARY WHEN MOUNTED ON FIXED TOWERS.</t>
  </si>
  <si>
    <t>CENTRAL TOOL SHOP</t>
  </si>
  <si>
    <t>THE CENTRAL TOOL SHOP IS RESPONSIBLE FOR THE DESIGN, DEVELOPMENT, MANUFACTURE AND MAINTENANCE OF PROTOTYPE AND CONVENTIONAL TOOLING SUCH AS CUTTING MACHINES, DIES, MOLDS, CLEANLINESS PLUGS, CUTTERS, JIGS, FIXTURES, AND SPECIAL TOOLS.</t>
  </si>
  <si>
    <t>SHIPFITTING SHOP</t>
  </si>
  <si>
    <t>THE SHIPFITTING SHOP IS RESPONSIBLE FOR THE BACK-SHOP MODIFICATION, FABRICATION, REPAIR, AND ASSEMBLY OF VARIOUS METAL STRUCTURAL PARTS OF THE SHIP?S HULL, SUPERSTRUCTURE AND INTERIOR SHIP STRUCTURE BY USING SHIPFITTING EQUIPMENT.</t>
  </si>
  <si>
    <t>SHEET METAL SHOP</t>
  </si>
  <si>
    <t>THE SHEET METAL SHOP IS RESPONSIBLE FOR DEVELOPING, FABRICATING, AND INSTALLING VENTILATION AND AIR CONDITIONING DUCTWORK; WORKSHOP AND STOWAGE FACILITIES, OUTFITTING THE GALLEY, LABEL PLATES, SOME BERTHING, BULKHEAD AND PARTITIONS AND HABITABILITY AND OFFICE SPACE FITTINGS FOR VESSELS.</t>
  </si>
  <si>
    <t>FORGE AND HEAT TREAT SHOP</t>
  </si>
  <si>
    <t>THE FORGE AND HEAT TREATING SHOP IS RESPONSIBLE FOR HOT-FORGING, HEAT TREATING, INSPECTING, CLEANING, AND REPAIRING VARIOUS METAL STRUCTURAL PARTS OF A SHIP?S HULL, SUPERSTRUCTURE, INTERIOR SHIP STRUCTURE, MECHANICAL SYSTEMS, MACHINERY SYSTEMS, ANCHOR CHAIN, AND SHIP?S PROPELLERS</t>
  </si>
  <si>
    <t>WELDING SHOP</t>
  </si>
  <si>
    <t>THE WELDING SHOP IS RESPONSIBLE FOR ALL OF THE WELDING, FLAME CUTTING, CARBON ARC GAUGING, AND RELATED PROCESSES REQUIRED BY THE VARIOUS SHOPS OF THE OPERATIONS AND PRODUCTION RESOURCES DEPARTMENTS OF THE SHIPYARD AND THE PUBLIC WORKS CENTER LOCATED AT THE SHIPYARD.</t>
  </si>
  <si>
    <t>QUALITY ASSURANCE OFFICE</t>
  </si>
  <si>
    <t>THE QUALITY ASSURANCE OFFICE IS RESPONSIBLE FOR INSPECTION AND TESTS TO DETERMINE COMPLIANCE WITH SPECIFICATIONS, PLANS, ORDERS, DIRECTIVES, AND SOUND SHOP AND MARINE PRACTICES; NON-DESTRUCTIVE TESTING SERVICES; AND TECHNICAL DIRECTION, CONSULTING AND ADVISORY SERVICES ON THOSE PROCESSES, MATERIALS, AND SYSTEMS FOR FABRICATION AND REPAIR TO SHOPS.</t>
  </si>
  <si>
    <t>INSIDE MACHINING SHOP</t>
  </si>
  <si>
    <t>THE INSIDE MACHINING SHOP IS RESPONSIBLE FOR PERFORMING HORIZONTAL BORING, VERTICAL BORING, PLANING AND HEAVY LATHE WORK IN MANUFACTURING, ALTERING, AND REPAIRING SHIP MACHINERY AND SHIPYARD MANUFACTURED ITEMS.</t>
  </si>
  <si>
    <t>OPTICAL SHOP</t>
  </si>
  <si>
    <t>OPTICAL SHOP.</t>
  </si>
  <si>
    <t>WEAPONS SHOP</t>
  </si>
  <si>
    <t>THE WEAPONS SHOP IS RESPONSIBLE FOR THE REPAIR, OVERHAUL, ALIGNMENT, INSTALLATION, CHECKING OUT, TESTING AND CALIBRATION OF ALL WEAPONS AND INTEGRATED SYSTEMS.</t>
  </si>
  <si>
    <t>MARINE MACHINING SHOP</t>
  </si>
  <si>
    <t>THE MARINE MACHINING SHOP IS RESPONSIBLE FOR THE INSTALLATION AND TESTING OF ALL MAIN PROPULSION MACHINERY, AUXILIARIES, RUDDERS, SHAFTING, SEA VALVES, DECK MACHINERY, LAUNDRY AND GALLEY EQUIPMENT, ARRESTING GEAR, AND CATAPULTS ON SHIPS UNDERGOING REPAIR AND CONVERSION.</t>
  </si>
  <si>
    <t>BOILERMAKING SHOP</t>
  </si>
  <si>
    <t>THE BOILERMAKING SHOP IS RESPONSIBLE FOR THE REPAIR, CONVERSION, AND BUILDING OF STEAM GENERATING EQUIPMENT USED TO FURNISH STEAM TO MAIN AND AUXILIARY MACHINERY.</t>
  </si>
  <si>
    <t>ELECTRICAL SHOP</t>
  </si>
  <si>
    <t>THE ELECTRICAL SHOP IS RESPONSIBLE FOR ACCOMPLISHING THE INSTALLATION, REPAIR, MAINTENANCE, ALTERATION, TROUBLESHOOTING, AND TEST OF ALL POWER, LIGHTING, AND INTERIOR COMMUNICATION SYSTEMS AND EQUIPMENT ABOARD NAVAL SHIPS AND SUBMARINES;</t>
  </si>
  <si>
    <t>PIPEFITTING SHOP</t>
  </si>
  <si>
    <t>THE PIPEFITTING SHOP IS RESPONSIBLE FOR ACCOMPLISHING THE LAYOUT, FABRICATION, INSTALLATION, DISMANTLING, REPAIR, CLEANING, TESTING, AND INSPECTION OF PIPING SYSTEMS AND GASKETS ON BOTH NUCLEAR AND NON-NUCLEAR SYSTEMS IN THE SHOP AS WELL AS ONBOARD SHIPS AND SUBMARINES;</t>
  </si>
  <si>
    <t>WOODWORKING SHOP</t>
  </si>
  <si>
    <t>THE WOODWORKING SHOP IS RESPONSIBLE FOR ACCOMPLISHING OPERATIONS PERFORMED BY BOAT BUILDERS, WOODCRAFTSMEN, AND SHIPWRIGHTS TO CONSTRUCT AND REPAIR WOODEN AND PLASTIC BOATS, WOODEN PORTABLE BUILDINGS AND SHELTERS, HOLLOW BOOMS, WOODEN TANK, PRACTICE TORPEDOES, AND FLIGHT DECK PANELS; AS WELL AS REPAIR AND MAINTENANCE OF ANY WOOD OR WOOD RELATED ITEMS ABOARD SHIP.</t>
  </si>
  <si>
    <t>ELECTRONICS SHOP</t>
  </si>
  <si>
    <t>THE ELECTRONICS SHOP IS RESPONSIBLE FOR ACCOMPLISHING INSTALLATION, REPAIR, OVERHAUL, MODIFICATION CHECK-OUT, ADJUSTMENT, TEST, AND CALIBRATION OF RADAR, SONAR, COMMUNICATIONS, CRYPTOGRAPHIC DATA PROCESSING, ANTENNAS, NAVIGATION, AND ELECTRONIC COUNTERMEASURE EQUIPMENT AND SYSTEMS ON AND FOR SURFACE SHIPS, SUBMARINES, AND SHORE STATIONS.</t>
  </si>
  <si>
    <t>BOAT SHOP</t>
  </si>
  <si>
    <t>OPERATIONAL BOAT SHOP.</t>
  </si>
  <si>
    <t>ABRASIVE BLAST FACILITY</t>
  </si>
  <si>
    <t>ABRASIVE BLAST FACILITY.</t>
  </si>
  <si>
    <t>PAINT &amp; BLASTING SHOP</t>
  </si>
  <si>
    <t>THE PAINT AND BLASTING SHOP IS RESPONSIBLE FOR SURFACE PREPARATION, INCLUDING ABRASIVE BLASTING, FOR THE APPLICATION OR INSTALLATION OF PROTECTIVE, DECORATIVE, AND FUNCTIONAL PAINTS, COATINGS, FILMS, AND FOR INSTALLATION OF DECK, FLOOR, AND WALL COVERINGS.</t>
  </si>
  <si>
    <t>RIGGING SHOP</t>
  </si>
  <si>
    <t>THE RIGGING SHOP IS RESPONSIBLE FOR OPERATIONS PERFORMED BY RIGGERS, SAILMAKERS, TANK AND COMPONENT CLEANERS, LABORERS, UPHOLSTERERS, FABRIC WORKERS, AND DIVING OPERATIONS REQUIRED FOR REPAIR, OVERHAUL, CONVERSION, AND CONSTRUCTION OF NAVAL VESSELS AND EQUIPMENT.</t>
  </si>
  <si>
    <t>SAIL LOFT</t>
  </si>
  <si>
    <t>SAIL LOFT.</t>
  </si>
  <si>
    <t>FOUNDRY</t>
  </si>
  <si>
    <t>THE FOUNDRY IS RESPONSIBLE FOR MANUFACTURING CORES FOR IRON, STEEL, AND NON-FERROUS CASTING IN THE CORE UNIT; PREPARING AND MIXING SAND, PROCESSING AND MAKING MOLDS, STEEL CASTINGS, POURING STEEL FROM FURNACES, MELTING, AND MANUFACTURING STEEL, AND SHAKING OUT STEEL CASTINGS FROM MOLDS AFTER POURING IN THE STEEL FOUNDRY UNIT</t>
  </si>
  <si>
    <t>PATTERNMAKING SHOP</t>
  </si>
  <si>
    <t>THE PATTERNMAKING SHOP IS RESPONSIBLE FOR THE MANUFACTURE, REPAIR, AND ALTERATION OF WOOD PATTERNS REQUIRED TO PRODUCE CASTINGS; MANUFACTURE OF METAL PARTS FOR WOOD AND PLASTIC PATTERNS AND METAL PATTERNS AND MANUFACTURE OF MOCK-UPS FOR PATTERNS.</t>
  </si>
  <si>
    <t>SHIP PROPULSION MAINTENANCE FACILITY</t>
  </si>
  <si>
    <t>NUCLEAR REPAIR SHOP</t>
  </si>
  <si>
    <t>A FACILITY RESPONSIBLE FOR THE REPAIR OF REACTOR PLANT COMPONENTS OF SHIP PROPULSION SYSTEMS.</t>
  </si>
  <si>
    <t>TEMPORARY SERVICES SHOP</t>
  </si>
  <si>
    <t>THE TEMPORARY SERVICES SHOP IS RESPONSIBLE FOR ELECTRICAL, PIPING, AND VENTILATION SYSTEMS AS RELATED TO TEMPORARY SERVICES.</t>
  </si>
  <si>
    <t>PUMPHOUSE, DRYDOCKS</t>
  </si>
  <si>
    <t>THE DRY DOCK PUMP HOUSE IS AN ABOVE-GROUND BUILDING USED TO HOUSE AND MONITOR DRY DOCK DEWATERING PUMPS AND ASSOCIATED EQUIPMENT.  FOR MONITORING STATIONS BELOW GROUND, USE CCN 89018 ?UTILITY VAULT-NON COMMUNICATIONS?.</t>
  </si>
  <si>
    <t>DIVE SHOP</t>
  </si>
  <si>
    <t xml:space="preserve">DIVE SHOP
</t>
  </si>
  <si>
    <t>WOODWORKING SHOP STRUCTURE</t>
  </si>
  <si>
    <t>MISCELLANEOUS ITEMS AND EQUIPMENT MAINTENANCE FACILITIES</t>
  </si>
  <si>
    <t>A STANDALONE STRUCTURE OR OPEN BUT COVERED PORTION OF A WOODWORKING SHOP BUILDING  THAT SUPPORTS VARIOUS OPERATIONS.</t>
  </si>
  <si>
    <t>SHIP SERVICES SUPPORT BUILDING</t>
  </si>
  <si>
    <t>A SHIP SERVICES SUPPORT BUILDING IS USED TO PROVIDE OFFICE AND SHOP SPACE IN DIRECT SUPPORT OF MAINTENANCE AND REPAIR WORK FOR SURFACE SHIPS AND SUBMARINES.</t>
  </si>
  <si>
    <t>LANDING CRAFT WASH RACK</t>
  </si>
  <si>
    <t>LANDING CRAFT WASH FACILITY</t>
  </si>
  <si>
    <t>THE PRIMARY FUNCTION OF THIS FACILITY IS TO WASH DOWN LANDING CRAFT AIR CUSHIONS (LCAC) VEHICLES AFTER EVERY MISSION IN ORDER TO REMOVE SAND AND SALT SPRAY.</t>
  </si>
  <si>
    <t>AMPHIBIAN VEHICLE MAINTENANCE SHOP</t>
  </si>
  <si>
    <t>THE AMPHIBIAN VEHICLE MAINTENANCE SHOP PROVIDES SPECIAL WORK AREAS FOR PERFORMING ALL ORGANIZATIONAL MAINTENANCE FUNCTIONS ON THE AMPHIBIAN VEHICLES OF THE MARINE CORPS AMPHIBIOUS TRACTOR BATTALION AND IN THE CASE OF THE NAVY, ALL ORGANIZATIONAL AND INTERMEDIATE LEVEL MAINTENANCE ON LANDING CRAFT AIR CUSHION (LCAC) VEHICLES.</t>
  </si>
  <si>
    <t>MAINTENANCE SHIPS / SPARES STOR (READY ISS/SHP STRS/MISC)</t>
  </si>
  <si>
    <t>COVERED STORAGE BUILDING, INSTALLATION</t>
  </si>
  <si>
    <t>STORAGE FACILITIES FOR MISCELLANEOUS EQUIPMENT OR GOODS RELATED TO SHIP MAINTENANCE</t>
  </si>
  <si>
    <t>COMBAT VEHICLE MAINTENANCE SHOP</t>
  </si>
  <si>
    <t>VEHICLE MAINTENANCE SHOP</t>
  </si>
  <si>
    <t>TANK AND AUTOMOTIVE MAINTENANCE FACILITIES</t>
  </si>
  <si>
    <t>THIS FACILITY PROVIDES SPECIALIZED WORK AREAS, EQUIPMENT, AND STORAGE FOR OVERHAUL OF COMBAT VEHICLES SUCH AS SELF-PROPELLED GUN CARRIAGES AND TANKS.</t>
  </si>
  <si>
    <t>AUTOMOTIVE VEHICLE MAINTENANCE SHOP</t>
  </si>
  <si>
    <t>AUTOMOTIVE VEHICLE MAINTENANCE FACILITIES ARE REQUIRED TO PROVIDE COVERED WORK AREAS FOR INSPECTION, MAINTENANCE, AND REPAIR OF ALL TRANSPORTATION EQUIPMENT ASSIGNED TO AN INSTALLATION, AND AS APPLICABLE, ITS SUPPORTED ACTIVITIES.</t>
  </si>
  <si>
    <t>REFUELING VEHICLE SHOP</t>
  </si>
  <si>
    <t>AIRCRAFT REFUELER TRUCKS AND OTHER PORTABLE FUEL DISPENSING EQUIPMENT ARE NOT SERVICED OR REPAIRED IN THE AUTOMOTIVE VEHICLE MAINTENANCE SHOP BECAUSE OF THE EXPLOSIVE HAZARD INVOLVED. ACCORDINGLY, A SEPARATE EXPLOSION PROOF AND FIRE-RESISTANT MAINTENANCE/REPAIR FACILITY IS PROVIDED.</t>
  </si>
  <si>
    <t>VEHICLE HOLDING SHED</t>
  </si>
  <si>
    <t>THIS FACILITY IS A PART OF THE AUTOMOTIVE VEHICLE MAINTENANCE SHOP WITH THE MAIN PURPOSE OF PROVIDING A COVERED AREA FOR HOLDING DEADLINED EQUIPMENT AWAITING REPAIRS.</t>
  </si>
  <si>
    <t>AUTOMOTIVE ORGANIZATIONAL SHOP</t>
  </si>
  <si>
    <t>THIS FACILITY PROVIDES WORK AREAS FOR FLEET MARINE FORCE (FMF) UNITS TO PERFORM MAINTENANCE ON ITEMS OF ORGANIZATIONAL EQUIPMENT.</t>
  </si>
  <si>
    <t>FIELD MAINTENANCE SHOP (COMBAT / AUTOMOTIVE / TRACK)</t>
  </si>
  <si>
    <t>THIS FACILITY PROVIDES SPECIALIZED WORK AREAS FOR PERFORMING 3RD AND 4TH ECHELON MAINTENANCE FUNCTIONS ON ITEMS OF TACTICAL EQUIPMENT INVOLVING PRIMARILY ROLLING STOCK ITEMS OF MOTOR TRANSPORT AND ENGINEER EQUIPMENT.</t>
  </si>
  <si>
    <t>VEHICLE WASH-PLATFORM</t>
  </si>
  <si>
    <t>VEHICLE MAINTENANCE FACILITY</t>
  </si>
  <si>
    <t>VEHICLE WASH PLATFORMS EQUIPPED WITH HOSE CONNECTIONS SHOULD BE PROVIDED ON THE BASIS OF ONE VEHICLE WASHING SPACE FOR EACH 50 VEHICLES ASSIGNED TO THE MOTOR POOL.</t>
  </si>
  <si>
    <t>GREASE RACK</t>
  </si>
  <si>
    <t>GREASE RACK.</t>
  </si>
  <si>
    <t>SMALL ARMS SHOP</t>
  </si>
  <si>
    <t>WEAPON MAINTENANCE SHOP, DEPOT</t>
  </si>
  <si>
    <t>WEAPONS AND SPARES MAINTENANCE FACILITIES</t>
  </si>
  <si>
    <t>A SMALL ARMS SHOP IS USED TO SUPPORT SMALL ARMS MAINTENANCE AND REPAIR FOR VARIOUS MARINE CORPS ACTIVITIES OR UNITS.</t>
  </si>
  <si>
    <t>LIGHT GUN (20MM TO 5IN) SHOP</t>
  </si>
  <si>
    <t>LIGHT GUN (20 MM TO 5 IN) SHOP.</t>
  </si>
  <si>
    <t>HEAVY-GUN (6IN TO 16IN) SHOP</t>
  </si>
  <si>
    <t>HEAVY GUN (6 IN TO 16 IN) SHOP.</t>
  </si>
  <si>
    <t>HARBOR PROTECTIVE NET SHOP</t>
  </si>
  <si>
    <t>HARBOR PROTECTIVE NET SHOP.</t>
  </si>
  <si>
    <t>LAUNCHER AND PROJECTOR MAINTENANCE SHOP</t>
  </si>
  <si>
    <t>LAUNCHER AND PROTECTIVE MAINTENANCE SHOP.</t>
  </si>
  <si>
    <t>FIELD MAINTENANCE SHOP (ORDNANCE)</t>
  </si>
  <si>
    <t>WEAPON MAINTENANCE SHOP</t>
  </si>
  <si>
    <t>THIS FIELD MAINTENANCE SHOP PROVIDES SPECIALIZED WORK AREAS FOR PERFORMING 3RD AND 4TH ECHELON MAINTENANCE ON ALL ITEMS OF ORDNANCE EQUIPMENT AUTHORIZED REPAIRED BY THE FORCE SERVICE SUPPORT GROUP (FSSG).</t>
  </si>
  <si>
    <t>CHANGE / RELIEF HOUSE</t>
  </si>
  <si>
    <t>AMMUNITION MAINTENANCE SHOP, DEPOT</t>
  </si>
  <si>
    <t>AMMUNITION, EXPLOSIVES, AND TOXICS MAINTENANCE FACILITIES</t>
  </si>
  <si>
    <t>THIS IS A BUILDING, TYPICALLY ASSOCIATED WITH EXPLOSIVES OPERATING BUILDING(S), CONTAINING FACILITIES FOR EMPLOYEES TO CHANGE TO AND FROM WORK CLOTHES.</t>
  </si>
  <si>
    <t>AMMUNITION REWORK AND OVERHAUL SHOP</t>
  </si>
  <si>
    <t>OVERHAULING AMMUNITION INCLUDES DETERMINING THE SERVICEABILITY OF THE PRIMARY COMPONENTS OF AN ITEM, AND PERFORMING EXTERIOR MAINTENANCE AS REQUIRED TO RENDER THE ITEM FULLY SERVICEABLE.</t>
  </si>
  <si>
    <t>ROCKET REWORK AND OVERHAUL SHOP</t>
  </si>
  <si>
    <t>OVERHAULING ROCKETS INCLUDES DETERMINING THE SERVICEABILITY OF THE PRIMARY COMPONENTS OF AN ITEM, AND PERFORMING EXTERIOR MAINTENANCE AS REQUIRED TO RENDER THE ITEM FULLY SERVICEABLE.</t>
  </si>
  <si>
    <t>MINES AND DEPTH-CHARGE REWORK AND OVERHAUL SHOP</t>
  </si>
  <si>
    <t>OVERHAULING MINES AND DEPTH CHARGES INCLUDES DETERMINING THE SERVICEABILITY OF THE PRIMARY COMPONENTS OF AN ITEM, AND PERFORMING EXTERIOR MAINTENANCE AS REQUIRED TO RENDER THE ITEM FULLY SERVICEABLE.</t>
  </si>
  <si>
    <t>TORPEDO SHOP</t>
  </si>
  <si>
    <t>TORPEDO SHOP FUNCTIONS INCLUDE, BUT ARE NOT LIMITED TO: PREVENTIVE AND CORRECTIVE MAINTENANCE AS WELLS AS HARDWARE AND OPERATIONAL SOFTWARE UPGRADES ON TORPEDO WARSHOT AND EXERCISE CONFIGURATIONS.</t>
  </si>
  <si>
    <t>SPECIAL WEAPONS SHOP</t>
  </si>
  <si>
    <t>SPECIAL WEAPON MAINTENANCE SHOP</t>
  </si>
  <si>
    <t>SPECIAL WEAPONS SHOP FUNCTIONS INCLUDE, BUT ARE NOT LIMITED TO, DETERMINING THE SERVICEABILITY OF THE PRIMARY COMPONENTS OF AN ITEM, AND PERFORMING EXTERIOR MAINTENANCE AS REQUIRED TO RENDER THE ITEM FULLY SERVICEABLE.</t>
  </si>
  <si>
    <t>AIR / UNDERWATER WEAPONS SHOP (TORPEDOES / AIRDROP WPNS)</t>
  </si>
  <si>
    <t>AMMUNITION MAINTENANCE SHOP</t>
  </si>
  <si>
    <t>THE AUW SHOP CONTAINS SPACE AND EQUIPMENT FOR THE STORAGE, TEST, CHECK, ASSEMBLY, AND LIMITED MAINTENANCE OF AIRBORNE TORPEDOES AND OTHER AIRDROP WEAPONS.</t>
  </si>
  <si>
    <t>QUALITY EVALUATION LABORATORY</t>
  </si>
  <si>
    <t>A QUALITY EVALUATION LABORATORY (QEL) SUPPORTS THE QE PROGRAM BY PERFORMING ANALYSIS AND TESTS TO DETERMINE AND MAINTAIN QUALITY ASSURANCE OF AMMUNITION, EXPLOSIVES AND TOXINS.</t>
  </si>
  <si>
    <t>AMMUNITION / EXPLOSIVE MAINTENANCE STORAGE</t>
  </si>
  <si>
    <t>STORAGE FACILITIES FOR MISCELLANEOUS EQUIPMENT RELATED TO AMMUNITION/EXPLOSIVES MAINTENANCE FACILITIES</t>
  </si>
  <si>
    <t>ELECTRONICS / COMMUNICATIONS MAINTENANCE SHOP</t>
  </si>
  <si>
    <t>ELECTRONIC AND COMMUNICATION MAINTENANCE SHOP</t>
  </si>
  <si>
    <t>ELECTRONICS AND COMMUNICATIONS EQUIPMENT MAINTENANCE FACILIT</t>
  </si>
  <si>
    <t>ELECTRONICS MAINTENANCE SHOPS PROVIDE FACILITIES FOR MAINTENANCE AND REPAIR OF NON-AIRBORNE EQUIPMENT. IT CONTAINS OFFICE AND SUPPORT SPACES FOR THE EQUIPMENT MAINTENANCE OFFICER (EMO) AND THE EMO STAFF, EQUIPMENT MAINTENANCE AND TRAINING AREAS, AND A SMALL STORAGE AREA FOR PARTS AND SUPPLIES DIRECTLY UNDER THE CONTROL OF THE EMO.</t>
  </si>
  <si>
    <t>COLLIMATION TOWER</t>
  </si>
  <si>
    <t>ELECTRONIC AND COMMUNICATION MAINTENANCE FACILITY</t>
  </si>
  <si>
    <t>COLLIMATION FACILITIES ARE REQUIRED AT SHIPYARDS FOR ELECTRONIC AND OPTICAL ALIGNMENT OF FIRE CONTROL AND RADAR EQUIPMENT ABOARD SHIPS.</t>
  </si>
  <si>
    <t>FIELD MAINTENANCE SHOP (COMMUNICATIONS / ELECTRONICS)</t>
  </si>
  <si>
    <t>THIS FIELD MAINTENANCE SHOP PROVIDES SPECIALIZED WORK AREAS FOR PERFORMING 3RD AND 4TH ECHELON MAINTENANCE ON ALL ITEMS OF COMMUNICATIONS/ELECTRONICS EQUIPMENT AUTHORIZED REPAIRED BY THE SERVICE BATTALION OF THE MARINE DIVISION AND THE FORCE SERVICE REGIMENT. THE SHOP SPACE INCLUDES ADMINISTRATIVE AND TRAINING AREAS AS WELL AS STORAGE SPACE FOR TOOLS, PARTS, AND MAINTENANCE FLOAT EQUIPMENT.</t>
  </si>
  <si>
    <t>ANTENNA TEST RANGE</t>
  </si>
  <si>
    <t>THIS FACILITY IS FOR TESTING ELECTRONIC EQUIPMENT AND COMMUNICATION ANTENNAS AFTER COMPLETION OF MAINTENANCE, REPAIR AND OVERHAUL WORK.</t>
  </si>
  <si>
    <t>SENSOR ACCURACY CHECK SITE (SACS)</t>
  </si>
  <si>
    <t>THE PRIMARY PURPOSE OF THIS FACILITY IS TO MEASURE THE PERFORMANCE OF SHIPBOARD SENSORS IN AN IN-PORT ENVIRONMENT ON COMPLETION OF OVERHAUL OR DURING NORMAL PORT UPKEEP OF NAVY SHIPS. MAJOR COMPONENTS ARE:  MOVEABLE AND PILE MOUNTED TRANSDUCERS, MOORING SYSTEM, SLIP SERVICES, ECHO SOUNDER TEST ARRAY AND A AUTOMATIC SHIP?S HEAD MEASURING SYSTEM</t>
  </si>
  <si>
    <t>ELECTRONICS-SPARES AND STORAGE (READY ISS/SHOPE STRS/MISC)</t>
  </si>
  <si>
    <t>ELECTRONICS PARTS STORAGE FACILITY.</t>
  </si>
  <si>
    <t>CONTAINER-REPAIR AND TEST BUILDING</t>
  </si>
  <si>
    <t>INSTALLATION SUPPORT EQUIPMENT MAINTENANCE SHOP</t>
  </si>
  <si>
    <t>A CONTAINER REPAIR AND TEST FACILITY SERVICES ONLY EMPTY CONTAINERS.</t>
  </si>
  <si>
    <t>CONSTRUCTION /  WEIGHT HANDLING EQUIPMENT SHOP</t>
  </si>
  <si>
    <t>SEPARATE FACILITY FOR THE MAINTENANCE AND REPAIR OF CONSTRUCTION/WEIGHT-HANDLING EQUIPMENT FOR AREAS WHERE COMBINED AUTOMOTIVE, WEIGHT-HANDLING, RAILROAD AND/OR CONSTRUCTION EQUIPMENT MAINTENANCE FACILITIES ARE NOT A PART OF CATEGORY CODE 214 20, AUTOMOTIVE VEHICLE MAINTENANCE SHOP.</t>
  </si>
  <si>
    <t>MARINE AIR - BASE SQUADRON (MABS)  FACILITY</t>
  </si>
  <si>
    <t>INSTALLATION SUPPORT VEHICLE MAINTENANCE SHOP</t>
  </si>
  <si>
    <t>MARINE AIR BASE SQUADRON (MABS) FACILITY.</t>
  </si>
  <si>
    <t>DRUM RECONDITIONING PLANT</t>
  </si>
  <si>
    <t>THE DRUM RECONDITIONING PLANT IS USED TYPICALLY FOR THE RECONDITIONING OF 55 GAL DRUMS.  PROCESSES INCLUDE: WASHING, DE-DENTING, INTERNAL CHAINING, EXTERNAL WIRE BRUSHING, CHIME ROLLING, TESTING, WELDING, INTERNAL PRESERVATION AND PAINTING.</t>
  </si>
  <si>
    <t>CABLE REPAIR HOUSE</t>
  </si>
  <si>
    <t>CABLE REPAIR FACILITY.</t>
  </si>
  <si>
    <t>RAILROAD EQUIPMENT SHOP</t>
  </si>
  <si>
    <t>THE RAILROAD EQUIPMENT MAINTENANCE FACILITY IS A SPECIAL SHOP TO HOUSE MATERIAL AND EQUIPMENT FOR THE SERVICE AND MAINTENANCE OF RAILROAD LOCOMOTIVES AND LOCOMOTIVE CRANES.</t>
  </si>
  <si>
    <t>INSTRUMENT CALIBRATION SHOP</t>
  </si>
  <si>
    <t>THIS SHOP PERFORMS CALIBRATION, REPAIR, AND CERTIFICATION OF ALL MEASUREMENT INSTRUMENTS ASSIGNED TO AN ACTIVITY.  SPACES WITHIN INCLUDE:  CALIBRATION LAB, CLEANING ROOM, UTILITIES ROOM, STORAGE AREA, ADMINISTRATION AREA.</t>
  </si>
  <si>
    <t>BATTERY SHOP</t>
  </si>
  <si>
    <t>A BATTERY SHOP IS REQUIRED TO SERVICE AND CHARGE BATTERIES.</t>
  </si>
  <si>
    <t>BATTERY RECHARGING SHOP</t>
  </si>
  <si>
    <t>THIS CATEGORY CODE IS FOR USE AT ACTIVITIES WHICH HAVE A REQUIREMENT TO RECHARGE BATTERY POWERED EQUIPMENT SUCH AS FORKLIFT TRUCKS USED AT SUPPLY CENTERS.</t>
  </si>
  <si>
    <t>BATTERY RECHARGING SHED</t>
  </si>
  <si>
    <t>THIS CATEGORY CODE IS USED TO CAPTURE BATTERY CHARGING STRUCTURES/SHEDS AT ACTIVITIES WHICH HAVE A REQUIREMENT TO RECHARGE BATTERY POWERED EQUIPMENT SUCH AS FORKLIFTS AND SIMILAR.  IT IS USED FOR EITHER CHARGING BATTERIES OUTSIDE OF EQUIPMENT OR FOR TEMPORARILY HOUSING EQUIPMENT THEMSELVES FOR BATTERY CHARGING.</t>
  </si>
  <si>
    <t>GROUND SUPPORT EQUIPMENT SHOP</t>
  </si>
  <si>
    <t>THE INTERMEDIATE LEVEL MAINTENANCE OF AIRCRAFT GROUND SUPPORT EQUIPMENT (GSE) IS PERFORMED IN THIS SHOP. GROUND SUPPORT EQUIPMENT, OFTEN REFERRED TO AS YELLOW GEAR, INCLUDES SUCH ITEMS AS TOW TRACTORS, TRUCKS, FORK LIFTS, TRAILERS, COMPRESSORS, POWER GENERATORS, MAINTENANCE STANDS, JACKS AND OTHER GROUND EQUIPMENT WHICH SUPPORT AIRCRAFT OPERATIONS.</t>
  </si>
  <si>
    <t>GROUND SUPPORT EQUIPMENT HOLDING SHED</t>
  </si>
  <si>
    <t>THE GROUND SUPPORT EQUIPMENT (GSE) HOLDING SHED PROVIDES PROTECTIVE COVER FOR GSE GEAR AWAITING AND UNDERGOING INTERMEDIATE LEVEL MAINTENANCE AND IS AN INTEGRAL PART OF THE GSE SHOP COMPOUND.</t>
  </si>
  <si>
    <t>SHIPBOARD AIRCRAFT SUPPORT EQUIPMENT FACILITY</t>
  </si>
  <si>
    <t>SHIPBOARD AIRCRAFT SUPPORT EQUIPMENT FACILITY.</t>
  </si>
  <si>
    <t>EQUIPMENT HOLDING SHED (FOR CODE 218-20)</t>
  </si>
  <si>
    <t>THIS FACILITY IS REQUIRED IN CONJUNCTION WITH CONSTRUCTION/WEIGHT-HANDLING EQUIPMENT SHOP, CATEGORY CODE 218 20 FOR THE PURPOSE OF PROTECTION OF EQUIPMENT AWAITING REPAIRS.</t>
  </si>
  <si>
    <t>PRODUCTION EQUIPMENT MAINTENANCE SHOP</t>
  </si>
  <si>
    <t>PRODUCTION EQUIPMENT MAINTENANCE SHOP.</t>
  </si>
  <si>
    <t>OFFICE EQUIPMENT / APPLIANCE REPAIR SHOP</t>
  </si>
  <si>
    <t>APPROPRIATE FACILITIES MAY BE PROVIDED TO PERFORM MAINTENANCE AND REPAIR OF OFFICE EQUIPMENT AND SMALL APPLIANCES.</t>
  </si>
  <si>
    <t>DENTAL EQUIPMENT MAINTENANCE BUILDING</t>
  </si>
  <si>
    <t>DENTAL</t>
  </si>
  <si>
    <t>DENTAL EQUIPMENT MAINTENANCE BUILDING.</t>
  </si>
  <si>
    <t>REPAIR SHOP STORAGE</t>
  </si>
  <si>
    <t>REPAIR SHOP STORAGE FACILITY.</t>
  </si>
  <si>
    <t>FIELD MAINTENANCE SHOP (GENERAL SUPPLY)</t>
  </si>
  <si>
    <t>THIS FIELD MAINTENANCE SHOP PROVIDES SPECIALIZED WORK AREAS FOR FLEET MARINE FORCE (FMF) UNITS PERFORMING 3RD AND 4TH ECHELON MAINTENANCE ON ALL ITEMS OF GENERAL SUPPLY EQUIPMENT.</t>
  </si>
  <si>
    <t>AVIATION SUPPORT EQUIPMENT SHOP (NALC)</t>
  </si>
  <si>
    <t>AVIATION SUPPORT EQUIPMENT SHOP.</t>
  </si>
  <si>
    <t>MOBILE VAN SHOP (NALC)</t>
  </si>
  <si>
    <t>MOBILE VAN SHOP (NALC).</t>
  </si>
  <si>
    <t>AVIATION SUPPORT / FEEDER SHOP (NALC)</t>
  </si>
  <si>
    <t>AVIATION SUPPORT/FEEDER SHOP (NALC).</t>
  </si>
  <si>
    <t>PUBLIC WORKS SHOP</t>
  </si>
  <si>
    <t>FACILITY ENGINEER MAINTENANCE SHOP</t>
  </si>
  <si>
    <t>INSTALLATION REPAIR AND OPERATION MAINTENANCE FACILITIES</t>
  </si>
  <si>
    <t>THIS FACILITY SUPPORTS THE MAINTENANCE DIVISION OF THE PUBLIC WORKS DEPARTMENT. THIS DIVISION IS RESPONSIBLE FOR MANAGEMENT OF THE PREVENTIVE, MAINTENANCE INSPECTION (PMI) PROGRAM AND IS TASKED TO PERFORM MAINTENANCE ON ALL BUILDINGS, UTILITIES PLANTS AND DISTRIBUTION SYSTEMS, HEATING, AIR-CONDITIONING AND REFRIGERATION SYSTEMS, INTERNAL COMMUNICATIONS AND ALARM SYSTEMS AND ROADS AND TRACKAGE.</t>
  </si>
  <si>
    <t>PAVEMENT AND GROUNDS EQUIPMENT SHED</t>
  </si>
  <si>
    <t>THE PAVEMENT AND GROUNDS EQUIPMENT SHOP WILL PROVIDE HOLDING SPACE AND MINOR MAINTENANCE SPACE FOR TRACTORS, LAWNMOWERS, SNOWPLOWS, AND OTHER MISCELLANEOUS EQUIPMENT USED FOR ROADS AND GROUND MAINTENANCE.</t>
  </si>
  <si>
    <t>PUBLIC WORKS SHOPS EXPENDABLE / WORK IN PROCESS STORE</t>
  </si>
  <si>
    <t>THE PUBLIC WORKS SHOPS EXPENDABLE/WORK-IN-PROCESS STORE HOLDS THE READY-ISSUE ITEMS FOR PUBLIC WORKS DAILY MAINTENANCE, JOB ORDER MATERIALS FOR THE MAINTENANCE OF STATION FACILITIES AND MATERIALS THAT ARE CONSIDERED CRITICAL ITEMS FOR EMERGENCIES/SERVICE.</t>
  </si>
  <si>
    <t>PAINTING AND RELATED OPERATIONS BUILDING</t>
  </si>
  <si>
    <t>THE FUNCTION OF THE PAINTING AND RELATED OPERATIONS BUILDING IS TO PROVIDE SPACE FOR PAINTING AND OTHER OPERATIONS WHICH MAY NOT BE FUNCTIONALLY COMPATIBLE OR HAZARDOUS TO THE BUILDING OR TYPES OF OPERATION CONDUCTED IN THE PUBLIC WORKS SHOP, CATEGORY CODE 219 10.</t>
  </si>
  <si>
    <t>PAINTING AND RELATED OPERATIONS STRUCTURE</t>
  </si>
  <si>
    <t>FACILITY ENGINEER MAINTENANCE FACILITY</t>
  </si>
  <si>
    <t>THE PAINTING AND RELATED OPERATIONS STRUCTURE IS A FACILITY USED FOR PAINTING AND THOSE OPERATIONS WHICH ARE NOT SUITABLE TO BE CARRIED ON IN CATEGORY CODE 219 30, PAINTING AND RELATED OPERATIONS BUILDING. THIS CODE MAY INCLUDE STRUCTURES LIKE A SANDBLAST SCAFFOLD, PAINT SPRAY BOOTH, PRESERVATION DIP TANK, PICKLING TANK, SANDHOPPER, SANDBLASTING FACILITIES, OPEN PAINT CANOPY, SAND HANDLING BIN.</t>
  </si>
  <si>
    <t>SEWAGE HOSE STORAGE FACILITY</t>
  </si>
  <si>
    <t>SEWAGE HOSE STORAGE FACILITY. FOR INVENTORY PURPOSES ONLY.</t>
  </si>
  <si>
    <t>PUBLIC WORKS MAINTENANCE STORAGE (READY ISS/SHOP STR/MISC)</t>
  </si>
  <si>
    <t>THIS FACILITY IS A GENERAL WAREHOUSE FOR THE STORAGE OF ITEMS AND MATERIALS REQUIRED FOR THE MAINTENANCE OF STATION BUILDINGS AND GROUNDS.</t>
  </si>
  <si>
    <t>AIRCRAFT ENGINE ASSEMBLY PLANT</t>
  </si>
  <si>
    <t>AIRCRAFT PRODUCTION PLANT</t>
  </si>
  <si>
    <t>AIRCRAFT PRODUCTION FACILITIES</t>
  </si>
  <si>
    <t>AIRCRAFT ENGINE ASSEMBLY PLANT.</t>
  </si>
  <si>
    <t>AIRFRAME ASSEMBLY PLANT</t>
  </si>
  <si>
    <t>AIRFRAME ASSEMBLY PLANT.</t>
  </si>
  <si>
    <t>AIRCRAFT ACCESSORIES ASSEMBLY PLANT</t>
  </si>
  <si>
    <t>AIRCRAFT ACCESSORIES ASSEMBLY PLANT.</t>
  </si>
  <si>
    <t>MISSILE ASSEMBLY-PLANT</t>
  </si>
  <si>
    <t>MISSILE PRODUCTION PLANT</t>
  </si>
  <si>
    <t>GUIDED MISSILE PRODUCTION FACILITIES</t>
  </si>
  <si>
    <t>MISSILE ASSEMBLY PLANT THAT ACCOMODATES MOTOR FINISHING, PARTS STORAGE, ADMIN, CONTROL HOUSE, SHIPPING, INGREDIENT SCREENING, PROPELLANT STORAGE, TOOL STORAGE, BURNING CAGE, BLENDING, GRINDING, DARKROOM, UTILITY STORAGE ETC.</t>
  </si>
  <si>
    <t>MISSILE HANDLING LAUNCH EQUIPMENT</t>
  </si>
  <si>
    <t>MISSILE HANDLING LAUNCH EQUIPMENT PLANT.</t>
  </si>
  <si>
    <t>FABRICATION &amp; ASSEMBLY BUILDING</t>
  </si>
  <si>
    <t>SHIP PRODUCTION PLANT</t>
  </si>
  <si>
    <t>SHIPS AND SPARES PRODUCTION FACILITIES</t>
  </si>
  <si>
    <t>FABRICATION AND ASSEMBLY BUILDING THAT ACCOMODATES FABRICATION, PROTOTYPE ASSEMBLY, TECH LAB STORAGE, CONSTRUCTION WOOD SHOP, SAND BLAST FACILITY, TECHNICAL SERVICES, AND PROTOTYPE FABRICATION.</t>
  </si>
  <si>
    <t>COMBAT-VEHICLE ASSEMBLY PLANT</t>
  </si>
  <si>
    <t>TANK/AUTOMOTIVE PRODUCTION PLANT</t>
  </si>
  <si>
    <t>TANK AND AUTOMOTIVE PRODUCTION FACILITIES</t>
  </si>
  <si>
    <t>COMBAT VEHICLE ASSEMBLY PLANT</t>
  </si>
  <si>
    <t>AUTOMOTIVE VEHICLE ASSEMBLY PLANT</t>
  </si>
  <si>
    <t>AUTOMOTIVE VEHICLE ASSEMBLY PLANT.</t>
  </si>
  <si>
    <t>SMALL-ARMS PLANT</t>
  </si>
  <si>
    <t>WEAPON PRODUCTION PLANT</t>
  </si>
  <si>
    <t>WEAPONS AND SPARES PRODUCTION FACILITIES</t>
  </si>
  <si>
    <t>SMALL ARMS PLANT.</t>
  </si>
  <si>
    <t>LIGHT-GUN PLANT</t>
  </si>
  <si>
    <t>LIGHT GUN PLANT.</t>
  </si>
  <si>
    <t>HEAVY-GUN PLANT</t>
  </si>
  <si>
    <t>HEAVY GUN PLANT.</t>
  </si>
  <si>
    <t>HARBOR-PROTECTIVE-NET PLANT</t>
  </si>
  <si>
    <t>HARBOR PROTECTIVE NET PLANT.</t>
  </si>
  <si>
    <t>LAUNCHER &amp; PROJECTOR PLANT</t>
  </si>
  <si>
    <t>LAUNCHER AND PROJECTOR PLANT.</t>
  </si>
  <si>
    <t>ARMOR-PLATE PLANT</t>
  </si>
  <si>
    <t>ARMOR PLATE PLANT.</t>
  </si>
  <si>
    <t>BAG-CHARGE-FILLING PLANT</t>
  </si>
  <si>
    <t>AMMUNITION PRODUCTION PLANT</t>
  </si>
  <si>
    <t>AMMUNITION, EXPLOSIVES, AND TOXICS PRODUCTION FACILITIES</t>
  </si>
  <si>
    <t>BAG CHARGE FILLING PLANT.</t>
  </si>
  <si>
    <t>CASE-FILLING PLANT</t>
  </si>
  <si>
    <t>CASE FILLING PLANT.</t>
  </si>
  <si>
    <t>CASE-OVERHAUL TANK-REPAIR FACILITY</t>
  </si>
  <si>
    <t>CASE OVERHAUL TANK REPAIR FACILITY.</t>
  </si>
  <si>
    <t>40MM-LOADING PLANT</t>
  </si>
  <si>
    <t>40MM-LOADING PLANT.</t>
  </si>
  <si>
    <t>20MM-LOADING PLANT</t>
  </si>
  <si>
    <t>20MM-LOADING PLANT.</t>
  </si>
  <si>
    <t>MAJOR-CALIBER PROJECTILE-LOADING PLANT</t>
  </si>
  <si>
    <t>LARGE CALIBER PROJECTILES LOADING FACILITY.</t>
  </si>
  <si>
    <t>MEDIUM-CALIBER PROJECTILE-LOADING PLANT</t>
  </si>
  <si>
    <t>MEDIUM CALIBER PROJECTILE LOADING FACILITY.</t>
  </si>
  <si>
    <t>LARGE-CALIBER ROCKET-MOTOR-LOADING PLANT</t>
  </si>
  <si>
    <t>LARGE CALIBER ROCKET MOTOR LOADING PLANT.</t>
  </si>
  <si>
    <t>MEDIUM-CALIBER ROCKET-MOTOR-LOADING PLANT</t>
  </si>
  <si>
    <t>MEDIUM CALIBER ROCKET LOADING PLANT.</t>
  </si>
  <si>
    <t>CAST-HIGH-EXPLOSIVES FILLING PLANT</t>
  </si>
  <si>
    <t>CAST HIGH EXPLOSIVES FILLING PLANT.</t>
  </si>
  <si>
    <t>CAST-HIGH-EXPLOSIVES FILLING FACILITY</t>
  </si>
  <si>
    <t>AMMUNITION PRODUCTION STRUCTURE</t>
  </si>
  <si>
    <t>CAST HIGH EXPLOSIVES FILLING FACILITY.</t>
  </si>
  <si>
    <t>SPECIAL-WEAPONS PLANT</t>
  </si>
  <si>
    <t>SPECIAL WEAPONS PLANT.</t>
  </si>
  <si>
    <t>PROPELLANT AND RELATED-CHEMICAL PLANT</t>
  </si>
  <si>
    <t>PROPELLANT AND RELATED CHEMICAL PLANT.</t>
  </si>
  <si>
    <t>PROPELLANT AND RELATED-CHEMICAL FACILITY</t>
  </si>
  <si>
    <t>PROPELLANT AND RELATED CHEMICAL FACILITY.</t>
  </si>
  <si>
    <t>READY-AMMUNITION-BELTING PLANT</t>
  </si>
  <si>
    <t>READY AMMUNITION BELTING PLANT.</t>
  </si>
  <si>
    <t>UNDERWATER DEMOLITION EQUIPMENT PLANT</t>
  </si>
  <si>
    <t>UNDERWATER DEMOLITION EQUIPMENT PLANT.</t>
  </si>
  <si>
    <t>AMMUNITION-LOADING PLANT</t>
  </si>
  <si>
    <t>AMMUNITION LOADING PLANT.</t>
  </si>
  <si>
    <t>DEMILITARIZATION BUILDING</t>
  </si>
  <si>
    <t>AMMUNITION DEMILITARIZATION PLANT</t>
  </si>
  <si>
    <t>DEMILITARIZATION BUILDING.</t>
  </si>
  <si>
    <t>DEMILITARIZATION FACILITY</t>
  </si>
  <si>
    <t>AMMUNITION DEMILITARIZATION STRUCTURE</t>
  </si>
  <si>
    <t>DEMILITARIZATION FACILITY.</t>
  </si>
  <si>
    <t>FUSE-ASSEMBLY PLANT</t>
  </si>
  <si>
    <t>FUZE ASSEMBLY PLANT.</t>
  </si>
  <si>
    <t>MINE-ASSEMBLY PLANT</t>
  </si>
  <si>
    <t>MINE ASSEMBLY PLANT.</t>
  </si>
  <si>
    <t>PYROTECHNIC PRODUCTION FACILITY</t>
  </si>
  <si>
    <t>PYROTECHNIC PRODUCTION FACILITY.</t>
  </si>
  <si>
    <t>RADIO AND RADAR EQUIPMENT PLANT</t>
  </si>
  <si>
    <t>ELECTRONIC AND COMMUNICATION PRODUCTION PLANT</t>
  </si>
  <si>
    <t>ELECTRONICS AND COMMUNICATIONS EQUIPMENT PRODUCTION FACILITI</t>
  </si>
  <si>
    <t>RADIO AND RADAR EQUIPMENT PLANT.</t>
  </si>
  <si>
    <t>SONAR EQUIPMENT PLANT</t>
  </si>
  <si>
    <t>SONAR EQUIPMENT PLANT.</t>
  </si>
  <si>
    <t>GUIDANCE EQUIPMENT PLANT</t>
  </si>
  <si>
    <t>GUIDANCE EQUIPMENT PLANT.</t>
  </si>
  <si>
    <t>PRINTED CIRCUIT SHOP</t>
  </si>
  <si>
    <t>PRINTED CIRCUIT SHOP.</t>
  </si>
  <si>
    <t>PARACHUTE &amp; SURVIVAL EQUIPMENT PLANT</t>
  </si>
  <si>
    <t>MISCELLANEOUS SUPPORT PRODUCTION PLANT</t>
  </si>
  <si>
    <t>MISCELLANEOUS ITEMS AND EQUIPMENT PRODUCTION FACILITIES</t>
  </si>
  <si>
    <t>PARACHUTE AND SURVIVAL EQUIPMENT SHOP.</t>
  </si>
  <si>
    <t>CONSTRUCTION EQUIPMENT PLANT</t>
  </si>
  <si>
    <t>CONSTRUCTION EQUIPMENT PLANT.</t>
  </si>
  <si>
    <t>RAILROAD EQUIPMENT PLANT</t>
  </si>
  <si>
    <t>RAILROAD EQUIPMENT PLANT.</t>
  </si>
  <si>
    <t>OPHTHALMIC-SUPPORT BUILDING</t>
  </si>
  <si>
    <t>MEDICAL LABORATORY</t>
  </si>
  <si>
    <t>MEDICAL</t>
  </si>
  <si>
    <t>OPTHALMIC SUPPORT BUILDING.</t>
  </si>
  <si>
    <t>ASPHALT PLANT</t>
  </si>
  <si>
    <t>TH</t>
  </si>
  <si>
    <t>CONSTRUCTION MATERIAL PRODUCTION STRUCTURE</t>
  </si>
  <si>
    <t>INSTALLATION MAINTENANCE AND REPAIR PRODUCTION FACILITIES</t>
  </si>
  <si>
    <t>ASPHALT BATCH PLANT.</t>
  </si>
  <si>
    <t>CONCRETE BATCHING PLANT</t>
  </si>
  <si>
    <t>CONCRETE BATCH PLANT.</t>
  </si>
  <si>
    <t>ROCK CRUSHER PLANT</t>
  </si>
  <si>
    <t>ROCK CRUSHER PLANT.</t>
  </si>
  <si>
    <t>PRINTING PLANT</t>
  </si>
  <si>
    <t>PRINTING AND REPRODUCTION PLANT</t>
  </si>
  <si>
    <t>PRINTING PLANT.</t>
  </si>
  <si>
    <t>MAINTENANCE-PRODUCTION STORAGE -READY ISSUE ETC</t>
  </si>
  <si>
    <t>MAINTENANCE PRODUCTION STORAGE-READY ISSUE FACILITY.</t>
  </si>
  <si>
    <t>CONTAINER ASSEMBLY BUILDING</t>
  </si>
  <si>
    <t>CONTAINER (CONEX) ASSEMBLY BUILDING.</t>
  </si>
  <si>
    <t>RDAT&amp;E ADMINISTRATIVE OFFICE</t>
  </si>
  <si>
    <t>RDAT&amp;E LABORATORY &amp; FACILITIES</t>
  </si>
  <si>
    <t>RDAT&amp;E</t>
  </si>
  <si>
    <t>RESEARCH, DEVELOPMENT, TEST AND EVALUATION SCIENCE FACILITIE</t>
  </si>
  <si>
    <t>BUILDINGS USED DIRECTLY IN THEORETICAL OR APPLIED RESEARCH, DEVELOPMENT AND TESTING OPERATIONS RELATED TO BASIC RESEARCH SUCH AS CHEMISTRY, MATERIALS, MEDICAL, BIOLOGICAL, SONIC, PHYSICS, GEOPHYSICS, ETC.</t>
  </si>
  <si>
    <t>ASTRONOMY &amp; ASTROPHYSICS LABORATORY</t>
  </si>
  <si>
    <t>RDT&amp;E LABORATORY</t>
  </si>
  <si>
    <t>A FACILITY REQUIRED TO SUPPORT THE INVESTIGATION OF RADIO ASTRONOMY EQUIPMENT, SATELLITE RESEARCH, AND DEVELOPMENT FOR NAVIGATIONAL AND COMMUNICATION PROGRAMS.</t>
  </si>
  <si>
    <t>CHEMISTRY &amp; TOXICOLOGY LABORATORY</t>
  </si>
  <si>
    <t>THE FACILITY REQUIRED TO SUPPORT THE CONDUCTING OF RESEARCH, DEVELOPMENT, TEST AND EVALUATION IN THE AREAS OF PHYSICAL, ORGANIC, INORGANIC, AND BIOLOGICAL CHEMISTRY, DIRECTED TOWARDS PROBLEMS OF FUELS, LUBRICANTS, CORROSION, PROTECTIVE COATINGS, ELECTROCHEMISTRY, SUBMARINE ATMOSPHERE PURIFICATION, PROTECTION AGAINST BIOLOGICAL AND CHEMICAL WARFARE AGENTS, AND RELATED PROGRAMS.</t>
  </si>
  <si>
    <t>MATERIALS LABORATORY</t>
  </si>
  <si>
    <t>THIS FACILITY IS USED FOR RESEARCH, DEVELOPMENT, TEST AND EVALUATION OF STATIC, PNEUMATIC NON-DESTRUCTIVE AS WELL AS DESTRUCTIVE TESTING OF COMPONENTS AND ASSEMBLIES FOR NAVY WEAPONS, VEHICLES, ENGINES, SHIPS AND AIRCRAFT.</t>
  </si>
  <si>
    <t>OPTICS LABORATORY</t>
  </si>
  <si>
    <t>THIS FACILITY IS USED IN CONDUCTING RESEARCH, DEVELOPMENT, TEST AND EVALUATION PROGRAMS IN QUANTUM OPTICS, OPTICAL PROPAGATION, LASER PHYSICS, OPTICAL MATERIALS AND OPTICAL WARFARE.</t>
  </si>
  <si>
    <t>PHYSICS LABORATORY</t>
  </si>
  <si>
    <t>THIS FACILITY IS USED IN RESEARCH, DEVELOPMENT, TEST AND EVALUATION STUDIES IN THE APPLIED SCIENCE OF MATTER AND ENERGY. IT INCLUDES RESEARCH IN SUCH AREAS AS ACOUSTICS, MECHANICS, LIGHT, THERMODYNAMICS, ELECTROMAGNETISM, ATOMIC PHYSICS, CRYOGENICS, SOLID STATE PHYSICS, PARTICLE PHYSICS AND PLASMA PHYSICS, ETC.</t>
  </si>
  <si>
    <t>RADIATION EFFECTS LABORATORY</t>
  </si>
  <si>
    <t>THIS FACILITY IS USED IN CONDUCTING RESEARCH, DEVELOPMENT, TEST AND EVALUATION ON RADIATION CHARACTERISTICS OF VARIOUS DEVICES AND THEIR EFFECT ON PERFORMANCE OF VARIOUS SYSTEMS IN THE AIR AND IN THE OCEAN ENVIRONMENT. IT IS ALSO USED IN THE STUDY OF EFFECTS OF RADIATION ON PEOPLE AND MARINE LIFE AND THE ACCOMPLISHMENT OF STUDIES TO DETERMINE RELIABLE METHODS FOR DETECTING RADIATION SOURCES.</t>
  </si>
  <si>
    <t>COMBINED RESEARCH LABORATORY</t>
  </si>
  <si>
    <t>THIS FACILITY IS USED FOR RESEARCH, DEVELOPMENT, TEST AND EVALUATION OF NAVAL SYSTEMS WHICH UTILIZED SEVERAL OF THE SCIENCES IN A COMBINED SYSTEM APPLIED DIRECTLY TO A FLEET PROBLEM OR AREA OF RDAT&amp;E. IT IS ALSO USED TO SUPPORT RESEARCH, DEVELOPMENT, TEST AND EVALUATION OF NAVAL SYSTEMS WHICH DO NOT LOGICALLY FIT THE OTHER CATEGORIES OF RDAT&amp;E.</t>
  </si>
  <si>
    <t>BIOLOGICAL LABORATORY</t>
  </si>
  <si>
    <t>THIS FACILITY IS USED IN RESEARCH, DEVELOPMENT, TEST AND EVALUATION IN TERRESTRIAL AND MARINE BIOLOGY AS RELATED TO STRUCTURE CAPABILITIES, FUNCTIONING HABITAT, HEALTH, GROWTH ENVIRONMENTAL INDICATORS, ECOLOGICAL RELATIONSHIPS OF LIVING ORGANISMS AND ASSOCIATION OF BIOLOGICAL PHENOMENON TO MAN'S EXISTENCE AND OPERATIONS IN THE LAND, OCEAN AND SPACE ENVIRONMENT.</t>
  </si>
  <si>
    <t>ENVIRONMENTAL LABORATORY</t>
  </si>
  <si>
    <t>THIS FACILITY IS USED TO SUPPORT THE RESEARCH, DEVELOPMENT, TEST AND EVALUATION OF INSTRUMENTATION AND COMPUTER SYSTEMS FOR MEASUREMENT AND ANALYSIS OF THE EVALUATION OF ENVIRONMENTAL EFFECTS ON VARIOUS EQUIPMENT, WEAPONS SYSTEMS, FACILITIES, ETC.</t>
  </si>
  <si>
    <t>ANIMAL APPLICATIONS LABORATORY</t>
  </si>
  <si>
    <t>THIS FACILITY IS USED TO SUPPORT THE RDT+E ON NON-HUMAN ANIMALS IN PURE RESEARCH AND OCEAN SUPPORT APPLICATIONS. INCLUDING THE USE OF WHALES AND DOLPHINS AS TRAINED DEEP SEA DIVERS, SEALS FOR TOOL RECOVERY AND DOGS AS SENTRIES. IT ALSO INCLUDES R+D IN APPLICATION AND KNOWLEDGE OF ANIMAL CAPABILITIES IN SENSING, HOMING AND IDENTIFICATION TO IMPROVE THE OPERATION OF MAN-MADE OCEAN DEVICES.</t>
  </si>
  <si>
    <t>MEDICAL RESEARCH LABORATORY</t>
  </si>
  <si>
    <t>THIS FACILITY IS USED IN CONDUCTING RESEARCH TOWARD METHODOLOGY FOR DIAGNOSIS, TREATMENT, OR PREVENTION OF DISEASE OR DAMAGE TO THE BODY OR MIND.</t>
  </si>
  <si>
    <t>COMPUTATIONS AND ANALYSIS LABORATORY</t>
  </si>
  <si>
    <t>THIS FACILITY SUPPORTS RESEARCH, DEVELOPMENT, TEST AND EVALUATION IN THE AREAS OF INFORMATION PROCESSING AND DATA HANDLING, ESPECIALLY WHEN CONCERNED WITH IDENTIFICATION OF CONDITIONS RESPONSIBLE FOR GIVEN DATA CONFIGURATIONS. MATHEMATICAL DATA ANALYSIS UTILIZING BOTH DIGITAL AND ANALOG COMPUTERS TO RESEARCH, DEVELOP, TEST AND EVALUATE NEW NAVAL SYSTEMS</t>
  </si>
  <si>
    <t>OCEAN SCIENCES LABORATORY</t>
  </si>
  <si>
    <t>THIS FACILITY IS USED TO ACCOMPLISH RDT+E IN MARINE BIOSYSTEMS, ENVIRONMENTAL PROTECTION AND MANAGEMENT, DEVELOPMENT OF ANALYTICAL SYSTEMS FOR EVALUATION OF THE OCEAN ENVIRONMENT, STUDIES OF WAVE DYNAMICS, CURRENT FLOW, THERMOCLINES, CHEMICAL VARIANCES, AS WELL AS DEVELOPMENT OF NEW TECHNIQUES AND EQUIPMENT TO INCREASE MAN'S KNOWLEDGE AND UTILIZATION OF THE TOTAL OCEAN ENVIRONMENT.</t>
  </si>
  <si>
    <t>LEVEL III BIOSAFETY LABORATORY</t>
  </si>
  <si>
    <t>BIOSAFETY LEVEL 3 LABORATORY</t>
  </si>
  <si>
    <t>THIS TYPE OF LABORATORY APPLIES TO CLINICAL, DIAGNOSTIC, AND TEACHING, RESEARCH, OR PRODUCTION FACILITIES FOR WORK INVOLVING INDIGENOUS OR EXOTIC AGENTS THAT HAVE THE POTENTIAL TO TRANSMIT INFECTION THROUGH THE RESPIRATORY SYSTEM, WHICH MAY CAUSE SERIOUS AND POTENTIALLY LETHAL INFECTION.</t>
  </si>
  <si>
    <t>LEVEL IV BIOSAFETY LABORATORY</t>
  </si>
  <si>
    <t>BIOSAFETY LEVEL 4 LABORATORY</t>
  </si>
  <si>
    <t>THIS TYPE OF LABORATORY IS ASSOCIATED WITH WORK ON DANGEROUS AND EXOTIC AGENTS THAT POSE A HIGH INDIVIDUAL RISK OF LIFE-THREATENING DISEASE, AEROSOL TRANSMISSION, OR RELATED AGENT WITH UNKNOWN RISK OF TRANSMISSION.</t>
  </si>
  <si>
    <t>RDAT&amp;E MAINTENANCE HANGAR</t>
  </si>
  <si>
    <t>AIRCRAFT RDT&amp;E FACILITY</t>
  </si>
  <si>
    <t>AIRCRAFT RESEARCH, DEVELOPMENT, TEST AND EVALUATION FACILITI</t>
  </si>
  <si>
    <t>A BUILDING USED FOR THE RESEARCH, DEVELOPMENT, AND TESTING OF AIR FRAMES, RELATED ASSEMBLIES, AND OTHER AIRCRAFT EQUIPMENT.  THE FACILITY INCLUDES HIGH BAY/HANGER SPACES, CREW AND EQUIPMENT SPACES, AND ADMIN SUPPORT SPACES.</t>
  </si>
  <si>
    <t>AIRCRAFT FLIGHT AND NAVIGATIONAL EQUIPMENT LABORATORY</t>
  </si>
  <si>
    <t>THIS FACILITY IS UTILIZED IN CONDUCTING RESEARCH, DEVELOPMENT, TEST AND EVALUATION OF AERODYNAMIC DESIGN OF AIRCRAFT AND WEAPONS SYSTEMS AND NAVIGATIONAL SYSTEMS.</t>
  </si>
  <si>
    <t>AIRCRAFT GROUND SUPPORT EQUIPMENT LABORATORY</t>
  </si>
  <si>
    <t>THIS FACILITY IS USED TO RESEARCH, DEVELOPMENT, TEST AND EVALUATION OF AIRCRAFT GROUND SUPPORT EQUIPMENT, SYSTEMS AND TECHNIQUES FOR THE TAKEOFF, RECOVERY, MAINTENANCE, AND TEST OF AIRCRAFT.</t>
  </si>
  <si>
    <t>AIRCRAFT SYSTEMS INTEGRATION LABORATORY</t>
  </si>
  <si>
    <t>THIS FACILITY IS USED FOR RESEARCH, DEVELOPMENT, TEST AND EVALUATION OF VARIOUS GROUPINGS AND COLLECTIONS OF INTERACTING AIRCRAFT SYSTEMS SUCH AS THE EFFECTS OF AIRFRAME, STRUCTURE, FLIGHT CONTROL, ELECTRICAL, ENVIRONMENTAL CONTROL,  FUEL, HYDRAULIC, MECHANICAL, PNEUMATIC, PROPULSION, GUN, LIFE SUPPORT AND RELATED GROUND SUPPORT SYSTEMS ON ECM, AIR TO AIR MISSILE LAUNCH, ETC.</t>
  </si>
  <si>
    <t>GUIDED MISSILE LABORATORY</t>
  </si>
  <si>
    <t>MISSILE AND SPACE RDT&amp;E FACILITY</t>
  </si>
  <si>
    <t>MISSILE AND SPACE RESEARCH, DEVELOPMENT, TEST AND EVALUATION</t>
  </si>
  <si>
    <t>THIS FACILITY IS USED IN SUPPORT OF RESEARCH, DEVELOPMENT, TEST AND EVALUATION OF ADVANCE SIMULATION, INSTRUMENTATION, ENVIRONMENTAL TEST TECHNIQUES AND IMPROVED SERVICEABILITY AND RELIABILITY CHARACTERISTICS OF GUIDED MISSILE WEAPON SYSTEMS. IT INCLUDES ASSEMBLY, DISASSEMBLY, TEST MODIFICATION AND ANALYSIS OF TEST FIRING RESULTS OF GUIDED MISSILES.</t>
  </si>
  <si>
    <t>MISSILE SUPPORT EQUIPMENT LABORATORY</t>
  </si>
  <si>
    <t>THIS FACILITY IS USED FOR RESEARCH, DEVELOPMENT, TEST AND EVALUATION OF EQUIPMENT AND TECHNIQUES FOR THE LAUNCHING, RECOVERY, MAINTENANCE, TRANSPORT AND TESTING OF MISSILES AND GUIDED MISSILE SUPPORT EQUIPMENT.</t>
  </si>
  <si>
    <t>SPACECRAFT / SATELLITE LABORATORY</t>
  </si>
  <si>
    <t>THIS FACILITY SUPPORTS RESEARCH, DEVELOPMENT, TEST AND EVALUATION OF SPACECRAFT, SATELLITES OR COMPONENTS OF EACH NOT OTHERWISE CLASSIFIED AS A MISSILE WEAPON SYSTEM. THIS FACILITY WOULD INCLUDE RELATED GROUND SUPPORT/LAUNCHING EQUIPMENT.</t>
  </si>
  <si>
    <t>MISSILE SYSTEMS INTEGRATION LABORATORY</t>
  </si>
  <si>
    <t>THIS FACILITY IS USED FOR RESEARCH, DEVELOPMENT, TEST AND EVALUATION OF RELATED AND INTERCONNECTED SYSTEMS THAT ARE NECESSARY FOR LAUNCHING, AND IN DIRECT SUPPORT OF GUIDED MISSILE SYSTEMS.</t>
  </si>
  <si>
    <t>SHIP AND MARINE LABORATORY</t>
  </si>
  <si>
    <t>SHIP AND MARINE RDT&amp;E FACILITY</t>
  </si>
  <si>
    <t>SHIP AND MARINE RESEARCH, DEVELOPMENT, TEST AND EVALUATION F</t>
  </si>
  <si>
    <t>THIS FACILITY IS USED IN CONDUCTING RESEARCH, DEVELOPMENT, TEST AND EVALUATION ON SHIPS, BY USE OF MODELS IN HIGH AND LOW SPEED TOW TANKS, MANEUVERING AND SEAKEEPING BASINS, WATER TUNNELS, CIRCULATING WATER CHANNELS, FLUID PHENOMENON BASINS, ETC.</t>
  </si>
  <si>
    <t>SHIPS AND MARINE EQUIPMENT LABORATORY</t>
  </si>
  <si>
    <t>THIS FACILITY IS USED TO CONDUCT RESEARCH, DEVELOPMENT, TEST AND EVALUATION OF SHIPS AND MARINE SUPPORT REQUIREMENT. THIS INCLUDES REPAIR AND MAINTENANCE EQUIPMENT AS WELL AS EQUIPMENT FOR DIRECT SUPPORT AND OPERATION OF SHIPS AND MARINE VESSELS SUCH AS PERISCOPES, TOWED ARRAYS, ETC.</t>
  </si>
  <si>
    <t>SHIPS AND MARINE SYSTEMS INTEGRATION LABORATORY</t>
  </si>
  <si>
    <t>THIS FACILITY IS USED FOR RESEARCH, DEVELOPMENT, TEST AND EVALUATION OF RELATED AND INTERCONNECTED SHIPS AND MARINE SYSTEMS SUCH AS THE SHIP PLATFORM INTEGRATED WITH THE WEAPONS SYSTEMS, COMMUNICATION SYSTEMS, COMMAND AND CONTROL SYSTEMS, SURVEILLANCE SYSTEMS, NAVIGATION SYSTEMS, ETC.</t>
  </si>
  <si>
    <t>GROUND TRANSPORTATION EQUIPMENT LABORATORY</t>
  </si>
  <si>
    <t>TANK AND AUTOMOTIVE RDT&amp;E FACILITY</t>
  </si>
  <si>
    <t>TANK AND AUTOMOTIVE RESEARCH, DEVELOPMENT, TEST AND EVALUATI</t>
  </si>
  <si>
    <t>THIS FACILITY IS USED IN CONDUCTING RESEARCH, DEVELOPMENT, TEST AND EVALUATION IN THE FIELD OF AUTOMOTIVE DESIGN AS APPLIED TO TANKS, APC'S, AND RELATED MILITARY AUTOMOTIVE EQUIPMENT.</t>
  </si>
  <si>
    <t>AIRCRAFT WEAPON SYSTEMS LABORATORY</t>
  </si>
  <si>
    <t>WEAPONS RDT&amp;E FACILITY</t>
  </si>
  <si>
    <t>WEAPONS AND WEAPON SYSTEMS RESEARCH, DEVELOPMENT, TEST AND E</t>
  </si>
  <si>
    <t>THIS FACILITY SUPPORTS THE RESEARCH, DEVELOPMENT, TEST AND EVALUATION OF AIRCRAFT WEAPON SYSTEMS INCLUDING PROJECTILES, MINES AND BOMBS, AND DEFENSIVE COUNTERMEASURES DEVICES/WEAPONS.</t>
  </si>
  <si>
    <t>SHIP WEAPON SYSTEM LABORATORY</t>
  </si>
  <si>
    <t>THIS FACILITY IS USED FOR RESEARCH, DEVELOPMENT, TEST AND EVALUATION OF WEAPONS AND WEAPON SYSTEMS DEPLOYED FROM A SURFACE SHIP. THIS WOULD INCLUDE GUNS, FIRE CONTROL, ETC. THIS DOES NOT INCLUDE AIRCRAFT OR MISSILE SYSTEMS.</t>
  </si>
  <si>
    <t>UNDERWATER WEAPON SYSTEM LABORATORY</t>
  </si>
  <si>
    <t>THIS FACILITY IS USED FOR RESEARCH, DEVELOPMENT, TEST AND EVALUATION OF UNDERSEA WEAPONRY SUCH AS MINES AND TORPEDOES. THIS WOULD INCLUDE SUBMARINE MOUNTED GUNS BUT NOT SUBMARINE LAUNCHED MISSILES. KEY PLATFORM COMPONENTS INCLUDE SONAR, COMBAT CONTROL, UNDERWATER SUBMARINE WARFARE (USW) WEAPONS TARGETS, UNMANNED UNDERWATER VEHICLES (UUVS), AND FLEET TRAINING SYSTEMS.</t>
  </si>
  <si>
    <t>GROUND WEAPON SYSTEMS LABORATORY</t>
  </si>
  <si>
    <t>THIS FACILITY IS USED FOR RESEARCH, DEVELOPMENT, TEST AND EVALUATION OF WEAPONRY IN USE ON OR DEPLOYED FROM A GROUND BASE PLATFORM AND WOULD INCLUDE SMALL ARMS, AUTOMATIC WEAPONS, MORTARS, ARTILLERY, FLAME THROWERS, ETC.</t>
  </si>
  <si>
    <t>WEAPON SYSTEMS INTEGRATION LABORATORY</t>
  </si>
  <si>
    <t>THIS FACILITY IS USED TO ACCOMPLISH RESEARCH, DEVELOPMENT, TEST AND EVALUATION ASSOCIATED WITH THE INTEGRATION OF WEAPON SYSTEMS WITH THE WEAPONS PLATFORM AND WITH OTHER INTERFACES BETWEEN OTHER WEAPONS SYSTEMS, GUIDANCE SYSTEMS, SURVEILLANCE SYSTEMS, ETC.</t>
  </si>
  <si>
    <t>AMMUNITION, EXPLOSIVES AND TOXICS LABORATORY</t>
  </si>
  <si>
    <t>AMMUNITION, EXPLOSIVE, AND TOXIC RDT&amp;E FACILITY</t>
  </si>
  <si>
    <t>AMMUNITION, EXPLOSIVES, AND TOXICS RESEARCH, DEVELOPMENT, TE</t>
  </si>
  <si>
    <t>THIS FACILITY IS USED TO SUPPORT THE RESEARCH, DEVELOPMENT, TEST AND EVALUATION OF AMMUNITION, ROCKETS, BOMBS, MINES, GRENADES, TORPEDOES, DEPTH CHARGES, DEMOLITION MATERIALS, PYROTECHNICS, AT0 UNITS, RELATED CHEMICALS, AND THEIR COMPONENTS AND MATERIALS. THIS CATEGORY CODE DOES NOT INCLUDE FACILITIES FOR GUIDED MISSILES, GUIDED BOMBS, OR COMMERCIAL TYPE PETROLEUM PRODUCTS.</t>
  </si>
  <si>
    <t>COMMUNICATIONS SYSTEMS LABORATORY</t>
  </si>
  <si>
    <t>ELECTRONIC AND COMMUNICATION RDT&amp;E FACILITY</t>
  </si>
  <si>
    <t>ELECTRONIC AND COMMUNICATION EQUIPMENT RESEARCH, DEVELOPMENT</t>
  </si>
  <si>
    <t>THIS FACILITY IS USED IN CONDUCTING RESEARCH, DEVELOPMENT, TEST AND EVALUATION IN THE AREAS OF RADIO COMMUNICATION, INSTRUMENTATION, SATELLITE COMMUNICATION, ELECTROMAGNETIC PROPAGATION, RADIO ANTENNAS, UNDERWATER SOUND SYSTEMS, OPTICAL SYSTEMS (INFRARED), ETC.</t>
  </si>
  <si>
    <t>DETECTION SYSTEMS LABORATORY</t>
  </si>
  <si>
    <t>THIS IS USED IN CONDUCTING RESEARCH, DEVELOPMENT, TEST AND EVALUATION IN BASIC PHYSICAL PHENOMENA OF IMPORTANCE TO RADAR, SONAR, AND RELATED SENSORS, ALSO THE DEVELOPMENT OF SYSTEMS ANALYSIS AND EVAL. OF THE SENSORS USED IN SATELLITES, SHIPS, SUBMARINES, AND AIRCRAFT, ETC. IT INCLUDES SURVEILLANCE FOR DETECTION, IDENTIFICATION AND CLASSIFICATION OF SURFACE, AEROSPACE AND SUB-SURFACE OBJECTS.</t>
  </si>
  <si>
    <t>ELECTRICAL AND ELECTRONICS SYSTEMS LABORATORY</t>
  </si>
  <si>
    <t xml:space="preserve">THIS FACILITY IS USED IN CONDUCTING RDT+E IN THE AREAS OF ELECTRICAL POWER AND ITS CONTROL, MAGNETIC FIELDS AND SHIP'S CONTROL SYSTEMS. RESEARCH IN THIS AREA INVOLVES DEVELOPMENT OF MOTORS AND GENERATORS, FREQUENCY CONVERTERS, VOLTAGE AND CURRENT CONTROL DEVICES, AND SHIPBOARD POWER DISTRIBUTION SYSTEMS. </t>
  </si>
  <si>
    <t>ELECTRICAL &amp; ELECTRONICS &amp; COMMUNICATION SYSTEMS INT LAB</t>
  </si>
  <si>
    <t>THIS FACILITY IS USED TO ACCOMPLISH RESEARCH, DEVELOPMENT, TEST AND EVALUATION ASSOCIATED WITH THE INTEGRATION OF RELATED SYSTEMS AND SUBSYSTEMS OF ELECTRICAL, ELECTRONICS AND COMMUNICATIONS SYSTEMS WITH THE PLATFORM (AIR, SEA, GROUND, ETC.) UPON WHICH THEY WILL OPERATE AND TO VERIFY INTERFACE CONSIDERATION WITH OTHER SYSTEMS OPERATING ON THE RESPECTIVE PLATFORM.</t>
  </si>
  <si>
    <t>PROPULSION SYSTEMS LABORATORY</t>
  </si>
  <si>
    <t>PROPULSION RDT&amp;E FACILITY</t>
  </si>
  <si>
    <t>PROPULSION RESEARCH, DEVELOPMENT, TEST AND EVALUATION FACILI</t>
  </si>
  <si>
    <t>THIS FACILITY IS USED TO SUPPORT RESEARCH, DEVELOPMENT, TEST AND EVALUATION OF PROPULSION SYSTEMS IN ORDER TO DETERMINE OPERATIONAL CAPABILITIES AND IN STUDYING THE ACOUSTICS AND ELECTROMAGNETIC NOISE EFFECTS ON PERFORMANCE AND EFFICIENCY OF DRIVE UNITS.</t>
  </si>
  <si>
    <t>PROPULSION FUEL LABORATORY</t>
  </si>
  <si>
    <t>THIS FACILITY IS USED TO SUPPORT RESEARCH, DEVELOPMENT, TEST, AND EVALUATION OF PROPULSION FUELS IN ORDER TO MAXIMIZE A PROPULSION SYSTEM'S OPERATIONAL CHARACTERISTICS. THIS FACILITY WOULD ALSO SUPPORT INVESTIGATION INTO NEW FUELS AND PROPULSIVE ENERGY SYSTEMS INCLUDING CONTROLLED ENERGY.</t>
  </si>
  <si>
    <t>MISCELLANEOUS EQUIPMENT AND ITEMS LABORATORY</t>
  </si>
  <si>
    <t>MISCELLANEOUS ITEM AND EQUIPMENT RDT&amp;E FACILITY</t>
  </si>
  <si>
    <t>MISCELLANEOUS ITEM AND EQUIPMENT RESEARCH, DEVELOPMENT, TEST</t>
  </si>
  <si>
    <t>THIS FACILITY SUPPORTS RESEARCH, DEVELOPMENT, TEST, AND EVALUATION OF MISCELLANEOUS MILITARY EQUIPMENT SUCH AS LANDING MATS, VALVES (E.G. SAFETY, PRESSURE REDUCING, FUEL REGULATING), AND HYPERBARIC FACILITIES NOT APPROPRIATE IN ANOTHER CATEGORY CODE.</t>
  </si>
  <si>
    <t>RDT&amp;E STORAGE</t>
  </si>
  <si>
    <t>THIS BUILDING IS A STORAGE FACILITY FOR RESEARCH, DEVELOPMENT, TEST, AND EVALUATION EQUIPMENT AND MATERIALS DIRECTLY RELATED TO RDAT&amp;E PROGRAMS.</t>
  </si>
  <si>
    <t>CIVIL ENGINEERING LABORATORY</t>
  </si>
  <si>
    <t>THIS FACILITY IS USED TO SUPPORT RESEARCH, DEVELOPMENT, TEST AND EVALUATION IN THE AREA OF CIVIL ENGINEERING. THIS WOULD INCLUDE MILITARY TYPE BRIDGING, HAND TOOLS, CONSTRUCTION EQUIPMENT, CONSTRUCTION TECHNIQUES, ON LAND, IN AND UNDER THE OCEAN.</t>
  </si>
  <si>
    <t>HUMAN FACTORS LABORATORY</t>
  </si>
  <si>
    <t>THIS FACILITY IS USED TO DETERMINE THE EFFECTS OF WARTIME ATMOSPHERE AND MATERIAL ON MILITARY PERSONNEL AND NON-COMBATANTS. THIS FACILITY WOULD ALSO DEAL WITH MAN-MAN INTERFACING (MORALE, COMMAND CONTROL, AND THE LIKE) AND MAN-MACHINE INTERFACING (CONSOLE DESIGN, PAYLOAD DESIGN, WORK AREA REQUIREMENTS, ETC.)</t>
  </si>
  <si>
    <t>SURVIVAL EQUIPMENT AND CLOTHING LABORATORY</t>
  </si>
  <si>
    <t>THIS FACILITY SUPPORTS RESEARCH, DEVELOPMENT, TEST AND EVALUATION OF PILOT'S AND SAILOR'S NEED FOR SPECIAL EQUIPMENT, CLOTHING AND TECHNIQUES FOR SURVIVAL IN VARIOUS HOSTILE ENVIRONMENTS.</t>
  </si>
  <si>
    <t>METROLOGY AND CALIBRATION LABORATORY</t>
  </si>
  <si>
    <t>THIS FACILITY WILL BE USED IN DIRECT SUPPORT OF RESEARCH, DEVELOPMENT, TEST AND EVALUATION PROGRAMS WHERE PRECISE WEIGHTS AND MEASURES ARE REQUIRED IN CALIBRATING RDAT&amp;E EQUIPMENT. THIS FACILITY WOULD INCLUDE THE METROLOGY AND CALIBRATION EQUIPMENT AND SPACE FOR CALIBRATING APPLICABLE EQUIPMENT.</t>
  </si>
  <si>
    <t>RANGE OPERATIONS AND INSTRUMENTATION LABORATORY</t>
  </si>
  <si>
    <t>THIS FACILITY IS USED IN SUPPORT OF RESEARCH, DEVELOPMENT, TEST AND EVALUATION OF RANGE OPERATIONS TO INCLUDE COMMAND CENTER, COMMUNICATIONS, SURVEILLANCE, INSTRUMENTATION, DATA COLLECTION/REDUCTION/DISPLAY, ETC.</t>
  </si>
  <si>
    <t>UNDERWATER EQUIPMENT LABORATORY</t>
  </si>
  <si>
    <t>UNDERWATER EQUIPMENT RDT&amp;E FACILITY</t>
  </si>
  <si>
    <t>UNDERWATER EQUIPMENT RESEARCH, DEVELOPMENT, TEST AND EVALUAT</t>
  </si>
  <si>
    <t>THIS FACILITY IS USED IN CONDUCTING RESEARCH DEVELOPMENT, TEST AND EVALUATION OF UNDERWATER ACOUSTICS, SHIP VIBRATIONS AND VARIOUS TYPES OF UNDERWATER DEVICES TO INCREASE MAN'S CAPABILITIES IN THE OCEAN.</t>
  </si>
  <si>
    <t>UNDERWATER SYSTEMS INTEGRATION LABORATORY</t>
  </si>
  <si>
    <t>THIS FACILITY WILL BE USED FOR RESEARCH, DEVELOPMENT, TEST AND EVALUATION OF VARIOUS INTERACTING UNDERWATER SYSTEMS, EQUIPMENT, TOOLS, TECHNIQUES AND OPERATORS WORKING TOGETHER IN AN UNDERWATER ENVIRONMENT. THE INTEGRATION OF SEVERAL SYSTEMS TO ACCOMPLISH A GREATER TOTAL EFFORT WILL BE ACCOMPLISHED IN THIS FACILITY.</t>
  </si>
  <si>
    <t>TECHNICAL SERVICES LABORATORY</t>
  </si>
  <si>
    <t>RDT&amp;E TECHNICAL SERVICE FACILITY</t>
  </si>
  <si>
    <t>TECHNICAL SERVICES RESEARCH, DEVELOPMENT, TEST AND EVALUATIO</t>
  </si>
  <si>
    <t>BUILDINGS USED DIRECTLY IN RD&amp;T MANUFACTURING OR REVERSE ENGINEERING OF ONE-OF-A-KIND MODELS AND PARTS FOR SYSTEMS OR SUBSYSTEMS FROM WOOD, PLASTIC, FIBERGLASS AND OTHER MATERIALS BY MOLDING, CASTING, EXTRUDING AND MACHINING.</t>
  </si>
  <si>
    <t>SCIENCE SYSTEMS RANGE FACILITY</t>
  </si>
  <si>
    <t>RDT&amp;E RANGE FACILITY</t>
  </si>
  <si>
    <t>TEST RANGE</t>
  </si>
  <si>
    <t>RESEARCH, DEVELOPMENT, TEST AND EVALUATION RANGE FACILITIES</t>
  </si>
  <si>
    <t>FACILITIES USED IN THE CONDUCT OF TESTS AND EVALUATIONS OF ITEMS IDENTIFIED UNDER CATEGORY CODE SERIES 310.</t>
  </si>
  <si>
    <t>AIRCRAFT SYSTEMS RANGE FACILITY</t>
  </si>
  <si>
    <t>FACILITIES USED IN THE CONDUCT OF TESTS AND EVALUATIONS OF ITEMS IDENTIFIED UNDER CATEGORY CODE SERIES 311.</t>
  </si>
  <si>
    <t>MISSILE AND SPACE SYSTEMS RANGE FACILITY</t>
  </si>
  <si>
    <t>FACILITIES USED IN THE CONDUCT OF TESTS AND EVALUATIONS OF ITEMS IDENTIFIED UNDER CATEGORY CODE SERIES 312.</t>
  </si>
  <si>
    <t>SHIPS AND MARINE SYSTEMS RANGE FACILITY</t>
  </si>
  <si>
    <t>FACILITIES USED IN THE CONDUCT OF TESTS AND EVALUATIONS OF ITEMS IDENTIFIED UNDER CATEGORY CODE SERIES 313.</t>
  </si>
  <si>
    <t>TANK AND AUTOMOTIVE SYSTEMS RANGE FACILITY</t>
  </si>
  <si>
    <t>FACILITIES USED IN THE CONDUCT OF TESTS AND EVALUATIONS OF ITEMS IDENTIFIED UNDER CATEGORY CODE SERIES 314.</t>
  </si>
  <si>
    <t>WEAPONS AND WEAPON SYSTEMS RANGE FACILITY</t>
  </si>
  <si>
    <t>FACILITIES USED IN THE CONDUCT OF TESTS AND EVALUATIONS OF ITEMS IDENTIFIED UNDER CATEGORY CODE SERIES 315.</t>
  </si>
  <si>
    <t>AMMUNITION, EXPLOSIVES AND TOXICS RANGE FACILITY</t>
  </si>
  <si>
    <t>FACILITIES USED IN THE CONDUCT OF TESTS AND EVALUATIONS OF ITEMS IDENTIFIED UNDER CATEGORY CODE SERIES 316.</t>
  </si>
  <si>
    <t>ELECTRONIC, COMMUNICATION &amp; ELECTRICAL SYSTEMS RANGE FAC</t>
  </si>
  <si>
    <t>FACILITIES USED IN THE CONDUCT OF TESTS AND EVALUATIONS OF ITEMS IDENTIFIED UNDER CATEGORY CODE SERIES 317.</t>
  </si>
  <si>
    <t>PROPULSION SYSTEMS RANGE FACILITY</t>
  </si>
  <si>
    <t>FACILITIES USED IN THE CONDUCT OF TESTS AND EVALUATIONS OF ITEMS IDENTIFIED UNDER CATEGORY CODE SERIES 318.</t>
  </si>
  <si>
    <t>MISCELLANEOUS ITEMS AND EQUIPMENT RANGE FACILITY</t>
  </si>
  <si>
    <t>FACILITIES USED IN THE CONDUCT OF TESTS AND EVALUATIONS OF ITEMS IDENTIFIED UNDER CATEGORY CODE SERIES 319.</t>
  </si>
  <si>
    <t>UNDERWATER SYSTEMS RANGE FACILITY</t>
  </si>
  <si>
    <t>FACILITIES USED IN THE CONDUCT OF TESTS AND EVALUATIONS OF ITEMS IDENTIFIED UNDER CATEGORY CODE SERIES 320.</t>
  </si>
  <si>
    <t>SCIENCE SYSTEMS FACILITY</t>
  </si>
  <si>
    <t xml:space="preserve">RESEARCH, DEVELOPMENT, TEST AND EVALUATION FACILITIES OTHER </t>
  </si>
  <si>
    <t>FACILITIES USED IN THE CONDUCT OF RESEARCH, DEVELOPMENT, TEST AND EVALUATION OF ITEMS IDENTIFIED UNDER CATEGORY CODE SERIES 310.</t>
  </si>
  <si>
    <t>AIRCRAFT SYSTEMS FACILITY</t>
  </si>
  <si>
    <t>FACILITIES USED IN THE CONDUCT OF RESEARCH, DEVELOPMENT, TEST AND EVALUATION OF ITEMS IDENTIFIED UNDER CATEGORY CODE SERIES 311.</t>
  </si>
  <si>
    <t>MISSILE AND SPACE SYSTEMS FACILITY</t>
  </si>
  <si>
    <t>FACILITIES USED IN THE CONDUCT OF RESEARCH, DEVELOPMENT, TEST AND EVALUATION OF ITEMS IDENTIFIED UNDER CATEGORY CODE SERIES 312.</t>
  </si>
  <si>
    <t>SHIPS AND MARINE SYSTEMS FACILITY</t>
  </si>
  <si>
    <t>FACILITIES USED IN THE CONDUCT OF RESEARCH, DEVELOPMENT, TEST AND EVALUATION OF ITEMS IDENTIFIED UNDER CATEGORY CODE SERIES 313.</t>
  </si>
  <si>
    <t>TANK AND AUTOMOTIVE SYSTEMS FACILITY</t>
  </si>
  <si>
    <t>FACILITIES USED IN THE CONDUCT OF RESEARCH, DEVELOPMENT, TEST AND EVALUATION OF ITEMS IDENTIFIED UNDER CATEGORY CODE SERIES 314.</t>
  </si>
  <si>
    <t>WEAPONS AND WEAPONS SYSTEMS FACILITY</t>
  </si>
  <si>
    <t>FACILITIES USED IN THE CONDUCT OF RESEARCH, DEVELOPMENT, TEST AND EVALUATION OF ITEMS IDENTIFIED UNDER CATEGORY CODE SERIES 315.</t>
  </si>
  <si>
    <t>AMMUNITION, EXPLOSIVES AND TOXICS FACILITY</t>
  </si>
  <si>
    <t>FACILITIES USED IN THE CONDUCT OF RESEARCH, DEVELOPMENT, TEST AND EVALUATION OF ITEMS IDENTIFIED UNDER CATEGORY CODE SERIES 316.</t>
  </si>
  <si>
    <t>ELECTRONIC, COMMUNICATION AND ELECTRICAL SYSTEMS FACILITY</t>
  </si>
  <si>
    <t>FACILITIES USED IN THE CONDUCT OF RESEARCH, DEVELOPMENT, TEST AND EVALUATION OF ITEMS IDENTIFIED UNDER CATEGORY CODE SERIES 317.</t>
  </si>
  <si>
    <t>PROPULSION SYSTEMS FACILITY</t>
  </si>
  <si>
    <t>FACILITIES USED IN THE CONDUCT OF RESEARCH, DEVELOPMENT, TEST AND EVALUATION OF ITEMS IDENTIFIED UNDER THE CATEGORY CODE SERIES 318.</t>
  </si>
  <si>
    <t>MISCELLANEOUS ITEMS AND EQUIPMENT FACILITY</t>
  </si>
  <si>
    <t>FACILITIES USED IN THE CONDUCT OF RESEARCH, DEVELOPMENT, TEST AND EVALUATION OF ITEMS IDENTIFIED UNDER THE CATEGORY CODE SERIES 319.</t>
  </si>
  <si>
    <t>UNDERWATER SYSTEMS FACILITY</t>
  </si>
  <si>
    <t>FACILITIES USED IN THE CONDUCT OF RESEARCH, DEVELOPMENT, TEST AND EVALUATION OF ITEMS IDENTIFIED UNDER THE CATEGORY CODE SERIES 320.</t>
  </si>
  <si>
    <t>SHIP FUEL STORAGE 10K-100K BL</t>
  </si>
  <si>
    <t>BL</t>
  </si>
  <si>
    <t>BULK LIQUID FUEL STORAGE</t>
  </si>
  <si>
    <t>OPERATIONAL SHIP FUEL STORAGE TANKS WITH CAPACITIES BETWEEN 10K AND 100K BARRELS.  FOR "DAY" TANKS OR TANKS WITH SMALLER CAPACITIES, SEE THE 100 SECTION FOR OTHER CCNS. BL TO GA CONVERSION: EACH BARREL IS 42 GALLONS.</t>
  </si>
  <si>
    <t>SHIP FUEL STORAGE &gt; 100K BL</t>
  </si>
  <si>
    <t>LARGE BULK LIQUID FUEL STORAGE</t>
  </si>
  <si>
    <t>BULK SHIP FUEL STORAGE TANKS ABOVE 100K BARREL CAPACITY.  FOR "DAY" TANKS OR TANKS WITH SMALLER CAPACITIES, SEE THE 100 SECTION FOR OTHER CCNS. BL TO GA CONVERSION: EACH BARREL IS 42 GALLONS.</t>
  </si>
  <si>
    <t>CUT AND COVER SHIP FUEL STORAGE</t>
  </si>
  <si>
    <t>CUT &amp; COVER BULK LIQUID FUEL STORAGE</t>
  </si>
  <si>
    <t>SHIP FUEL STORAGE WITH EARTH COVER FOR USE IN POTENTIALLY HOSTILE ENVIRONMENTS.  FOR "DAY" TANKS OR TANKS WITH SMALLER CAPACITIES, SEE THE 100 SECTION FOR OTHER CCNS. BL TO GA CONVERSION: EACH BARREL IS 42 GALLONS.</t>
  </si>
  <si>
    <t>AVIATION FUEL STORAGE 10K-100K BL</t>
  </si>
  <si>
    <t>OPERATIONAL AVIATION FUEL STORAGE TANKS WITH CAPACITIES BETWEEN 10K AND 100K BARRELS. FOR "DAY" TANKS OR TANKS WITH SMALLER CAPACITIES, SEE THE 100 SECTION FOR OTHER CCNS.</t>
  </si>
  <si>
    <t>AVIATION FUEL STORAGE &gt; 100K BL</t>
  </si>
  <si>
    <t>BULK AVIATION FUEL STORAGE TANKS ABOVE 100K BARREL CAPACITY. FOR "DAY" TANKS OR TANKS WITH SMALLER CAPACITIES, SEE THE 100 SECTION FOR OTHER CCNS. BL TO GA CONVERSION: EACH BARREL IS 42 GALLONS.</t>
  </si>
  <si>
    <t>CUT AND COVER AVIATION FUEL STORAGE</t>
  </si>
  <si>
    <t>AVIATION FUEL STORAGE WITH EARTH COVER FOR USE IN POTENTIALLY HOSTILE ENVIRONMENTS.  FOR "DAY" TANKS OR TANKS WITH SMALLER CAPACITIES, SEE THE 100 SECTION FOR OTHER CCNS. BL TO GA CONVERSION: EACH BARREL IS 42 GALLONS.</t>
  </si>
  <si>
    <t>DIESEL FUEL STORAGE 10K-100K BL</t>
  </si>
  <si>
    <t>OPERATIONAL DIESEL FUEL STORAGE TANKS WITH CAPACITIES BETWEEN 10K AND 100K BARRELS. FOR "DAY" TANKS OR TANKS WITH SMALLER CAPACITIES, SEE THE 100 SECTION FOR OTHER CCNS.</t>
  </si>
  <si>
    <t>DIESEL FUEL STORAGE &gt; 100K BL</t>
  </si>
  <si>
    <t>BULK DIESEL FUEL STORAGE TANKS ABOVE 100K BARREL CAPACITY. FOR "DAY" TANKS OR TANKS WITH SMALLER CAPACITIES, SEE THE 100 SECTION FOR OTHER CCNS. BL TO GA CONVERSION: EACH BARREL IS 42 GALLONS.</t>
  </si>
  <si>
    <t>CUT AND COVER DIESEL FUEL STORAGE</t>
  </si>
  <si>
    <t>DIESEL FUEL STORAGE WITH EARTH COVER FOR USE IN POTENTIALLY HOSTILE ENVIRONMENTS.  FOR "DAY" TANKS OR TANKS WITH SMALLER CAPACITIES, SEE THE 100 SECTION FOR OTHER CCNS. BL TO GA CONVERSION: EACH BARREL IS 42 GALLONS.</t>
  </si>
  <si>
    <t>MOTOR GASOLINE STORAGE 10K-100K BL</t>
  </si>
  <si>
    <t>OPERATIONAL MOTOR GASOLINE STORAGE TANKS WITH CAPACITIES BETWEEN 10K AND 100K BARRELS. FOR "DAY" TANKS OR TANKS WITH SMALLER CAPACITIES, SEE THE 100 SECTION FOR OTHER CCNS.</t>
  </si>
  <si>
    <t>MOTOR GASOLINE STORAGE &gt; 100K BL</t>
  </si>
  <si>
    <t>MOTOR GASOLINE FUEL STORAGE TANKS ABOVE 100K BARREL CAPACITY. FOR "DAY" TANKS OR TANKS WITH SMALLER CAPACITIES, SEE THE 100 SECTION FOR OTHER CCNS. BL TO GA CONVERSION: EACH BARREL IS 42 GALLONS.</t>
  </si>
  <si>
    <t>CUT AND COVER MOTOR GASOLINE STORAGE</t>
  </si>
  <si>
    <t>MOTOR GASOLINE STORAGE WITH EARTH COVER FOR USE IN POTENTIALLY HOSTILE ENVIRONMENTS. FOR "DAY" TANKS OR TANKS WITH SMALLER CAPACITIES, SEE THE 100 SECTION FOR OTHER CCNS. BL TO GA CONVERSION: EACH BARREL IS 42 GALLONS.</t>
  </si>
  <si>
    <t>JET ENGINE FUEL STORAGE 10K-100K BL</t>
  </si>
  <si>
    <t>OPERATIONAL JET FUEL STORAGE TANKS WITH CAPACITIES BETWEEN 10K AND 100K BARRELS. FOR "DAY" TANKS OR TANKS WITH SMALLER CAPACITIES, SEE THE 100 SECTION FOR OTHER CCNS.</t>
  </si>
  <si>
    <t>JET ENGINE FUEL STORAGE &gt; 100K BL</t>
  </si>
  <si>
    <t>JET FUEL STORAGE TANKS ABOVE 100K BARREL CAPACITY. FOR "DAY" TANKS OR TANKS WITH SMALLER CAPACITIES, SEE THE 100 SECTION FOR OTHER CCNS. BL TO GA CONVERSION: EACH BARREL IS 42 GALLONS.</t>
  </si>
  <si>
    <t>CUT AND COVER JET ENGINE FUEL STORAGE</t>
  </si>
  <si>
    <t>JET FUEL STORAGE WITH EARTH COVER FOR USE IN POTENTIALLY HOSTILE ENVIRONMENTS. FOR "DAY" TANKS OR TANKS WITH SMALLER CAPACITIES, SEE THE 100 SECTION FOR OTHER CCNS. BL TO GA CONVERSION: EACH BARREL IS 42 GALLONS.</t>
  </si>
  <si>
    <t>BULK/READY FUEL ADDITIVE STORAGE</t>
  </si>
  <si>
    <t>SMALL BULK STORAGE</t>
  </si>
  <si>
    <t>STORAGE TANKS FOR FUEL ADDITIVES SUCH AS DEICING CHEMICALS.</t>
  </si>
  <si>
    <t>LIQUIFIED PETROLEUM FUEL GAS STORAGE</t>
  </si>
  <si>
    <t>THIS CATCODE IS FOR THE STORAGE OF LIQUEFIED PETROLEUM GAS, COMMONLY KNOWN AS LPG, FOR HEATING, METAL CUTTING, BRAZING, IN DENTAL LABORATORIES, ABOARD SHIPS, AND IN SIMILAR INSTALLATIONS. LPG CONSISTS PREDOMINANTLY OF PROPANE, PROPYLENE, WITH MINOR AMOUNTS OF BUTANE, ISOBUTENE, AND BUTYLENES.</t>
  </si>
  <si>
    <t>CONTAMINATED FUEL STORAGE</t>
  </si>
  <si>
    <t>THIS CATCODE IS FOR FUEL STORAGE FACILITY  TEMPORARY STORAGE FOR OFF-SPECIFICATION (CONTAMINATED) FUEL.</t>
  </si>
  <si>
    <t>BULK (DEPOT) HEATING FUEL STORAGE</t>
  </si>
  <si>
    <t>THIS CATCODE IS FOR HEATING FUEL OIL STORAGE FACILITIES AND IT MAY INCLUDE STORAGE TANKS FOR KEROSENE AND SEVERAL DIFFERENT GRADES OF DIESEL OIL.</t>
  </si>
  <si>
    <t>ROAD OIL STORAGE</t>
  </si>
  <si>
    <t>BULK LIQUID STORAGE, OTHER THAN FUEL</t>
  </si>
  <si>
    <t>LIQUID STORAGE OTHER THAN WATER, FUEL, AND PROPELLANTS</t>
  </si>
  <si>
    <t>STORAGE FACILITIES FOR ROAD OIL.  ROAD OIL IS OIL USED TO CONTROL DUST IN CERTAIN UNPAVED ROADWAY SITUATIONS.</t>
  </si>
  <si>
    <t>LUBRICANT STORAGE</t>
  </si>
  <si>
    <t>THIS CATCODE IS FOR THE STORAGE OF LUBRICATING OIL.</t>
  </si>
  <si>
    <t>BALLAST AND SLUDGE STORAGE</t>
  </si>
  <si>
    <t>THIS CATCODE IS FOR THE STORAGE OF BALLAST AND SLUDGE LIQUIDS.</t>
  </si>
  <si>
    <t>ORGANIC OIL STORAGE</t>
  </si>
  <si>
    <t>THIS CATCODE IS FOR THE STORAGE OF ORGANIC OILS.</t>
  </si>
  <si>
    <t>MISCELLANEOUS LIQUID STORAGE</t>
  </si>
  <si>
    <t>THIS CATCODE IS FOR THE STORAGE OF MISCELLANEOUS LIQUIDS.</t>
  </si>
  <si>
    <t>INDUSTRIAL / POL WASTE STORAGE FACILITY</t>
  </si>
  <si>
    <t>THIS CATCODE IS FOR THE STORAGE OF INDUSTRIAL WASTE/POL LIQUIDS.</t>
  </si>
  <si>
    <t>HIGH EXPLOSIVE MAGAZINE</t>
  </si>
  <si>
    <t>AMMUNITION STORAGE, DEPOT AND ARSENAL</t>
  </si>
  <si>
    <t>ORDNANCE/MUNITIONS STORAGE</t>
  </si>
  <si>
    <t>DEPOT AND ARSENAL AMMUNITION STORAGE</t>
  </si>
  <si>
    <t>A HIGH-EXPLOSIVE MAGAZINE IS USED FOR THE STORAGE OF HAZARD CLASS 1 DIVISION 1 (CH/D 1.1) ENERGETIC MATERIALS.  EXAMPLES OF CH/D 1.1 MATERIALS ARE: BOMBS, MISSILES, WARHEADS, NAVAL MINES, DEMOLITION CHARGES.  HC/D 1.3 AND 1.4 ENERGETICS MAY ALSO BE STORED IN A HIGH EXPLOSIVE MAGAZINE WHEN THE UTILIZATION REQUIRES IT AND COMPATIBILITY ALLOWS IT.</t>
  </si>
  <si>
    <t>INERT STOREHOUSE</t>
  </si>
  <si>
    <t xml:space="preserve"> THESE STOREHOUSES ARE USED FOR THE STORAGE OF SUCH NON-EXPLOSIVE ITEMS AS BOMB TAILS, MACHINE GUN LINKS, EMPTY CARTRIDGE CASES, AND PACKING MATERIALS.</t>
  </si>
  <si>
    <t>READY MAGAZINE</t>
  </si>
  <si>
    <t>AMMUNITION STORAGE, INSTALLATION</t>
  </si>
  <si>
    <t>THIS CATEGORY CODE IS USED SPECIFICALLY FOR ORDNANCE REQUIRED TO BE STORED IN A READY SERVICE CAPACITY AND IS USED TO CAPTURE READY SERVICE MAGAZINES.  THIS DOES NOT INCLUDE READY SERVICE LOCKERS AND SIMILAR ITEMS OF EQUIPMENT, WHICH ARE NOT CAPTURED IN INFADS.</t>
  </si>
  <si>
    <t>AMMUNITION STORAGE BUILDING</t>
  </si>
  <si>
    <t>A BUILDING SPECIFICALLY FOR ORDNANCE REQUIRED TO BE STORED IN A READY SERVICE CAPACITY. THIS DOES NOT INCLUDE READY MAGAZINES THAT SHOULD BE CAPTURED AS CCN 72135, OR READY SERVICE LOCKERS AND SIMILAR ITEMS OF EQUIPMENT WHICH ARE NOT REAL PROPERTY NOR CAPTURED IN INFADS.</t>
  </si>
  <si>
    <t>AMMUNITION STORAGE SHED</t>
  </si>
  <si>
    <t>AMMUNITION STORAGE SHED, INSTALLATION</t>
  </si>
  <si>
    <t>INSTALLATION AND READY ISSUE AMMUNITION STORAGE</t>
  </si>
  <si>
    <t>A STRUCTURE FOR STORING AMMUNITION AT AN INSTALLATION THAT PROVIDES OVERHEAD PROTECTION FROM THE ELEMENTS.</t>
  </si>
  <si>
    <t>SMOKEDRUM STOREHOUSE</t>
  </si>
  <si>
    <t>THIS CATCODE IS FOR THE STORAGE OF CHEMICAL AND SMOKE PRODUCING MIXTURES.</t>
  </si>
  <si>
    <t>SMALL ARMS / PYROTECHNIC MAGAZINE</t>
  </si>
  <si>
    <t>THIS MAGAZINE MAY BE USED TO STORE CLASS 1 DIVISION 3 AND 4 AMMUNITION. PREDOMINANTLY SMALL ARMS AMMUNITION AND PYROTECHNICS.</t>
  </si>
  <si>
    <t>SPECIAL WEAPONS MAGAZINE</t>
  </si>
  <si>
    <t>THE SPECIAL WEAPONS MAGAZINE IS SIMILAR TO THE HIGH EXPLOSIVE MAGAZINE BUT IS USED FOR THE STORAGE OF DIFFERENT TYPES OF ORDNANCE.  FOR MORE DETAILS, REFER TO UFC 2-000-05N.</t>
  </si>
  <si>
    <t>SUBMARINE LAUNCHED BALLISTIC MISSILE STORAGE FACILITY</t>
  </si>
  <si>
    <t>THIS CATCODE IS PRIMARILY FOR THE STORAGE OF SUBMARINE LAUNCHED BALLISTIC MISSILES</t>
  </si>
  <si>
    <t>LIQUID PROPELLANT STORAGE</t>
  </si>
  <si>
    <t>LIQUID PROPELLANT STORAGE, AMMUNITION RELATED</t>
  </si>
  <si>
    <t>LIQUID PROPELLANT AMMUNITION STORAGE</t>
  </si>
  <si>
    <t>THIS CATCODE IS FOR THE STORAGE OF LIQUID PROPELLANTS</t>
  </si>
  <si>
    <t>LIQUID PROPELLANT DISPENSING FACILITY</t>
  </si>
  <si>
    <t>THIS CATCODE IS FOR LIQUID PROPELLANT STORAGE AND DISPENSING FACILITIES</t>
  </si>
  <si>
    <t>WEAPON - RELATED BATTERY STORAGE</t>
  </si>
  <si>
    <t>SH</t>
  </si>
  <si>
    <t>NS</t>
  </si>
  <si>
    <t>BATTERY STORAGE, WEAPON RELATED</t>
  </si>
  <si>
    <t>WEAPON-RELATED BATTERY STORAGE</t>
  </si>
  <si>
    <t>THIS CATCODE IS FOR FACILITIES RELATED TO THE STORAGE OF WEAPONS RELATED BATTERIES.</t>
  </si>
  <si>
    <t>OPEN AMMUNITION STORAGE PAD</t>
  </si>
  <si>
    <t>OPEN AMMUNITION STORAGE</t>
  </si>
  <si>
    <t>THIS CATCODE IS FOR FACILITIES RELATED TO AN OPEN AMMUNITION STORAGE PAD</t>
  </si>
  <si>
    <t>EXPLOSIVE STORAGE SITE PAD</t>
  </si>
  <si>
    <t>A CONCRETE OR ASPHALT PAD, CONSTRUCTED AS A BASE ON WHICH TO PLACE NON-PERMANENT ORDNANCE STORAGE CONTAINERS SUCH AS READY SERVICE LOCKERS (RSLS) AND GOLANS. THE PADS CAN BE NEW OR A PORTION OF AN EXISTING PAVEMENT SUCH AS AN AIRCRAFT APRON OR SIMILAR.</t>
  </si>
  <si>
    <t>CONTAINER HOLDING YARD (EMPTY)</t>
  </si>
  <si>
    <t>THIS CATCODE IS FOR FACILITIES RELATED TO AN EMPTY ISO CONTAINER-HOLDING YARD.</t>
  </si>
  <si>
    <t>BARRICADED MODULE</t>
  </si>
  <si>
    <t>A BARRICADED MODULE IS A BARRICADED AREA COMPRISING OF A SERIES OF CONNECTED CELLS WITH HARD SURFACE STORAGE PADS SEPARATED FROM EACH OTHER BY BARRICADES.</t>
  </si>
  <si>
    <t>COLD STORAGE WAREHOUSE</t>
  </si>
  <si>
    <t>TC</t>
  </si>
  <si>
    <t>COLD STORAGE, DEPOT</t>
  </si>
  <si>
    <t>DEPOT AND IN-TRANSIT COLD STORAGE</t>
  </si>
  <si>
    <t>A COLD STORAGE WAREHOUSE IS PLANNED TO PRESERVE THE QUALITY OF PERISHABLE FOODS AND GENERAL SUPPLY MATERIALS THAT REQUIRE REFRIGERATION. THE WAREHOUSE WILL INCLUDE FREEZE AND CHILL SPACE AND NORMAL PROCESSING FACILITIES AND MECHANICAL AREAS.</t>
  </si>
  <si>
    <t>GENERAL PURPOSE  WAREHOUSE</t>
  </si>
  <si>
    <t>THIS CODE INCLUDES GENERAL WAREHOUSES WITH THE FOLLOWING CHARACTERISTICS: HEATED OR UNHEATED AND WITH/WITHOUT HEAVY-DUTY (OVERHEAD CRANE) CAPABILITY, SPRINKLER SYSTEMS AND/OR ALARM SYSTEMS.</t>
  </si>
  <si>
    <t>GENERAL PURPOSE WAREHOUSE, MARINE CORPS DSSC</t>
  </si>
  <si>
    <t>THIS CATEGORY CODE INCLUDES REQUIREMENTS FOR MARINE CORPS GROUND ACTIVITIES WHICH HAVE BEEN DESIGNATED BY MARINE CORPS ORDERS AS DIRECT SUPPORT STOCK CONTROL ACTIVITIES OR WHICH HAVE SPECIALIZED DSSC FUNCTIONS.</t>
  </si>
  <si>
    <t>STORAGE OF AIR OR GROUND ORGANIC UNITS FOR MARINE CORPS</t>
  </si>
  <si>
    <t>THIS CATEGORY CODE INCLUDES GENERAL PURPOSE STORAGE FACILITIES ASSIGNED TO MARINE CORPS BASES, AIR INSTALLATIONS AND FLEET MARINE FORCE (FMF) UNITS FOR ORGANIC REQUIREMENTS TO INCLUDE DIVISION/WING, BATTALION/GROUP AND COMPANY/SQUADRON STORAGE AREAS, SPECIAL SERVICE STOREROOMS, BASE SHIPPING AND RECEIVING FUNCTIONS AND ANY OTHER ORGANIC STORAGE REQUIREMENTS.</t>
  </si>
  <si>
    <t>SPECIFIC PURPOSE WAREHOUSE, MARINE CORPS LOGSTCS SUPP BSE</t>
  </si>
  <si>
    <t>COVERED STORAGE BUILDING, DEPOT</t>
  </si>
  <si>
    <t>THIS FACILITY INCLUDES GENERAL-PURPOSE WAREHOUSES DESIGNATED AS STORAGE AREAS FOR MARINE CORPS OWNED MATERIAL IN SUPPORT OF LOGISTIC SUPPORT BASE MISSION AS INTEGRATED MATERIAL MANAGERS. ALSO INCLUDED IS THE SPACE UTILIZED IN SUPPORT OF PRE-POSITIONED WAR RESERVE STOCKS.</t>
  </si>
  <si>
    <t>SPECIFIC PURPOSE WAREHOUSE, MARINE CORPS SASSY MGMT UNIT</t>
  </si>
  <si>
    <t>THIS FACILITY INCLUDES GENERAL-PURPOSE WAREHOUSES DESIGNATED FOR SUPPORT OF THE SUPPORTED ACTIVITY SUPPLY SYSTEM (SASSY) MANAGEMENT UNITS TO INCLUDE GENERAL AND MOUNT OUT ACCOUNTS AND CONSOLIDATED ISSUE POINT ASSETS.</t>
  </si>
  <si>
    <t>CONTROLLED HUMIDITY WAREHOUSE</t>
  </si>
  <si>
    <t>CONTROLLED HUMIDITY STORAGE, INSTALLATION</t>
  </si>
  <si>
    <t>A CONTROLLED HUMIDITY WAREHOUSE IS SIMILAR TO A GENERAL WAREHOUSE (441 10) IN EVERY RESPECT EXCEPT THAT IT IS CONSTRUCTED WITH APPROPRIATE VAPOR BARRIERS AND CONTAINS HUMIDITY CONTROL EQUIPMENT TO MAINTAIN HUMIDITY AT DESIRED LEVELS.</t>
  </si>
  <si>
    <t>HAZARDOUS AND FLAMMABLES STOREHOUSE</t>
  </si>
  <si>
    <t>HAZARDOUS MATERIALS STORAGE, INSTALLATION</t>
  </si>
  <si>
    <t>A HAZARDOUS MATERIALS WAREHOUSE IS REQUIRED FOR THE STORAGE AND HANDLING OF MATERIALS SUCH AS FLAMMABLE AND COMBUSTIBLE LIQUIDS, ACIDS, ETC. AS SAFE STORAGE OF SUCH MATERIALS LIES IN THEIR SEPARATION FROM INCOMPATIBLE MATERIALS, A HAZARDOUS AND FLAMMABLES STOREHOUSE IS REQUIRED AS MUCH FOR ADEQUATE MATERIAL SEPARATION AS FOR THEIR STORAGE AND HANDLING.</t>
  </si>
  <si>
    <t>GENERAL STORAGE SHED</t>
  </si>
  <si>
    <t>THE GENERAL SHED IS A ROOFED STRUCTURE WITHOUT COMPLETE SIDE AND/OR END WALLS AND WITH OR WITHOUT SPRINKLER AND/OR ALARM SYSTEMS.</t>
  </si>
  <si>
    <t>UNDERGROUND STORAGE</t>
  </si>
  <si>
    <t>THIS CATEGORY CODE PERTAINS TO UNDERGROUND STORAGE; WHERE IT IS NECESSARY, BECAUSE OF POTENTIAL SABOTAGE OR ENEMY ACTION TO PROTECT SUPPLIES EITHER BY DISPERSAL OR PROTECTIVE CONSTRUCTION, INSTEAD OF PROGRAMMING NEW PROTECTIVE CONSTRUCTION, EXISTING MINES MAY BE USED.</t>
  </si>
  <si>
    <t>DISPOSAL SALVAGE SCRAP BUILDING</t>
  </si>
  <si>
    <t>THIS FACILITY IS PRIMARILY TO PROVIDE COVERED SPACE FOR THE RECEIPT, PROCESSING, STAGING AND ISSUE OF MATERIAL THAT HAS BEEN DEEMED EXCESS TO NAVY NEEDS AND IS AWAITING SOME RESALE OR FINAL DISPOSAL.</t>
  </si>
  <si>
    <t>INTEGRATED LOGISTICS OVERHAUL (ILO) AND OUTFITTING BLDG</t>
  </si>
  <si>
    <t>THIS FACILITY PROVIDES COVERED SUPPLY SPACE USED FOR PROCESSING MATERIALS OFFLOADED FROM OR ASSEMBLED FOR LOADING ABOARD SHIPS. IT INCLUDES SPACE REQUIRED FOR RECEIVING, SORTING, IDENTIFYING AND PROCESSING MATERIALS OFF-LOADED AS WELL AS PROCESSING AND ASSEMBLY OF OUTFITTING MATERIALS TO BE LOADED ABOARD FLEET UNITS.</t>
  </si>
  <si>
    <t>SERVMART</t>
  </si>
  <si>
    <t>A SERVMART PROVIDES COVERED SUPPLY FACILITIES USED FOR DISPLAY AND SALE OF SUPPLY SYSTEMS MATERIALS FOR SELF-SERVICE REQUISITIONING BY END USERS. IT INCLUDES AREAS USED TO DISPLAY ITEMS ON SHELVES OR GONDOLAS, CHECKOUT COUNTERS AND ADMINISTRATIVE FUNCTIONS.</t>
  </si>
  <si>
    <t>MTIS BUILDING</t>
  </si>
  <si>
    <t>A MATERIAL TURNED INTO STORE (MTIS) FACILITY PROVIDES COVERED SUPPLY SPACE USED FOR PROCESSING MATERIALS TURNED INTO SUPPLY FOR REDISTRIBUTION OR DISPOSAL. IT INCLUDES SPACE USED FOR RECEIPT, SCREENING, IDENTIFICATION, ASSEMBLY AND STAGING FOR RETURN TO STORAGE AREAS.</t>
  </si>
  <si>
    <t>OPEN STORAGE AREA</t>
  </si>
  <si>
    <t>OPEN STORAGE, INSTALLATION</t>
  </si>
  <si>
    <t>DEPOT OPEN STORAGE</t>
  </si>
  <si>
    <t>THIS CATEGORY GROUP CONSISTS OF NON-COVERED STORAGE AREAS, PAVED OR OTHERWISE ESTABLISHED, FOR STORAGE OF GENERAL SUPPLY MATERIALS.</t>
  </si>
  <si>
    <t>EXTRAORDINARY- SUPPORT- DISPOSAL STORAGE AREA</t>
  </si>
  <si>
    <t>THIS CODE REFERS TO OPEN AREAS PRIMARILY TO PROVIDE SPACE FOR THE RECEIPT, PROCESSING, STAGING AND ISSUE OF MATERIAL THAT HAS BEEN DEEMED EXCESS TO NAVY NEEDS AND IS AWAITING SOME RESALE OR FINAL DISPOSAL AND WHOSE VALUE IS NOT SIGNIFICANTLY IMPACTED BY UNCOVERED EXPOSURE TO THE ENVIRONMENT.</t>
  </si>
  <si>
    <t>HOSPITAL</t>
  </si>
  <si>
    <t>BD</t>
  </si>
  <si>
    <t>LC</t>
  </si>
  <si>
    <t>MEDICAL CENTERS AND HOSPITALS</t>
  </si>
  <si>
    <t>A HEALTHCARE FACILITY THAT PROVIDES GENERAL AND SPECIALIZED MEDICAL CARE FOR AUTHORIZED PERSONNEL, WITH BOTH INPATIENT AND OUTPATIENT SERVICES. THIS FACILITY WILL ALSO NORMALLY CONTAIN CLINICS, SUCH AS MEDICAL, SURGICAL, PEDIATRICS, OBSTETRICAL, ICU AND CCU.</t>
  </si>
  <si>
    <t>MEDICAL CENTER</t>
  </si>
  <si>
    <t>A REGIONAL MEDICAL CENTER. THESE FACILITIES SUPPORT BOTH INCREASED SURGICAL CAPABILITIES AND A SURGICAL GRADUATE EDUCATION PROGRAM, NOT REQUIRED IN SMALLER HOSPITALS. APPLIES TO BETHESDA, PORTSMOUTH AND SAN DIEGO (BALBOA).</t>
  </si>
  <si>
    <t>PRE-POSITIONED FLEET HOSPITAL WAREHOUSE (UNASSEMBLED)</t>
  </si>
  <si>
    <t>MEDICAL WAREHOUSE</t>
  </si>
  <si>
    <t>FLEET (DEPLOYABLE) HOSPITAL STORAGE FACILITY.</t>
  </si>
  <si>
    <t>HOSPITAL BRANCH / ANNEX</t>
  </si>
  <si>
    <t>HOSPITAL FACILITY ASSOCIATED WITH A MAIN HOSPITAL BUT IN A SEPARATE LOCATION.</t>
  </si>
  <si>
    <t>NAVY MEDICAL ADMINISTRATIVE OFFICE BUILDING</t>
  </si>
  <si>
    <t>ADMINISTRATIVE FUNCTIONS ASSOCIATED WITH A HOSPITAL OR MEDICAL CENTER.  CAN BE WITHIN A MEDICAL FACILITY ITSELF, OR IN A STANDALONE ADMIN FACILITY ASSOCIATED WITH A HOSPITAL OR MEDICAL CENTER.</t>
  </si>
  <si>
    <t>HOSPITAL LAUNDRY</t>
  </si>
  <si>
    <t>LAUNDRY FACILITIES LOCATED WITHIN A HOSPITAL (CATCODE 510 10), USED FOR LAUNDERING OF HOSPITAL LINENS AND OTHER NECESSARY ITEMS.</t>
  </si>
  <si>
    <t>HOSPITAL MEDICAL STORAGE</t>
  </si>
  <si>
    <t>SPACE USED FOR STORAGE OF MEDICAL SUPPLIES WITHIN THE HOSPITAL FACILITY.</t>
  </si>
  <si>
    <t>DISPENSARY AND OUTPATIENT CLINIC</t>
  </si>
  <si>
    <t>DISPENSARY AND CLINIC</t>
  </si>
  <si>
    <t>MEDICAL AND MEDICAL SUPPORT FACILITIES</t>
  </si>
  <si>
    <t>FREE STANDING CLINIC, OUTPATIENT CLINIC, WHICH OCCUPIES A BUILDING OR PART OF A BUILDING, BUT IS NOT PHYSICALLY LOCATED WITH A HOSPITAL OR MEDICAL CENTER THAT PROVIDES ROUTINE AND EMERGENCY CARE TO AUTHORIZED PERSONNEL.</t>
  </si>
  <si>
    <t>A FACILITY, DETACHED FROM A HOSPITAL THAT PROVIDES LABORATORY SUPPORT TO THE HOSPITAL AND/OR OTHER MEDICAL ACTIVITIES. THE ANALYSIS AND DIAGNOSTIC LABORATORY INCLUDES CHEMISTRY, DIAGNOSTICS AND MICROBIOLOGY TESTING SECTIONS AND A QUALITY ASSURANCE AND TECHNICAL SUPPORT SECTION.</t>
  </si>
  <si>
    <t>NAVY MEDICAL PHARMACY</t>
  </si>
  <si>
    <t>A DETACHED FACILITY THAT PROVIDES ROUTINE AND EMERGENCY HEALTH CARE TO AUTHORIZED PERSONNEL.</t>
  </si>
  <si>
    <t>MORGUE</t>
  </si>
  <si>
    <t>A FACILITY, EITHER DETACHED OR WITHIN A HOSPITAL, FOR THE IDENTIFICATION, PREPARATION, AND HOLDING OF HUMAN REMAINS.</t>
  </si>
  <si>
    <t>VIVARIUM CLINIC</t>
  </si>
  <si>
    <t>VETERINARY FACILITY</t>
  </si>
  <si>
    <t>THE VIVARIUM CLINIC IS A MEDICAL RESEARCH LABORATORY FOR KEEPING AND RAISING ANIMALS AND PLANTS UNDER NATURAL CONDITIONS FOR OBSERVATION AND RESEARCH.</t>
  </si>
  <si>
    <t>VETERINARY TREATMENT FACILITY</t>
  </si>
  <si>
    <t>THIS FACILITY IS USED TO PROVIDE FOOD SAFETY AND QUALITY ASSURANCE, CARE FOR GOVERNMENT OWNED ANIMALS (WORKING DOGS AND HORSES), AND ANIMAL DISEASE PREVENTION AND CONTROL. VETERINARY SERVICES ARE TO EXAMINE, IMMUNIZE AND TREAT FOR THE PREVENTION AND CONTROL OF DISEASES OR CONDITIONS THAT ARE TRANSMISSIBLE TO HUMANS OR ANIMALS, OR MAY CONSTITUTE A MILITARY COMMUNITY HEALTH PROBLEM.</t>
  </si>
  <si>
    <t>ENVIRONMENTAL PREVENTATIVE MEDICINE LABORATORY</t>
  </si>
  <si>
    <t>MEDICAL LABORATORY OPERATING IN SUPPORT OF A HOSPITAL OR MEDICAL CENTER.</t>
  </si>
  <si>
    <t>A STORAGE FACILITY FOR MEDICAL EQUIPMENT AND SUPPLIES THAT IS CONTINUOUSLY WITHDRAWN AND REPLENISHED. STORAGE OF WAR RESERVE MEDICAL SUPPLIES IS INCLUDED IN DEPOT STORAGE FACILITIES.</t>
  </si>
  <si>
    <t>A COVERED SPACE USED TO SHIELD THE AMBULANCE, ITS DRIVER AND ITS PATIENTS FROM EXPOSURE TO THE ELEMENTS.</t>
  </si>
  <si>
    <t>DENTAL CLINIC</t>
  </si>
  <si>
    <t>OU</t>
  </si>
  <si>
    <t>DENTAL FACILITY</t>
  </si>
  <si>
    <t>DENTAL CLINICS</t>
  </si>
  <si>
    <t>A DENTAL CLINIC IS AN ORAL HEALTH CARE SERVICE FACILITY EQUIPPED AND STAFFED TO PERFORM DENTAL PROCEDURES FOR GENERAL PRACTICES, A SPECIALTY, OR A GROUPING OF SPECIALTIES.</t>
  </si>
  <si>
    <t>PRIMARY CARE CLINIC</t>
  </si>
  <si>
    <t>DISPENSARIES AND CLINICS</t>
  </si>
  <si>
    <t>A PRIMARY CARE CLINIC MAY BE REFERRED BY VARIOUS NAMES (TROOP MEDICAL CLINIC, ADULT CLINIC, FAMILY PRACTICE CLINIC, OCC HEALTH, OUTPATIENT, AND OTHERS). A PRIMARY CARE CLINIC PROVIDES THE OFFICE, EXAMINATION AND TREATMENT SPACE FOR ?PRIMARY CARE MANAGERS?.</t>
  </si>
  <si>
    <t>AMBULATORY CARE CENTER</t>
  </si>
  <si>
    <t>AMBULATORY CARE CLINIC</t>
  </si>
  <si>
    <t>A HEALTH CARE FACILITY CAPABLE OF PERFORMING OUTPATIENT SURGICAL PROCEDURES AND OTHER MEDICAL TREATMENT, NOT REQUIRING EXTENSIVE PATIENT CONVALESCENCE OR OVERNIGHT OBSERVATION.</t>
  </si>
  <si>
    <t>SUBSTANCE ABUSE REHABILITATION PROGRAM FACILITIES (SARP)</t>
  </si>
  <si>
    <t>THIS FACILITY WILL PROVIDE THE NECESSARY ADMINISTRATION, COUNSELING, TRAINING, BERTHING, AND RECREATION FOR REHABILITATION OF ELIGIBLE NAVY, MARINE CORPS AND OTHER PERSONNEL SUFFERING FROM ALCOHOLISM, DRUG DEPENDENCY AND/OR COMPULSIVE OVEREATING.</t>
  </si>
  <si>
    <t>ADMINISTRATIVE OFFICE</t>
  </si>
  <si>
    <t>ADMINISTRATIVE BUILDINGS</t>
  </si>
  <si>
    <t>THIS FACILITY ACCOMMODATES THE EXECUTIVE AND STAFF FUNCTIONS OF THE STATION OR OF A PARTICULAR DEPARTMENT. THE FUNCTIONS PERFORMED IN AN ADMINISTRATIVE OFFICE ARE PRIMARILY LOGISTICAL AND PERSONNEL MANAGEMENT AS DISTINGUISHED FROM TACTICAL AND STRATEGIC ACTIVITIES.</t>
  </si>
  <si>
    <t>CLASSIFIED MATTER INCINERATOR/SHREDDER AND BUILDING</t>
  </si>
  <si>
    <t>PH</t>
  </si>
  <si>
    <t>A STAND ALONE FACILITY SOLELY FOR THE PURPOSE OF DESTRUCTION OF CLASSIFIED MATERIALS EITHER THROUGH INCINERATION OR SHREDDING.</t>
  </si>
  <si>
    <t>LEGAL SERVICES FACILITY</t>
  </si>
  <si>
    <t>NAVAL LEGAL SERVICE OFFICES (NLSO), REGIONAL LEGAL SERVICE OFFICES (RLSO), JUDICIARY OFFICES, AND CLAIMS CENTERS PROVIDE COMPREHENSIVE LEGAL SERVICES TO COMMAND AND INDIVIDUAL CLIENTS. THESE SERVICES INCLUDE SAFE AND SECURE TRIALS BY COURT-MARTIAL, ADMINISTRATIVE DISCHARGE PROCEEDINGS AND OTHER PERSONNEL ACTIONS, ADJUDICATION OF CLAIMS, LEGAL ASSISTANCE, AND COMMAND ADVICE.</t>
  </si>
  <si>
    <t>AUSTERE ADMINISTRATIVE FACILITY</t>
  </si>
  <si>
    <t>AUSTERE ADMIN. FACILITIES ACCOMMODATE THE EXECUTIVE AND STAFF FUNCTIONS AT DESIGNATED AUSTERE NAVAL INSTALLATIONS. THE FUNCTIONS PERFORMED IN AN ADMIN. OFFICE ARE PRIMARILY LOGISTICAL AND PERSONNEL MANAGEMENT. THEY ARE INTENDED TO PROVIDE THE MINIMUM FOOTPRINT AREA AND FINISH SUPPORTING ADMIN. FUNCTIONS WHILE PROVIDING MINIMAL UP FRONT AND TOTAL COSTS IN COMPARISON TO NON-AUSTERE FACILITIES.</t>
  </si>
  <si>
    <t>DIVISION WING HEADQUARTERS - CMC ONLY</t>
  </si>
  <si>
    <t>LARGE UNIT HEADQUARTERS BUILDING</t>
  </si>
  <si>
    <t>THIS CATEGORY CODE IS FOR A FLEET MARINE FORCE (FMF) FACILITY AND PROVIDES THE NECESSARY ADMINISTRATIVE SPACE TO CONDUCT THE DAY-TO-DAY OPERATIONS OF A MARINE DIVISION HEADQUARTERS OR A MARINE AIRCRAFT WING HEADQUARTERS.</t>
  </si>
  <si>
    <t>REGIMENTAL GROUP HEADQUARTERS - CMC ONLY</t>
  </si>
  <si>
    <t>THIS CATEGORY CODE IS FOR A FLEET MARINE FORCE (FMF) FACILITY AND PROVIDES THE NECESSARY ADMINISTRATIVE SPACE TO CONDUCT THE DAY-TO-DAY OPERATIONS OF A MARINE REGIMENTAL HEADQUARTERS OR A MARINE AIRCRAFT GROUP HEADQUARTERS.</t>
  </si>
  <si>
    <t>BATTALION SQUADRON HEADQUARTERS - CMC ONLY</t>
  </si>
  <si>
    <t>THIS CATEGORY CODE IS FOR A FLEET MARINE FORCE (FMF) FACILITY AND PROVIDES THE NECESSARY ADMINISTRATIVE SPACE TO CONDUCT THE DAY-TO-DAY OPERATIONS OF A MARINE BATTALION OR A SQUADRON HEADQUARTERS.</t>
  </si>
  <si>
    <t>COMPANY/BATTERY HEADQUARTERS - CMC ONLY</t>
  </si>
  <si>
    <t>SMALL UNIT HEADQUARTERS BUILDING</t>
  </si>
  <si>
    <t>THE CATEGORY CODE IS FOR A FLEET MARINE FORCE (FMF) FACILITY AND IS INTENDED FOR THOSE FMF UNITS OF COMPANY OR BATTERY SIZE WHICH REQUIRE SEPARATE ADMINISTRATIVE FACILITIES.</t>
  </si>
  <si>
    <t>GARRISON AID STATION, MARINE CORPS</t>
  </si>
  <si>
    <t>A GARRISON AID STATION PROVIDES MEDICAL CARE AT THE LOCAL LEVEL FOR THE MARINE CORPS AND GENERALLY WILL BE COLLOCATED WITH THE BATTALION AND REGIMENTAL HQ FACILITIES. THE FUNCTIONS PERFORMED IN THIS FACILITY ARE BOTH ADMIN AND CLINICAL IN NATURE WHICH REQUIRES SPACE FOR THE MEDICAL PERSONNEL ASSIGNED AT THE BATTALION, SQUADRON, AND REGIMENTAL LEVELS TO WORK AND SPACE FOR MEDICAL FILE STORAGE.</t>
  </si>
  <si>
    <t>ADMINISTRATIVE STORAGE (READY-ISSUE/SHOP STORAGE/MISC.)</t>
  </si>
  <si>
    <t>STORAGE FACILITIES FOR MISCELLANEOUS EQUIPMENT OR GOODS RELATED TO ADMINISTRATIVE FACILITY SUPPORT.</t>
  </si>
  <si>
    <t>ADMINISTRATIVE FACILITY - UNDERGROUND</t>
  </si>
  <si>
    <t>ADMINISTRATIVE STRUCTURE, UNDERGROUND</t>
  </si>
  <si>
    <t>UNDERGROUND ADMINISTRATIVE STRUCTURES</t>
  </si>
  <si>
    <t>UNDERGROUND ADMINISTRATIVE FACILITY, UTILIZED WHERE SECURITY PROVIDED BY UNDERGROUND LOCATION IS WARRANTED AND APPROVED BY HIGHER HEADQUARTERS.</t>
  </si>
  <si>
    <t>ADMINISTRATIVE STORAGE - UNDERGROUND - MISC</t>
  </si>
  <si>
    <t>UNDERGROUND ADMINISTRATIVE STORAGE FACILITY, UTILIZED WHERE SECURITY PROVIDED BY UNDERGROUND LOCATION IS WARRANTED AND APPROVED BY HIGHER HEADQUARTERS.</t>
  </si>
  <si>
    <t>FLAGPOLE BILLBOARD MARKER</t>
  </si>
  <si>
    <t>ADMINISTRATIVE STRUCTURE, OTHER THAN BUILDINGS</t>
  </si>
  <si>
    <t>ADMINISTRATIVE STRUCTURES OTHER THAN BUILDINGS</t>
  </si>
  <si>
    <t>NO PLANNING FACTORS ARE AVAILABLE. PROVIDE FACILITIES AS REQUIRED.</t>
  </si>
  <si>
    <t>SALUTING BATTERY GUN-MOUNT</t>
  </si>
  <si>
    <t>REVIEWING STAND</t>
  </si>
  <si>
    <t>CLASSIFIED MATERIAL INCINERATOR/SHREDDER (NO BUILDING)</t>
  </si>
  <si>
    <t>A FACILITY SIMILAR TO 610 30, THAT IS LOCATED INSIDE ANOTHER BUILDING INSTEAD OF A STAND ALONE STRUCTURE.</t>
  </si>
  <si>
    <t>WHERRY HOUSING</t>
  </si>
  <si>
    <t>FA</t>
  </si>
  <si>
    <t>NF</t>
  </si>
  <si>
    <t>FAMILY HOUSING DWELLING</t>
  </si>
  <si>
    <t>FAMILY HOUSING</t>
  </si>
  <si>
    <t>FAMILY HOUSING DWELLINGS</t>
  </si>
  <si>
    <t>WHERRY HOUSING, ALL RANKS</t>
  </si>
  <si>
    <t>CAPEHART HOUSING THRU O6</t>
  </si>
  <si>
    <t>CAPEHART HOUSING, THRU O6.</t>
  </si>
  <si>
    <t>CAPEHART HOUSING - O-7 THRU O-10</t>
  </si>
  <si>
    <t>CAPEHART HOUSING, O7-O10.</t>
  </si>
  <si>
    <t>FAMILY HOUSING THRU O6</t>
  </si>
  <si>
    <t>FAMILY HOUSING O7 - O10</t>
  </si>
  <si>
    <t>LEASED HOUSING THRU O6</t>
  </si>
  <si>
    <t>LEASED HOUSING - O-7 THRU O-10</t>
  </si>
  <si>
    <t>LEASED HOUSING, O7-O10.</t>
  </si>
  <si>
    <t>RELOCATABLE HOUSING</t>
  </si>
  <si>
    <t>RELOCATABLE HOUSING, ALL RANKS.</t>
  </si>
  <si>
    <t>SURPLUS-COMMODITY HOUSING</t>
  </si>
  <si>
    <t>SURPLUS COMMODITY HOUSING, ALL RANKS.</t>
  </si>
  <si>
    <t>FOREIGN SOURCE HOUSING THRU O6</t>
  </si>
  <si>
    <t>FAMILY HOUSING HIGH RISE</t>
  </si>
  <si>
    <t>FAMILY HOUSING HIGH RISE BUILDING</t>
  </si>
  <si>
    <t>A BUILDING EQUAL TO, OR GREATER IN HEIGHT THAN 7 STORIES ABOVE GROUND, WHICH CONTAINS FAMILY HOUSING UNITS/APARTMENTS. ASSOCIATED SPACE MAY INCLUDE LOBBY, MULTIPURPOSE ROOM, RESTROOMS, ELEVATOR BANKS, UTILITY/CONTROL ROOMS, EMERGENCY GENERATORS.</t>
  </si>
  <si>
    <t>FOREIGN SOURCE HOUSING, O-7 THRU O-10</t>
  </si>
  <si>
    <t>FOREIGN SOURCE HOUSING, O7-O10.</t>
  </si>
  <si>
    <t>TRAILER-SITES -FOR PRVT OWNED TRLRS</t>
  </si>
  <si>
    <t>SI</t>
  </si>
  <si>
    <t>FAMILY HOUSING INDIVIDUAL TRAILER SITE</t>
  </si>
  <si>
    <t>FAMILY HOUSING TRAILER SITES</t>
  </si>
  <si>
    <t>THIS GROUP INCLUDES SINGLE AND/OR DOUBLE WIDE MANUFACTURED HOUSING PARKING SITES WITH APPURTENANT UTILITY CONNECTIONS; ROADS; WALKS; STORAGE SHEDS; LAUNDRY AND RECREATIONAL FACILITIES.</t>
  </si>
  <si>
    <t>GARAGES DETACHED -FAMILY HOUSING</t>
  </si>
  <si>
    <t>VE</t>
  </si>
  <si>
    <t>FAMILY HOUSING GARAGE</t>
  </si>
  <si>
    <t>DETACHED FAMILY HOUSING FACILITIES</t>
  </si>
  <si>
    <t>DETACHED GARAGES ARE BUILDINGS SEPARATED FROM FAMILY QUARTERS, BUT AVAILABLE TO THE OCCUPANTS.</t>
  </si>
  <si>
    <t>DETACHED CARPORTS</t>
  </si>
  <si>
    <t>FAMILY HOUSING CARPORT</t>
  </si>
  <si>
    <t>DETACHED CARPORTS ARE ALSO PROVIDED ON THE BASIS OF ONE PER LIVING UNIT AND A SPACE ALLOWANCE OF ONE VEHICLE PER CARPORT.</t>
  </si>
  <si>
    <t>FAMILY-HOUSING -OTHER DETACHED BUILDINGS</t>
  </si>
  <si>
    <t>MISCELLANEOUS FAMILY HOUSING SUPPORT FACILITY</t>
  </si>
  <si>
    <t>THESE CODES ARE FOR INVENTORY PURPOSES ONLY AND ARE TO BE USED FOR MINOR DETACHED BUILDINGS DIRECTLY RELATING TO A PARTICULAR FAMILY DWELLING.</t>
  </si>
  <si>
    <t>FAMILY-HOUSING -OTHER DETACHED FACILITIES</t>
  </si>
  <si>
    <t>THESE CODES ARE FOR INVENTORY PURPOSES ONLY AND ARE TO BE USED FOR MINOR DETACHED FACILITIES DIRECTLY RELATING TO A PARTICULAR FAMILY DWELLING.</t>
  </si>
  <si>
    <t>COMMUNITY CENTER</t>
  </si>
  <si>
    <t>COMMUNITY ACTIVITIES/CONFERENCE CENTER</t>
  </si>
  <si>
    <t>A FAMILY HOUSING COMMUNITY CENTER (FHCC) PROVIDES SPACE FOR SOCIAL AND RECREATIONAL PROGRAMS AT FAMILY HOUSING PROJECTS WHERE COMPARABLE NAVY OR NON-NAVY FACILITIES ARE NOT REASONABLY ACCESSIBLE.</t>
  </si>
  <si>
    <t>HOUSING WELCOME CENTER (HWC)</t>
  </si>
  <si>
    <t>A FAMILY HOUSING WELCOME CENTER (HWC) PROVIDES SPACE FOR ADMINISTRATIVE AND SERVICE FUNCTIONS ASSOCIATED WITH THE PROVISIONS OF GOVERNMENT AND PRIVATE SECTOR HOUSING. THE ESTABLISHMENT OF A HWC MUST BE AUTHORIZED BY DIRECTOR, SHORE READINESS DIVISION (OPNAV N46) OR COMMANDANT OF THE MARINE CORPS (LFF-3).</t>
  </si>
  <si>
    <t>HOUSING - MISCELLANEOUS STORAGE</t>
  </si>
  <si>
    <t>FAMILY HOUSING STORAGE FACILITY</t>
  </si>
  <si>
    <t>STORAGE FACILITIES IN SUPPORT OF FAMILY HOUSING.</t>
  </si>
  <si>
    <t>UNACCOMPANIED ENLISTED HOUSING</t>
  </si>
  <si>
    <t>ENLISTED UNACCOMPANIED PERSONNEL HOUSING</t>
  </si>
  <si>
    <t>UNACCOMPANIED HOUSING - PERMANENT PARTY</t>
  </si>
  <si>
    <t>STUDENT BARRACKS</t>
  </si>
  <si>
    <t>UNACCOMPANIED HOUSING - STUDENT DORM</t>
  </si>
  <si>
    <t>UNACCOMPANIED QUARTERS FOR 'A' SCHOOL STUDENTS.</t>
  </si>
  <si>
    <t>RECRUIT BARRACKS</t>
  </si>
  <si>
    <t>RECRUIT/TRAINEE BARRACKS</t>
  </si>
  <si>
    <t>OPEN BAY DESIGN BARRACKS.  THESE WILL BE CONSTRUCTED ONLY FOR RECRUITS, RECEIVING BARRACKS, AND USMC SCHOOL OF INFANTRY. RECRUIT QUARTERS ARE OPEN BAY, CENTRAL HEAD FACILITIES WITH NET LIVING AREA SIZED AS ONE EQUAL SHARE OF THE OPEN BAY SLEEPING AREA.</t>
  </si>
  <si>
    <t>AUSTERE QUARTERS-MISSION ESSENTIAL</t>
  </si>
  <si>
    <t>ENLISTED UNACCOMPANIED PERSONNEL HOUSING, TRANSIENT</t>
  </si>
  <si>
    <t>AUSTERE QUARTERS ARE LODGING FACILITIES LOCATED AT DESIGNATED ENDURING NAVAL INSTALLATIONS. THE CURRENT AUSTERE FACILITY GUIDANCE PROVIDES FOR STANDARDIZED ROOM MODULES WITH CENTRALIZED SHOWER/TOILET FACILITIES FOR ACTIVE DUTY PERSONNEL AND RESERVISTS.</t>
  </si>
  <si>
    <t>DISCIPLINARY HOUSING</t>
  </si>
  <si>
    <t>PRISON/CONFINEMENT FACILITY</t>
  </si>
  <si>
    <t>TRANSIENT PERSONNEL UNIT</t>
  </si>
  <si>
    <t>THIS FACILITY IS TO BE USED FOR BERTHING PERSONNEL IN DISCIPLINARY HOLDING OF RESTRICTED STATUS.</t>
  </si>
  <si>
    <t>UNIT DEPLOYED PERSONNEL (UDP) HOUSING M.E. (ENLISTED)</t>
  </si>
  <si>
    <t>ANNUAL TRAINING/MOBILIZATION BARRACKS</t>
  </si>
  <si>
    <t>UNIT DEPLOYMENT PROGRAM (UDP) PERSONNEL HOUSING FOR MISSION ESSENTIAL (ENLISTED)</t>
  </si>
  <si>
    <t>RESIDENTIAL CARE FACILITY</t>
  </si>
  <si>
    <t>NAVAL HOME</t>
  </si>
  <si>
    <t>BERTHING FOR RETIRED NAVY PERSONNEL ON A LONG TERM BASIS.</t>
  </si>
  <si>
    <t>UNACCOMPANIED HOUSING FOR WOUNDED WARRIORS</t>
  </si>
  <si>
    <t>UNACCOMPANIED HOUSING - MEDICAL</t>
  </si>
  <si>
    <t>A FACILITY DESIGNED TO PROVIDE TEMPORARY AND PERMANENT HOUSING FOR UNACCOMPANIED PERSONNEL IN A WOUNDED WARRIOR/WARRIOR IN TRANSITION STATUS.</t>
  </si>
  <si>
    <t>GALLEY/MESS HALL</t>
  </si>
  <si>
    <t>DINING FACILITY</t>
  </si>
  <si>
    <t>FOOD SERVICES</t>
  </si>
  <si>
    <t>UNACCOMPANIED PERSONNEL HOUSING MESS FACILITIES</t>
  </si>
  <si>
    <t>A FACILITY BUILT INTO, ATTACHED TO, OR ADJACENT TO UH FACILITIES WITH CAFETERIA STYLE DINING OPERATIONS FOR UNACCOMPANIED PERSONNEL, CONFERENCE CENTERS OPERATED BY UH, AND OTHER AUTHORIZED PERSONS.</t>
  </si>
  <si>
    <t>AUSTERE GALLEY</t>
  </si>
  <si>
    <t>AUSTERE GALLIES PROVIDE CORE DINING, FOOD PREPARATION, AND SUPPORT AREAS FOR LOCATIONS DETERMINED AUSTERE BY CNIC. THESE FACILITIES ARE INTENDED TO PROVIDE THE MINIMUM FOOTPRINT AREA AND FINISHES TO SUPPORT GALLEY FUNCTIONS WHILE PROVIDING MINIMAL UP FRONT AND TOTAL OWNERSHIP COSTS IN COMPARISON TO NON-AUSTERE LOCATIONS.</t>
  </si>
  <si>
    <t>COLD STORAGE DETACHED FROM GALLEY/MESS HALL</t>
  </si>
  <si>
    <t>DINING SUPPORT FACILITY</t>
  </si>
  <si>
    <t>THIS CODE IS FOR INVENTORY PURPOSES ONLY IN CASES WHERE COLD STORAGE FACILITIES ARE DETACHED FROM THE GALLEY PROPER.</t>
  </si>
  <si>
    <t>CONFERENCE CENTER</t>
  </si>
  <si>
    <t>UNACCOMPANIED HOUSING - SUPPORT</t>
  </si>
  <si>
    <t>THIS CATEGORY CODE IS FOR INVENTORY PURPOSES ONLY, AND INCLUDES ONLY THOSE CONFERENCE ROOMS LOCATED IN UNACCOMPANIED HOUSING.</t>
  </si>
  <si>
    <t>LATRINE DETACHED</t>
  </si>
  <si>
    <t>LATRINE/SHOWER FACILITY</t>
  </si>
  <si>
    <t>DETACHED UNACCOMPANIED PERSONNEL HOUSING FACILITIES</t>
  </si>
  <si>
    <t>LATRINE FACILITIES ARE PLANNED AS PART OF THE UNACCOMPANIED HOUSING. CODES ARE LISTED FOR INVENTORY PURPOSES ONLY.</t>
  </si>
  <si>
    <t>LAUNDRY DETACHED</t>
  </si>
  <si>
    <t>LAUNDRY/DRY CLEANING FACILITY</t>
  </si>
  <si>
    <t>LATRINE AND LAUNDRY FACILITIES ARE PLANNED AS PART OF THE UNACCOMPANIED QUARTERS. CODES ARE LISTED FOR INVENTORY PURPOSES ONLY.</t>
  </si>
  <si>
    <t>STANDALONE KITCHEN</t>
  </si>
  <si>
    <t>THIS CODE IS FOR INVENTORY PURPOSES ONLY IN CASES WHERE A KITCHEN IS SEPARATE FROM GALLEY/DINING HALL OR OTHER TYPE OF BUILDING.</t>
  </si>
  <si>
    <t>GARAGE DETACHED - UNACCOMPANIED HOUSING</t>
  </si>
  <si>
    <t>UNACCOMPANIED PERSONNEL HOUSING GARAGE</t>
  </si>
  <si>
    <t>INDIVIDUAL GARAGES WILL NOT BE PLANNED IN CONJUNCTION WITH TROOP HOUSING. THIS CATEGORY CODE SHOULD BE USED FOR INVENTORY PURPOSES ONLY.</t>
  </si>
  <si>
    <t>WASH RACK DETACHED</t>
  </si>
  <si>
    <t>WASH RACKS FOR GALLEY GARBAGE CONTAINERS, AND WASH RACKS FOR UNACCOMPANIED RESIDENT'S VEHICLES ARE PLANNED AS PART OF GALLEYS AND UNACCOMPANIED HOUSING. THIS CATEGORY CODE SHOULD BE USED FOR INVENTORY PURPOSES ONLY.</t>
  </si>
  <si>
    <t>TROOP HOUSING - OTHER DETACHED BUILDINGS</t>
  </si>
  <si>
    <t>MISCELLANEOUS UPH SUPPORT BUILDING</t>
  </si>
  <si>
    <t>THESE CODES ARE FOR INVENTORY PURPOSES ONLY AND ARE TO BE USED FOR MINOR DETACHED BUILDINGS DIRECTLY RELATING TO UNACCOMPANIED HOUSING FUNCTIONS.</t>
  </si>
  <si>
    <t>TROOP HOUSING - OTHER DETACHED FACILITIES</t>
  </si>
  <si>
    <t>MISCELLANEOUS UPH SUPPORT FACILITY</t>
  </si>
  <si>
    <t>THESE CODES ARE FOR INVENTORY PURPOSES ONLY AND ARE TO BE USED FOR MINOR DETACHED FACILITIES DIRECTLY RELATING TO UNACCOMPANIED HOUSING FUNCTIONS.</t>
  </si>
  <si>
    <t>TROOP HOUSING STORAGE (READY ISSUE/SHOP STORES/MISC.)</t>
  </si>
  <si>
    <t>STORAGE FACILITIES FOR MISCELLANEOUS EQUIPMENT AN/OR GOODS RELATED TO UNACCOMPANIED HOUSING SUPPORT WILL BE PROVIDED ONLY WHERE IT CAN BE INDIVIDUALLY JUSTIFIED.</t>
  </si>
  <si>
    <t>UNACCOMPANIED OFFICER HOUSING</t>
  </si>
  <si>
    <t>OFFICER UNACCOMPANIED PERSONNEL HOUSING</t>
  </si>
  <si>
    <t>OFFICER UNACCOMPANIED PERSONNEL HOUSING FACILITIES</t>
  </si>
  <si>
    <t>UNACCOMPANIED OFFICER HOUSING, ALL RANKS</t>
  </si>
  <si>
    <t>UNIT DEPLOYED PERSONNEL (UDP) HOUSING - M.E. (OFFICER)</t>
  </si>
  <si>
    <t>HOUSING FOR UNIT DEPLOYED PERSONNEL (UDP) HOUSING - MISSION ESSENTIAL - OFFICER</t>
  </si>
  <si>
    <t>USNA UNACCOMPANIED HOUSING</t>
  </si>
  <si>
    <t>SERVICE ACADEMY UNACCOMPANIED PERSONNEL HOUSING</t>
  </si>
  <si>
    <t>UNACCOMPANIED HOUSING BUILDINGS LOCATED AT THE US NAVAL ACADEMY.</t>
  </si>
  <si>
    <t>TROOP HOUSING - EMERGENCY BUILDING</t>
  </si>
  <si>
    <t>EMERGENCY UNACCOMPANIED PERSONNEL HOUSING</t>
  </si>
  <si>
    <t>EMERGENCY UNACCOMPANIED PERSONNEL HOUSING FACILITIES</t>
  </si>
  <si>
    <t>THESE MAY BE HUTMENTS (QUONSETS), TENT FRAMES WITH FLOORS AND MAY BE PERMANENT, SEMI-PERMANENT, OR TEMPORARY TYPES OF BUILDINGS. CODES ARE LISTED FOR INVENTORY PURPOSES ONLY.</t>
  </si>
  <si>
    <t>TROOP HOUSING - EMERGENCY FACILITY</t>
  </si>
  <si>
    <t>EUPH TENT PAD</t>
  </si>
  <si>
    <t>THESE MAY BE HUTMENTS (QUONSETS), TENT FRAMES WITH FLOORS AND MAY BE PERMANENT, SEMI-PERMANENT, OR TEMPORARY TYPES OF FACILITIES. NO CRITERIA FOR THESE FACILITIES ARE CURRENTLY AVAILABLE.  CODES ARE LISTED FOR INVENTORY PURPOSES ONLY.</t>
  </si>
  <si>
    <t>FIRE STATION</t>
  </si>
  <si>
    <t>FIRE STATION FACILITY</t>
  </si>
  <si>
    <t>COMMUNITY-FACILITIES - PERS SUPRT&amp;SVCS</t>
  </si>
  <si>
    <t>THIS CRITERIA APPLIES TO FIRE STATIONS WITH STRUCTURAL AND BRUSH FIRE MISSIONS AND IS TO BE USED AS A GUIDELINE FOR PLANNING FIRE STATIONS WITH AIR CRASH RESCUE OPS AND COMBINED STRUCTURAL FIRE AND RESCUE OPS. FIRE STATIONS CONSIST OF AN ALARM COM CENTER, TRAINING FACILITIES, LIVING QUARTERS, RECREATION/DINING FACILITIES, ADMIN OFFICES, AN EQUIPMENT MAINTENANCE AREA, AND AN APPARATUS ROOM.</t>
  </si>
  <si>
    <t>FIRE HOSE DRYING STRUCTURE</t>
  </si>
  <si>
    <t>CATEGORY CODE 730 11 AND 12 ARE FOR INVENTORY PURPOSES ONLY IN CASES WHERE THESE FACILITIES ARE PROVIDED IN A SEPARATE BUILDING OR STRUCTURE. FOR PLANNING PURPOSES, THEY ARE TO BE CONSIDERED AS PART OF THE FIRE STATION, CODE 730 10.</t>
  </si>
  <si>
    <t>FIRE CART / HOSE DRYING FACILITY</t>
  </si>
  <si>
    <t>ISSUE / RETAIL CLOTHING AND UNIFORM CENTER</t>
  </si>
  <si>
    <t>CLOTHING SALES STORE</t>
  </si>
  <si>
    <t>THIS IS A RETAIL OUTLET FOR MILITARY CLOTHING AND ACCESSORIES. THIS FACILITY IS OPERATED BY THE NAVY AND MARINE CORPS EXCHANGE SERVICE.</t>
  </si>
  <si>
    <t>BRIG</t>
  </si>
  <si>
    <t>BASE SECURITY</t>
  </si>
  <si>
    <t>THIS CODE IS TO BE USED FOR FACILITIES WHOSE PRIMARY PURPOSE IS THE CONFINEMENT OF PERSONNEL.</t>
  </si>
  <si>
    <t>SECURITY BUILDING</t>
  </si>
  <si>
    <t>POLICE STATION</t>
  </si>
  <si>
    <t>A SECURITY BUILDING WHICH HOUSES THE SHORE PATROL AND MILITARY OR CIVILIAN POLICE FORCES MAY VARY IN USE FROM A STANDARD POLICE STATION TO A LARGE SECURITY DEPARTMENT PROVIDING COUNTER-TERRORISM FUNCTIONS AND INVESTIGATIVE SERVICES.</t>
  </si>
  <si>
    <t>DEFENSIVE FIGHTING POSITION</t>
  </si>
  <si>
    <t>SECURITY SUPPORT BUILDING</t>
  </si>
  <si>
    <t>FORCE PROTECTION</t>
  </si>
  <si>
    <t>AN ELEVATED DEFENSIVE FIGHTING POSITION LOCATED AT ECP'S AND OTHER AREAS NEEDING ADDITIONAL ENTRY SECURITY.</t>
  </si>
  <si>
    <t>NCIS FIELD OFFICE</t>
  </si>
  <si>
    <t>DESCRIPTION: A BUILDING THAT HOUSES THE FIELD FUNCTIONS OF NAVY CRIMINAL INVESTIGATIVE SERVICES FIELD OFFICES, INCLUDING OFFICES, AN ARMORY, INTERROGATION ROOMS, INVESTIGATIVE GARAGES, AND OTHER SUPPORT FUNCTIONS.</t>
  </si>
  <si>
    <t>GATE / SENTRY HOUSE</t>
  </si>
  <si>
    <t>THE GATE/SENTRY HOUSE MAY VARY IN SIZE FROM A SIMPLE SENTRY SHELTER TO A BUILDING HOUSING A GATE GUARD OFFICE, CLERICAL OFFICE, AND WAITING ROOM; OR A TRUCK INSPECTION BUILDING.</t>
  </si>
  <si>
    <t>BAKERY</t>
  </si>
  <si>
    <t>BREAD/PASTRY KITCHEN</t>
  </si>
  <si>
    <t>THE ESTABLISHMENT OF BAKERIES IS GOVERNED BY PROVISIONS OF DOD INSTRUCTION 4100.33 ? COMMERCIAL OR INDUSTRIAL ACTIVITIES ? OPERATION OF. NORMALLY A BAKERY WILL BE AUTHORIZED WHERE COMMERCIAL SOURCES ARE NOT AVAILABLE.</t>
  </si>
  <si>
    <t>LOCKER ROOM</t>
  </si>
  <si>
    <t>MWR</t>
  </si>
  <si>
    <t>THIS FACILITY PROVIDES LOCKER SPACE FOR THE BELONGINGS OF MILITARY PERSONNEL WHO MUST VACATE THEIR QUARTERS FOR EXTENDED PERIODS OF TIME, FOR THOSE WHOSE ALLOTTED STORAGE SPACE IS NOT SUFFICIENT, AND FOR OTHER USES AS DEEMED JUSTIFIED BY THE COMMANDING OFFICER.</t>
  </si>
  <si>
    <t>LUNCH / LOCKER ROOM</t>
  </si>
  <si>
    <t>NON-EXCHANGE EATING FACILITY</t>
  </si>
  <si>
    <t xml:space="preserve">THIS FACILITY IS GENERALLY PROVIDED ONLY TO SUPPORT INDUSTRIAL OPERATIONS WHERE OTHER MESSING FACILITIES ARE NOT AVAILABLE AND REQUIRES SPECIFIC JUSTIFICATION. </t>
  </si>
  <si>
    <t>LAUNDRY / DRY CLEANING PLANT</t>
  </si>
  <si>
    <t>LAUNDRY AND DRY CLEANING PLANTS.  THE ESTABLISHMENT OF THESE FACILITIES IS GOVERNED BY PROVISIONS OF DOD INSTRUCTION 4100.33 - COMMERCIAL OR INDUSTRIAL ACTIVITIES - OPERATION OF. NORMALLY THEY WILL BE AUTHORIZED ONLY IN LOCATIONS WHERE COMMERCIAL FACILITIES ARE NOT AVAILABLE.</t>
  </si>
  <si>
    <t>DEPENDENT SCHOOL - CONSOLIDATED</t>
  </si>
  <si>
    <t>DEPENDENT SCHOOL</t>
  </si>
  <si>
    <t>DEPENDENT SCHOOL GRADES K-12.  THE PLANNING AND PROGRAMMING FOR DEPENDENT SCHOOL FACILITIES OVERSEAS IS CURRENTLY UNDER THE COGNIZANCE OF DEPARTMENT OF DEFENSE EDUCATION ACTIVITY (DODEA).   DEPENDENT SCHOOLS PROVIDE EDUCATION FOR DEPENDENTS OF MILITARY PERSONNEL.</t>
  </si>
  <si>
    <t>FALLOUT SHELTER</t>
  </si>
  <si>
    <t>AIR RAID/FALLOUT/STORM SHELTER</t>
  </si>
  <si>
    <t>THERE ARE TWO KINDS OF FALLOUT SHELTERS: DUAL-PURPOSE AND SINGLE-PURPOSE. A DUAL-PURPOSE FALLOUT SHELTER HAS A PRIMARY PURPOSE AND SATISFIES SOME OTHER BASIC REQUIREMENT SUCH AS HOUSING, ADMINISTRATIVE, STORAGE, ETC., BUT IS DESIGNATED TO PROVIDE FALLOUT PROTECTION IN EMERGENCIES. A SINGLE-PURPOSE FALLOUT SHELTER IS A BUILDING OR PART OF A BUILDING WHOSE SINGULAR PURPOSE IS FALLOUT PROTECTION.</t>
  </si>
  <si>
    <t>MISCELLANEOUS PERSONNEL WEATHER SHELTERS</t>
  </si>
  <si>
    <t>PERSONNEL/EQUIPMENT SHELTER</t>
  </si>
  <si>
    <t>SHELTERS MAY BE ESTABLISHED AT BUS STOPS OR OTHER LOCATIONS AS REQUIRED. PROVIDE 0.5 SQ.M. (5 SF) PER PERSON.</t>
  </si>
  <si>
    <t>BUS STATION</t>
  </si>
  <si>
    <t>A BUS STATION IS A TERMINAL WITH SPACE FOR A WAITING ROOM AND BUS TICKET SALES. IT MAY BE PLANNED AS REQUIRED.</t>
  </si>
  <si>
    <t>KENNEL-MORALE, WELFARE, AND RECREATIONAL OPERATED</t>
  </si>
  <si>
    <t>RETAIL KENNEL</t>
  </si>
  <si>
    <t>A TEMPORARY BOARDING FACILITY FOR DOGS AND CATS OPERATED BY MWR.</t>
  </si>
  <si>
    <t>PUBLIC TOILET</t>
  </si>
  <si>
    <t>PUBLIC RESTROOM/SHOWER</t>
  </si>
  <si>
    <t>USE THIS CODE FOR INVENTORY OF ALL DETACHED COMFORT STATIONS, SUCH AS THOSE AT BALL FIELDS AND PICNIC AREAS, EXCEPT FOR THOSE IN THE UNACCOMPANIED HOUSING AREA. USE CATEGORY CODE 723 20 LATRINE FOR THE UNACCOMPANIED HOUSING AREA.</t>
  </si>
  <si>
    <t>MILITARY WORKING DOG KENNEL</t>
  </si>
  <si>
    <t>WORKING ANIMAL SUPPORT BUILDING</t>
  </si>
  <si>
    <t>USE THIS CATEGORY CODE FOR MILITARY WORKING DOG (MWD) KENNELS AND QUARANTINE FACILITIES OPERATED BY THE SECURITY DEPARTMENT.</t>
  </si>
  <si>
    <t>PERSONNEL SUPPORT STORAGE (RDY ISS/SHOP STOR/MISC)</t>
  </si>
  <si>
    <t>STORAGE FACILITIES FOR MISCELLANEOUS GOODS RELATED TO PERSONNEL SUPPORT FACILITIES.</t>
  </si>
  <si>
    <t>DAIRY PLANT</t>
  </si>
  <si>
    <t>ICE/DAIRY PRODUCTS PLANT</t>
  </si>
  <si>
    <t>A FACILITY FOR THE RECEIVING AND PROCESSING OF MILK AND MILK PRODUCTS.</t>
  </si>
  <si>
    <t>RECYCLING CENTER</t>
  </si>
  <si>
    <t>REFUSE COLLECTION AND RECYCLING STRUCTURE</t>
  </si>
  <si>
    <t>ENVIRONMENTAL MGT FACILITIES</t>
  </si>
  <si>
    <t>THIS FACILITY SERVES AS A COLLECTION, SORTING, STORAGE, AND SHIPPING CENTER FOR RECYCLABLE MATERIALS AND PRODUCTS.</t>
  </si>
  <si>
    <t>RELIGIOUS MINISTRY FACILITIES</t>
  </si>
  <si>
    <t>CHAPEL FACILITY</t>
  </si>
  <si>
    <t>CHAPEL &amp; RELIGIOUS EDUCATION</t>
  </si>
  <si>
    <t>RELIGIOUS MINISTRY FACILITY (RMF) IS A GENERIC TERM FOR FACILITY ASSETS USED TO SUPPORT COMMAND RELIGIOUS PROGRAMS. RMFS MUST THEREFORE ACCOMMODATE THE RELIGIOUS RIGHTS AND NEEDS OF A MULTI-FAITH, INTER-GENERATIONAL, CULTURALLY DIVERSE MILITARY POPULATION.</t>
  </si>
  <si>
    <t>POST OFFICE</t>
  </si>
  <si>
    <t>POSTAL FACILITY</t>
  </si>
  <si>
    <t>POSTAL SERVICES</t>
  </si>
  <si>
    <t>FACILITY FOR HANDLING AND DISTRIBUTING US MAIL TO AN INSTALLATION, EITHER AS A STANDALONE FACILITY OR PART OF ANOTHER FACILITY UNDER A DIFFERENT CATEGORY CODE.</t>
  </si>
  <si>
    <t>MISCELLANEOUS SCHOOL SUPPORT BUILDING</t>
  </si>
  <si>
    <t>DEPENDENT SCHOOL SUPPORT FACILITY</t>
  </si>
  <si>
    <t>EDUCATION FACILITIES</t>
  </si>
  <si>
    <t>A BUILDING THAT PROVIDES SUPPORT SPACE AS NEEDED FOR DEPENDENT SCHOOLS AND THAT IS NOT CAPTURED UNDER ANY OTHER CATEGORY CODE.</t>
  </si>
  <si>
    <t>EXCHANGE RETAIL STORE</t>
  </si>
  <si>
    <t>EXCHANGE SALES FACILITY</t>
  </si>
  <si>
    <t>COMMUNITY FACILITIES-MORALE,WELFARE&amp;RECREATIONAL-INTERIOR</t>
  </si>
  <si>
    <t>THE EXCHANGE RETAIL STORE IS PLANNED AS PART OF AN AUTHORIZED NAVY OR MARINE CORPS EXCHANGE. THE STORE INCLUDES SALES AREA, IMMEDIATE BACK-UP STOCK AREA, STORE OFFICE, TOILETS AND CIRCULATION SPACE.</t>
  </si>
  <si>
    <t>EXCHANGE CENTRAL ADMINISTRATION</t>
  </si>
  <si>
    <t>EXCHANGE SUPPORT FACILITY</t>
  </si>
  <si>
    <t>THIS IS SPACE REQUIRED FOR THE GENERAL ADMINISTRATIVE EFFORT OF AN EXCHANGE SUCH AS ACCOUNTING, PAYROLL, PERSONNEL, PURCHASING OR WAREHOUSING.</t>
  </si>
  <si>
    <t>EXCHANGE FOOD SERVICE</t>
  </si>
  <si>
    <t>EXCHANGE EATING FACILITY</t>
  </si>
  <si>
    <t>THESE FACILITIES INCLUDE: CAFETERIAS, SPECIALTY SHOPS SIMILAR TO DELI, FAST FOOD AND PIZZA, BAKE SHOPS, ICE CREAM SHOPS, ETC. NON-EXCHANGE FOOD SERVICE FACILITIES (STANDALONE) ARE CAPTURED UNDER CCN 74006.  FOOD SERVING FACILITIES OPERATED IN AND FOR THE SOLE CONVENIENCE OF NON-EXCHANGE ACTIVITIES SUCH AS BOWLING ALLEYS, THEATERS, AIR TERMINALS AND SIMILAR, IS ALREADY INCLUDED IN THE BASIC SPACE ALLOWANCE FOR SUCH ACTIVITIES.</t>
  </si>
  <si>
    <t>NON-EXCHANGE INSTALLATION RESTAURANT (MWR)</t>
  </si>
  <si>
    <t>FOOD SERVICE FACILITIES</t>
  </si>
  <si>
    <t>CATEGORY "C" MWR DINING FACILITIES, INCLUDING COMMERCIAL RESTAURANTS. EXAMPLES OF STANDALONE COMMERCIAL RESTAURANTS ARE APPLEBEE?S, MCDONALD?S, ETC. FOR OTHER RESTAURANTS FOUND IN AN EXCHANGE BUILDING, OR WALK UP COMMERCIAL EATERIES WITH COMMON SEATING AREAS, SUCH AS SUBWAY, TACO BELL, KFC, ETC. IS COVERED UNDER CCN 74004, EXCHANGE FOOD SERVICE.</t>
  </si>
  <si>
    <t>EXCHANGE SERVICE OUTLETS (BARBER, UNIFORM, ETC)</t>
  </si>
  <si>
    <t>EXCHANGES ARE NAVY EXCHANGE SERVICEC COMMAND (NEXCOM) AUTHORIZED OUTLETS FOR BASIC SERVICES IN CONJUNCTION WITH THE RETAIL STORE, SUCH AS BARBER SHOP, TAILOR/UNIFORM SHOP, RADIO/TV REPAIR SHOP, PORTRAIT STUDIO, WATCH REPAIR SHOP, OPTICAL SHOP, BEAUTY SALON, AND PERSONAL SERVICES.</t>
  </si>
  <si>
    <t>NEX DEPOT (SERVMART)</t>
  </si>
  <si>
    <t xml:space="preserve"> NEX DEPOTS ARE SIMILAR TO TRADITIONAL NAVY SERVMARTS, AND OFFER THE SAME TYPE OF INVENTORY, IN A MORE CONVENIENT SETTING. AN NEX DEPOT MAY BE PROVIDED AS DICTATED BY NEXCOM.</t>
  </si>
  <si>
    <t>RED CROSS /  NAVY RELIEF</t>
  </si>
  <si>
    <t>SPACE PROVIDED WITHIN OTHER FACILITIES FOR THE RED CROSS AND NAVY RELIEF ORGANIZATIONS.</t>
  </si>
  <si>
    <t>EXCHANGE LAUNDRY AND DRY CLEANING FACILITY</t>
  </si>
  <si>
    <t>DRY CLEANING  PLANT AND COIN LAUNDRY FACILITY OPERATED BY THE NAVY EXCHANGE SERVICE COMMAND (NEXCOM).</t>
  </si>
  <si>
    <t>EXCHANGE MAINTENANCE SHOP</t>
  </si>
  <si>
    <t>AN EXCHANGE MAINTENANCE SHOP MAY BE PROVIDED FOR THE LOCAL REPAIR OF EXCHANGE EQUIPMENT, FIXTURES REPAIR OF REFRIGERATION EQUIPMENT AND VENDING MACHINES, AND TO PROVIDE SHOP SPACE FOR FACILITY MAINTENANCE CREWS AND PERSONNEL.</t>
  </si>
  <si>
    <t>BANK</t>
  </si>
  <si>
    <t>BANK AND CREDIT UNION</t>
  </si>
  <si>
    <t>BANKS MAY BE ESTABLISHED ONLY WHEN THEY ARE AUTHORIZED BY THE U.S. TREASURY DEPARTMENT. NORMALLY THERE WILL BE ONLY ONE BANKING FACILITY AT EACH INSTALLATION.</t>
  </si>
  <si>
    <t>CREDIT UNION</t>
  </si>
  <si>
    <t>CREDIT UNIONS ARE PRIVATE COOPERATIVE SAVINGS AND LOAN ORGANIZATIONS. FACILITIES FOR A PROPERLY CHARTERED CREDIT UNION MAY BE PROVIDED TO SERVE MILITARY PERSONNEL, THEIR DEPENDENTS, AND OTHER PERSONNEL AS PERMITTED IN THE BYLAWS OF THE CREDIT UNION.</t>
  </si>
  <si>
    <t>PCS OFFICIAL LODGING</t>
  </si>
  <si>
    <t>TRANSIENT  LODGING</t>
  </si>
  <si>
    <t xml:space="preserve">THESE FACILITIES ARE LODGING PROVIDED AT A COST TO PERSONNEL WHO ARE WITHOUT HOUSING DUE TO EXECUTING PERMANENT CHANGE OF STATION (PCS) ORDERS.  THESE FACILITIES MAY BE USED BY TEMPORARY DUTY OR LEISURE TRAVELERS. WHERE NEW CONSTRUCTION IS AUTHORIZED, CONSTRUCT MOTEL TYPE FACILITIES WITH BATH AND WITH KITCHENETTES.   LIVING UNITS SHALL CONTAIN NO MORE THAN 450 SQUARE FEET OF LIVING AREA.  APPROPRIATE CIRCULATION, ADMINISTRATION, MECHANICAL AND SERVICE SPACE WILL BE PROVIDED.
</t>
  </si>
  <si>
    <t>VISITORS RECEPTION CENTER - RECRUIT TRAINING CENTER ONLY</t>
  </si>
  <si>
    <t>A VISITOR?S RECEPTION CENTER IS LIMITED TO INSTALLATIONS PERFORMING BASIC TRAINING. IT SERVES AS A POINT OF CONTACT BETWEEN TRAINEES AND VISITING RELATIVES OR FRIENDS.</t>
  </si>
  <si>
    <t>COMMISSARY (INCLUDING BACK-UP STORAGE)</t>
  </si>
  <si>
    <t>COMMISSARY</t>
  </si>
  <si>
    <t>FACILITY USED FOR THE SALE OF PERISHABLE GOODS AND OTHER GROCERIES AND FOODSTUFFS.  OPERATED BY THE DEFENSE COMMISSARY AGENCY (DECA).</t>
  </si>
  <si>
    <t>COMMISSARY COLD STORAGE (DETACHED)</t>
  </si>
  <si>
    <t>CF</t>
  </si>
  <si>
    <t>COLD STORAGE, INSTALLATION</t>
  </si>
  <si>
    <t>DETACHED FACILITY USED FOR COLD STORAGE OF PERISHABLE ITEMS STOCKED FOR THE COMMISSARY.</t>
  </si>
  <si>
    <t>FAMILY SERVICES CENTER</t>
  </si>
  <si>
    <t>FAMILY SERVICE CENTER</t>
  </si>
  <si>
    <t>FAMILY SUPPORT</t>
  </si>
  <si>
    <t>THE FAMILY SERVICES CENTER (FSC) FACILITY SUPPORTS THE PROGRAMS THAT PROVIDE THE INFORMATION AND FAMILY SERVICES NECESSARY TO SUPPORT QUALIFIED SINGLE AND MARRIED DEPARTMENT OF DEFENSE (DOD) PERSONNEL AND THEIR FAMILY MEMBERS IN MEETING THE UNIQUE DEMANDS OF THE MILITARY LIFESTYLE, AS DEFINED BY DOD INSTRUCTION 1342.22, FAMILY CENTERS.</t>
  </si>
  <si>
    <t>ARMED FORCES RADIO / TV STATION</t>
  </si>
  <si>
    <t>A RADIO AND/OR TV STATION IS NORMALLY ESTABLISHED IN OVERSEAS LOCATIONS TO PROVIDE U.S. INSTALLATION POPULATION WITH ENTERTAINMENT AND NEWS COVERAGE. AS A RULE, THE COVERAGE RADIUS IS LIMITED TO THE INSTALLATION AND IMMEDIATE VICINITY AND THE FACILITIES ARE RESTRICTED FOR TRANSMISSION OF PRERECORDED PROGRAM MATERIAL.</t>
  </si>
  <si>
    <t>EXCHANGE GAS/SERVICE AND AUTO REPAIR STATION</t>
  </si>
  <si>
    <t>EXCHANGE AUTOMOBILE FACILITY</t>
  </si>
  <si>
    <t>THIS FACILITY PROVIDES SPACE FOR GASOLINE AND OIL SALES, AUTOMOTIVE PARTS AND ACCESSORIES SALES, EMERGENCY SERVICE AND AUTOMOTIVE REPAIR SERVICE.</t>
  </si>
  <si>
    <t>POV FILLING STATION</t>
  </si>
  <si>
    <t>THIS CATEGORY CODE IS FOR FUELING PUMP ISLANDS ASSOCIATED WITH PERSONALLY OWNED VEHICLES (POVS) AT AN INSTALLATION, SUCH AS THOSE ASSOCIATED WITH NEXCOM/MCCS FACILITIES OR SIMILAR. FOR ASSOCIATED AUTO EXCHANGE BUILDINGS, USE CCN 74030 "EXCHANGE CAR CARE CENTER." FOR OPERATIONAL FUELING STATIONS, USE CCN 12310 "FILLING STATION."  OVERHEAD CANOPIES SHOULD BE CAPTURED USING CCN 12317 "OVERHEAD COVER, MISCELLANEOUS."</t>
  </si>
  <si>
    <t>NEX CAR WASH BUILDING</t>
  </si>
  <si>
    <t>CAR WASH FACILITY</t>
  </si>
  <si>
    <t>A BUILDING ASSOCIATED WITH NAVY EXCHANGE (NEXCOM) FOR THE WASHING OF VEHICLES. SURROUNDING PAVEMENT IS CAPTURED WITH EITHER FAC 8521 - VEHICLE PARKING, SURFACED, OR FAC 8526 - MISCELLANEOUS PAVED AREA, DEPENDING ON THE SITUATION. FOR MWR CAR WASH STRUCTURES, USE CCN 74033, MWR CAR WASH STRUCTURE.</t>
  </si>
  <si>
    <t>MWR CAR WASH STRUCTURE</t>
  </si>
  <si>
    <t>CAR WASH STRUCTURE</t>
  </si>
  <si>
    <t>A STRUCTURE ASSOCIATED WITH MWR FOR THE WASHING OF VEHICLES.  THE FOOTPRINT OF THE STRUCTURE WHICH COULD INCLUDE A MECHANICAL ROOM, A WATER SEPARATOR, WASH BAYS (BOTH COVERED OR UNCOVERED), AND FOOTPRINT PAVEMENT.  ALL OTHER SURROUNDING PAVEMENT IS CAPTURED WITH EITHER FAC 8521 - VEHICLE PARKING, SURFACED, OR FAC 8526 - MISCELLANEOUS PAVED AREA, DEPENDING ON THE SITUATION. FOR NEXCOM CAR WASH BUILDINGS, USE CCN 74032, NEX CAR WASH BUILDING.</t>
  </si>
  <si>
    <t>THRIFT SHOP</t>
  </si>
  <si>
    <t>THIS IS A NONPROFIT FACILITY FOR THE SALE AND PURCHASE BY MILITARY PERSONNEL OF USED APPAREL, FURNISHINGS AND EQUIPMENT.</t>
  </si>
  <si>
    <t>HOBBY SHOP - CRAFTECH</t>
  </si>
  <si>
    <t>HOBBY AND CRAFT CENTER</t>
  </si>
  <si>
    <t>THIS FACILITY IS USED FOR THE PURSUIT OF WOODWORKING, PICTURE FRAMING, CERAMICS AND OTHER HOBBY PASTIMES.  THIS CCN IS FOR INVENTORY PURPOSES ONLY.</t>
  </si>
  <si>
    <t>MWR OUTDOOR RECREATION CENTER</t>
  </si>
  <si>
    <t>MWR SALES AND RENTAL BUILDING</t>
  </si>
  <si>
    <t>THIS CATEGORY CODE APPLIES TO THREE TYPES OF FACILITIES: OUTDOOR ADVENTURE CENTERS (OAC), RENTAL CENTERS (RC), AND OUTDOOR CENTERS &amp; OTHER RENTALS (OCOR). GENERALLY, OAC, RC, AND OCORS ARE FACILITIES THAT RENT AND/OR SELL GOODS THAT ARE ASSOCIATED WITH OUTDOOR ACTIVITIES AND OUTDOOR RECREATION PROGRAMS (ORP).</t>
  </si>
  <si>
    <t>MWR AUTO SKILLS CENTER</t>
  </si>
  <si>
    <t>AUTOMOBILE CRAFT CENTER</t>
  </si>
  <si>
    <t>THE MISSION OF AUTOMOTIVE SKILLS CENTER IS TO PROVIDE THEIR CUSTOMERS WITH A QUALITY, VALUE-BASED PROGRAM FOR THE MAINTENANCE, REPAIR, MODIFICATION AND IMPROVEMENT OF THEIR OWN VEHICLES INCLUDING CARS, TRUCKS, TRAILERS, MOTORCYCLES, AND BICYCLES.</t>
  </si>
  <si>
    <t>BOWLING CENTER</t>
  </si>
  <si>
    <t>LA</t>
  </si>
  <si>
    <t>BOWLING CENTERS ARE RECREATIONAL FACILITIES WHICH ACCOMMODATE BOWLING AND RELATED FUNCTIONS, WHICH MAY INCLUDE: OPEN BOWLING, LEAGUES, TOURNAMENTS, YOUTH BOWLING, INSTRUCTION, EXHIBITIONS, AND SUPPORT ACTIVITIES SUCH AS EQUIPMENT SALES AND RENTAL, FOOD AND BEVERAGE SERVICE, ELECTRONIC AND TABLE GAMES, AND MEETINGS.</t>
  </si>
  <si>
    <t>COMMUNITY RECREATION CENTER</t>
  </si>
  <si>
    <t>RECREATION CENTER</t>
  </si>
  <si>
    <t>THESE ARE FACILITIES THAT PROVIDE ACCESS TO A VARIETY OF RECREATIONAL PROGRAMS AND SERVICES FOR MILITARY MEMBERS AND FAMILIES SUPPORTED BY THE INSTALLATION. PROGRAMS PROVIDED INCLUDE AMUSEMENT CENTERS CATERING LARGELY TO THE LEISURE NEEDS OF YOUTH FROM MILITARY FAMILIES AND ALCOHOL-FREE AND TOBACCO-FREE RECREATIONAL ALTERNATIVE FOR 17 TO 25 YEAR OLD SERVICE MEMBERS.  (RECREATION CENTERS FOR 17-25 YEAR OLD SERVICE MEMBERS MAY BE KNOWN AS LIBERTY OR SINGLE SAILOR CENTERS).</t>
  </si>
  <si>
    <t>INDOOR PHYSICAL FITNESS CENTER (GYM)</t>
  </si>
  <si>
    <t>INDOOR PHYSICAL FITNESS FACILITY</t>
  </si>
  <si>
    <t>PHYSICAL FITNESS FACILITIES PROVIDE FACILITIES AND SUPPORT SERVICES TO MEET THE INDIVIDUAL PHYSICAL FITNESS, COORDINATION, SKILLS DEVELOPMENT, AND RECREATION AND TRAINING NEEDS OF MILITARY PERSONNEL. DOES NOT INCLUDE POOLS ASSOCIATED WITH FITNESS CENTERS.  FOR ASSOCIATED POOLS, USE CCN 75030 "OUTDOOR SWIMMING POOL - INSTALLATION" OR CCN 74053 "SWIMMING POOL - INDOOR (INCLUDING DECK AND BATHHOUSE)" DEPENDING ON POOL TYPE.</t>
  </si>
  <si>
    <t>FITNESS ROOM</t>
  </si>
  <si>
    <t>FITNESS ROOMS ARE STAND ALONE GYMNASIUM FACILITIES, USUALLY CARDIO EQUIPMENT AND WEIGHT MACHINES OR FREE WEIGHTS, IN A SINGLE AREA OF ROOMS WITHIN A FACILITY OF A DIFFERENT CCN. THIS CCN IS PRIMARILY FOR INVENTORY PURPOSES,</t>
  </si>
  <si>
    <t>ROLLER / ICE SKATING RINK</t>
  </si>
  <si>
    <t>INDOOR SKATING RINK</t>
  </si>
  <si>
    <t>THIS FACILITY SERVES AS A ROLLER/ICE SKATING RINK REQUIRING A HARD SURFACE FLOOR WITH POTENTIAL FOR MULTIPURPOSE USE.</t>
  </si>
  <si>
    <t>INFORMATION, TICKETS AND TRAVEL OFFICE</t>
  </si>
  <si>
    <t>THE MISSION OF THE RECREATION INFORMATION, TICKETS AND TRAVEL (ITT) OFFICE IS TO SERVE THE MILITARY COMMUNITY'S LEISURE NEEDS BY PROVIDING INFORMATION ON WHAT TO SEE AND DO LOCALLY, OFFERING TOURS TO NEARBY ATTRACTIONS, SELLING TICKETS FOR MUSICAL AND THEATRICAL PERFORMANCES, AND OTHER SPECIAL EVENTS, AND PROVIDING OPTIONS FOR LEISURE TRAVEL (THIS MAY INCLUDE CRUISE AND AIRLINE TICKET SERVICE).</t>
  </si>
  <si>
    <t>AUSTERE INDOOR PHYSICAL FITNESS CENTER (GYM)</t>
  </si>
  <si>
    <t>AUSTERE PHYSICAL FITNESS FACILITIES PROVIDE FACILITIES AND SUPPORT SERVICES TO MEET THE INDIVIDUAL PHYSICAL FITNESS, COORDINATION, SKILLS DEVELOPMENT, RECREATIONAL AND TRAINING NEEDS OF MILITARY PERSONNEL STATIONED IN DESIGNATED AUSTERE OPERATING ENVIRONMENTS.</t>
  </si>
  <si>
    <t>SWIMMING POOL - INDOOR (INCLUDING DECK AND BATHHOUSE)</t>
  </si>
  <si>
    <t>INDOOR SWIMMING POOL</t>
  </si>
  <si>
    <t>THE PRIMARY PURPOSE OF SWIMMING POOLS IS TO SUPPORT PHYSICAL READINESS PROGRAMS AS WELL AS INSTRUCTIONAL, INFORMAL AND INTRAMURAL ACTIVITIES, AND TO SERVE THE RECREATIONAL NEEDS OF ACTIVE-DUTY MILITARY PERSONNEL AND THEIR SPOUSES AND CHILDREN, RETIREES AND DOD AUTHORIZED CIVILIANS.</t>
  </si>
  <si>
    <t>YOUTH (6-18YRS) AND SCHOOL AGE CHILDREN (SAC) (6-12YRS)</t>
  </si>
  <si>
    <t>YOUTH CENTER</t>
  </si>
  <si>
    <t>THE YOUTH CENTER IS A SOCIAL AND RECREATIONAL CENTER PRIMARILY FOR USE BY CHILDREN AGES 6 TO 18 IN SUPPORT OF A YOUTH PROGRAM. THE YOUTH CENTER SUPPORTS OPPORTUNITIES FOR YOUTH TO DEVELOP THEIR PHYSICAL, SOCIAL, EMOTIONAL, AND COGNITIVE ABILITIES AND TO EXPERIENCE ACHIEVEMENT, LEADERSHIP, ENJOYMENT, FRIENDSHIP, AND RECOGNITION.</t>
  </si>
  <si>
    <t>THEATER</t>
  </si>
  <si>
    <t>THIS CATCODE IS FOR A FACILITY FOR THE SHOWING OF MOVIES AND THE PRESENTATION OF STAGE PRODUCTIONS.</t>
  </si>
  <si>
    <t>ALL HANDS CLUB</t>
  </si>
  <si>
    <t>OPEN MESS AND CLUB FACILITY</t>
  </si>
  <si>
    <t>THIS CODE IS USED TO PLAN THE SPACE REQUIREMENTS FOR A SINGLE FACILITY TO ACCOMMODATE ON-BASE FACILITIES, SURROUNDING COMPETITIVE ENVIRONMENT AND SIZE OF THE SUPPORTING POPULATION. IT MAY INCLUDE ONE OR MORE OF THE FOLLOWING COMPONENTS: TABLE SERVICE RESTAURANT, QUICK SERVICE RESTAURANT, BANQUET/CATERING ROOM, CAFETERIA, GAMING ROOM (OCONUS, NON-US), BEVERAGE LOUNGE WITH OR WITHOUT ENTERTAINMENT.</t>
  </si>
  <si>
    <t>MWR OPERATED CATERING AND CONFERENCE CENTER</t>
  </si>
  <si>
    <t>THIS FACILITY MAY BE STAND ALONE OR COMBINED WITH AN OFFICERS CLUB, ENLISTED CLUB, ALL HANDS CLUB, BOWLING CENTER, MARINA CLUBHOUSE, OR GOLF CLUBHOUSE. THE CATERING FACILITY OFTEN INCLUDES BINGO OPERATIONS IN AT LEAST ONE ROOM.</t>
  </si>
  <si>
    <t>EXCHANGE PACKAGE STORE</t>
  </si>
  <si>
    <t>THIS FACILITY PROVIDES FOR RETAIL SALES TO AUTHORIZED CUSTOMERS AND THE TRANSFER (WHOLESALE) OF ALCOHOLIC BEVERAGES TO CLUBS AND OPEN MESSES. A SELECT FEW LOCATIONS HAVE PACKAGE STORES OPERATED BY MWR AS PERMITTED BY CONGRESS.</t>
  </si>
  <si>
    <t>CHILD DEVELOPMENT CENTER</t>
  </si>
  <si>
    <t>NURSERY AND CHILD CARE FACILITY</t>
  </si>
  <si>
    <t>CHILD DEVELOPMENT</t>
  </si>
  <si>
    <t>CHILD DEVELOPMENT CENTERS PROVIDE CHILD CARE/DEVELOPMENT FOR CHILDREN AGES 6-WEEKS TO 6 YEARS OLD FOR FULL-DAY, PART-DAY, AND HOURLY CARE.</t>
  </si>
  <si>
    <t>NAVY FLYING CLUB FACILITY</t>
  </si>
  <si>
    <t>CLUB AND ORGANIZATION BUILDING</t>
  </si>
  <si>
    <t>THE NAVY FLYING CLUB IS A RECREATIONAL FLYING ACTIVITY LOCATED ON OR NEAR MILITARY INSTALLATIONS USED BY AUTHORIZED PERSONNEL AND APPROVED BY THE DEPARTMENT CONCERNED.</t>
  </si>
  <si>
    <t>LIBRARY</t>
  </si>
  <si>
    <t>LIBRARY, GENERAL USE</t>
  </si>
  <si>
    <t>THIS FACILITY IS FOR RECREATIONAL READING AND STUDY.</t>
  </si>
  <si>
    <t>MWR READY ISSUE / SHOP STORES / MISC STORAGE</t>
  </si>
  <si>
    <t>STORAGE FACILITIES FOR MISCELLANEOUS EQUIPMENT AND/OR GOODS RELATED TO COMMUNITY SUPPORT WILL BE PROVIDED ONLY WHERE THEY CAN BE INDIVIDUALLY JUSTIFIED. THERE ARE NO CRITERIA FOR THIS TYPE OF FACILITY.</t>
  </si>
  <si>
    <t>RECREATION PAVILION</t>
  </si>
  <si>
    <t>PAVILION</t>
  </si>
  <si>
    <t>THE PURPOSE OF THIS OPEN STRUCTURE IS TO SUPPORT RECREATION AREAS AND MAY INCLUDE ANY COMBINATION OF PICNIC TABLES, SNACK BARS, AND/OR CONCESSION STANDS.  WHERE THE SNACK BAR OR CONCESSION STAND IS ENCLOSED IN A BUILDING, USE CCN 74481 "RECREATIONAL SUPPORT BUILDING".</t>
  </si>
  <si>
    <t>RIDING STABLES</t>
  </si>
  <si>
    <t>STABLE</t>
  </si>
  <si>
    <t>PROVIDES SPACE FOR SINGLE STALLS, BOX OR DOUBLE STALLS, TREATMENT STALLS, QUARANTINE AREAS, QUARTERS FOR ONE OPERATOR, HAY STORAGE AREA, GRAIN ROOM, TACK LOCKERS, SWEAT PAD AND BLANKET DRYING AREA, OFFICE, AND TOILETS.</t>
  </si>
  <si>
    <t>GOLF CLUBHOUSE</t>
  </si>
  <si>
    <t>GOLF CLUB HOUSE AND SALES</t>
  </si>
  <si>
    <t>THIS FACILITY ACTS AS THE MAIN SERVICE AREA FOR THE GOLF COURSE.  FOODSERVICE AND GOLF EQUIPMENT SALES ARE THE TWO PRIMARY FUNCTIONS OF THE CLUBHOUSE.</t>
  </si>
  <si>
    <t>MWR RENTAL ACCOMMODATIONS</t>
  </si>
  <si>
    <t>RECREATIONAL LODGING</t>
  </si>
  <si>
    <t>MWR RENTAL ACCOMMODATIONS ARE PERMANENT, STAND-ALONE, OR MULTIPLEX BUILDINGS. THEY MAY TAKE THE FORM OF MODERN MOTELS, MULTI-LEVEL HOTELS, PRIMITIVE CAMPING CABINS WITH NO UTILITY CONNECTIONS, OR ALMOST ANYTHING IN BETWEEN, DEPENDING ON THE GEOGRAPHY, THE MARKET BEING SERVED, AND DEMAND.</t>
  </si>
  <si>
    <t>EXCHANGE DISTRIBUTION CENTER ( WAREHOUSE)</t>
  </si>
  <si>
    <t>EXCHANGE WAREHOUSE</t>
  </si>
  <si>
    <t>THIS TYPE WAREHOUSE MAY BE PROVIDED FOR BULK BACK-UP STORAGE (EXCHANGE STOCK AND OPERATING SUPPLIES) TO SUPPORT ALL EXCHANGE OPERATIONS WITHIN A GEOGRAPHICAL AREA AS DETERMINED BY NEXCOM OR MARINE CORPS EXCHANGE SERVICES.</t>
  </si>
  <si>
    <t>EXCHANGE INSTALLATION WAREHOUSE</t>
  </si>
  <si>
    <t>THIS CATCODE IS FOR THE TOTAL STORAGE SPACE THAT MAY BE PROVIDED IN INSTALLATION EXCHANGE WAREHOUSES TO ACCOMMODATE BACK-UP STORAGE FOR EXCHANGE RETAIL ACTIVITIES FOR THAT INSTALLATION.</t>
  </si>
  <si>
    <t>MARINA SUPPORT BUILDING</t>
  </si>
  <si>
    <t>BOATHOUSE</t>
  </si>
  <si>
    <t>THIS FACILITY PROVIDES SPACE FOR OFFICE, EQUIPMENT CHECK-OUT, REPAIR, AND STORAGE. IT DOES NOT INCLUDE DOCKS, MARINA SLIPS, AND WALKWAYS WHICH ARE LISTED UNDER CODE 750 60. THIS IS A SPECIAL FACILITY WHICH IS REQUIRED ONLY AT OUTDOOR RECREATION AREAS WHICH HAVE WATERFRONT FACILITIES AVAILABLE FOR BOATING ACTIVITIES.</t>
  </si>
  <si>
    <t>EDUCATIONAL SERVICES OFFICE</t>
  </si>
  <si>
    <t>EDUCATION CENTER</t>
  </si>
  <si>
    <t>THIS FACILITY IS INTENDED TO PROVIDE FACILITIES FOR THE ADVANCEMENT OF THE ACADEMIC, TECHNICAL, AND VOCATIONAL EDUCATION OF MILITARY PERSONNEL OF ALL GRADES AND RANKS IN ORDER TO ENHANCE THEIR POTENTIAL TO THE SERVICE.</t>
  </si>
  <si>
    <t>BATHHOUSE</t>
  </si>
  <si>
    <t>THE PRIMARY PURPOSE OF A BATHHOUSE IS TO PROVIDE A FACILITY FOR POOL AND BEACH USERS TO STORE THEIR BELONGINGS WHILE USING THE RECREATIONAL FACILITY, TO CLEAN UP, AND HAVE A PLACE TO USE THE RESTROOM. IN ADDITION, THE BATHHOUSE CONTAINS THE OFFICES FOR THE ADMINISTRATIVE STAFF AND LIFEGUARDS.</t>
  </si>
  <si>
    <t>MWR EQUIPMENT MAINTENANCE SHOP</t>
  </si>
  <si>
    <t>RECREATION SUPPORT BUILDING</t>
  </si>
  <si>
    <t>A FACILITY CONTAINING SUPPORT AREAS FOR RECREATIONAL ACTIVITIES EXCEPT GOLF.  SUPPORT MAY INCLUDE, BUT IS NOT LIMITED TO, AN OPERATOR'S OFFICE, STORAGE, SALES AREA, TOILETS, LOUNGE AREAS, GUN MAINTENANCE SHOP, SPACES FOR MAINTENANCE OF NAF VEHICLE AND GROUNDS EQUIPMENT, PRESS BOXES, SERVICE/PUMP/FILTER BUILDING FOR POOLS, EQUIPMENT MAINTENANCE SHOPS, CONTROL BUILDINGS FOR SKI LIFTS AND SKEET/TRAP RANGES.</t>
  </si>
  <si>
    <t>MWR OPERATED CAR WASH</t>
  </si>
  <si>
    <t>A COIN OPERATED STAND ALONE CAR WASH AND VACUUM ISLAND OPERATED BY MWR.</t>
  </si>
  <si>
    <t>MWR RV PARK SUPPORT BUILDING</t>
  </si>
  <si>
    <t>TRANSIENT AND RECREATIONAL LODGING SUPPORT FACILITY</t>
  </si>
  <si>
    <t>RECREATIONAL RV PARKS PROVIDE THE MILITARY COMMUNITY WITH OUTDOOR RECREATION OPPORTUNITIES AT LOCATIONS WITH ATTRACTIVE NATURAL RESOURCES. TO COMPLEMENT THE CAMPING EXPERIENCE, AND DEPENDING ON LOCATION, RECREATIONAL RV PARKS MAY OFFER ACTIVITIES SUCH AS BOATING, CANOEING, FISHING, HIKING, HUNTING, SKIING AND SWIMMING.</t>
  </si>
  <si>
    <t>SMOKING GAZEBO</t>
  </si>
  <si>
    <t>SMOKING GAZEBO?S ARE PROVIDED AS DESIGNATED SMOKING AREAS OUTSIDE OF NAVY AND MARINE CORPS FACILITIES. SIZE IS STANDARD. THIS CCN IS FOR INVENTORY PURPOSES.</t>
  </si>
  <si>
    <t>TDY OFFICIAL LODGING</t>
  </si>
  <si>
    <t>LODGING (NGIS)</t>
  </si>
  <si>
    <t>THESE FACILITIES PROVIDE TEMPORARY LIVING ACCOMMODATIONS THAT INCLUDES IN-ROOM HOUSEKEEPING SERVICES AND AMENITIES SIMILAR TO A MID-GRADE HOTEL. SERVICE CHARGES ARE ASSESSED TO TDY TRAVELERS TO MANAGE OPERATIONAL AND RECAPITALIZATION REQUIREMENTS.  TDY OFFICIAL LODGING MAY BE USED BY PERMANENT CHANGE OF STATION AND LEISURE TRAVELERS</t>
  </si>
  <si>
    <t>LIMITED SERVICE OFFICIAL LODGING</t>
  </si>
  <si>
    <t>LIMITED SERVICE LODGING PROVIDES TRANSIENT FACILITIES FOR ACTIVE DUTY AND RESERVE MEMBERS (REGARDLESS OF RANK) OF DEPLOYED UNITS AT AN INSTALLATION OTHER THAN THE UNITS' HOMEPORT.  THESE FACILITIES PROVIDE LIMITED IN-ROOM HOUSEKEEPING SERVICES AND AMENITIES COMMENSURATE WITH THE UNIT'S LENGTH OF STAY.</t>
  </si>
  <si>
    <t>FISHER HOUSE</t>
  </si>
  <si>
    <t>DON FISHER HOUSES PROVIDE TEMPORARY, CONVENIENT, AND AFFORDABLE LODGING TO NAVY MEDICAL TREATMENT FACILITY (MTF) PATIENTS (?WOUNDED WARRIORS?), MEMBERS OF THE FAMILIES OF SUCH PATIENTS, AND OTHERS PROVIDING THE EQUIVALENT OF FAMILIAL SUPPORT FOR SUCH PATIENTS.</t>
  </si>
  <si>
    <t>NGIS-OPERATED CONFERENCE CENTER</t>
  </si>
  <si>
    <t>CONFERENCE CENTERS OPERATED BY NAVY GATEWAY INNS AND SUITES</t>
  </si>
  <si>
    <t>PRIVATE/ORGANIZATION CLUB BUILDING</t>
  </si>
  <si>
    <t>INDOOR RECREATION FACILITIES</t>
  </si>
  <si>
    <t>A FACILITY FOR USE BY ACTIVE DUTY MILITARY PERSONNEL, AUTHORIZED CIVILIANS, AND THEIR FAMILY MEMBERS FOR PRIVATE ORGANIZATION/CLUB MEETINGS AND ACTIVITIES THAT ARE NOT AFFILIATED WITH THE US GOVERNMENT.</t>
  </si>
  <si>
    <t>GOLF STORAGE/MAINTENANCE FACILITY</t>
  </si>
  <si>
    <t>MISCELLANEOUS INDOOR MORALE, WELFARE AND RECREATION FACILITI</t>
  </si>
  <si>
    <t>A GOLF STORAGE/MAINTENANCE FACILITY PROVIDES SPACE FOR MAINTENANCE, STORAGE, AND SUPPORTING SPACES ASSOCIATED WITH INSTALLATION GOLF COURSES OF NINE OR MORE HOLES.</t>
  </si>
  <si>
    <t>RECREATIONAL SUPPORT BUILDING</t>
  </si>
  <si>
    <t>THE PURPOSE OF THIS BUILDING IS TO SUPPORT RECREATION AREAS AND MAY INCLUDE ANY COMBINATION OF LOUNGE, TOILETS, STORAGE AREAS, SNACK BARS, AND/OR CONCESSION STANDS FOR LIMITED AND RELATED ITEMS AS REQUIRED.  WHERE THE SNACK BAR AND/OR CONCESSION STAND IS AN OPEN STRUCTURE, USE CCN 74078 "RECREATIONAL PAVILION".</t>
  </si>
  <si>
    <t>OUTDOOR PLAYING COURTS</t>
  </si>
  <si>
    <t>OUTDOOR PLAYING COURT</t>
  </si>
  <si>
    <t>COMMUNITY FACILITIES -MORALE,WELFARE &amp; RECREATION-EXTERIOR</t>
  </si>
  <si>
    <t>OUTDOOR PLAYING COURTS PROVIDE FACILITIES AND SUPPORT SERVICES TO MEET THE INDIVIDUAL PHYSICAL FITNESS AND RECREATION NEEDS OF MILITARY PERSONNEL. THE FACILITIES MAY ALSO SERVE DEPENDENTS, RETIREES AND AUTHORIZED CIVILIANS.</t>
  </si>
  <si>
    <t>PLAYING FIELDS</t>
  </si>
  <si>
    <t>ATHLETIC FIELD</t>
  </si>
  <si>
    <t>PLAYING FIELDS PROVIDE FACILITIES AND SUPPORT SERVICES TO MEET THE INDIVIDUAL PHYSICAL FITNESS, COORDINATION, SKILLS DEVELOPMENT, TRAINING AND RECREATION NEEDS OF MILITARY PERSONNEL. THE FACILITIES MAY ALSO SERVE DEPENDENTS, RETIREES AND AUTHORIZED CIVILIANS. ACTIVITIES WHICH MAY BE ACCOMMODATED IN PLAYING FIELDS INCLUDE: BASEBALL, FOOTBALL, SOCCER, SOFTBALL, TRACK AND FIELD, ETC.</t>
  </si>
  <si>
    <t>BATTING CAGE</t>
  </si>
  <si>
    <t>A SMALL ENCLOSED AREA WITH A PITCHING MACHINE OR OTHER PROVISION FOR PITCHING TO A BATTER TO ALLOW BATTING PRACTICE.</t>
  </si>
  <si>
    <t>JOGGING TRACK</t>
  </si>
  <si>
    <t>RUNNING TRACK</t>
  </si>
  <si>
    <t>JOGGING TRACKS MAY BE PAVED OR A NATURAL SURFACE AND ARE PROVIDED FOR THE INDIVIDUAL PHYSICAL FITNESS AND RECREATION OF MILITARY PERSONNEL.  JOGGING TRACKS ARE PROVIDED AND SIZED AS REQUIRED.</t>
  </si>
  <si>
    <t>GO-CART TRACK</t>
  </si>
  <si>
    <t>MISCELLANEOUS OUTDOOR RECREATION FACILITY</t>
  </si>
  <si>
    <t xml:space="preserve">SMALL OVAL OR OTHER SHAPED PAVED TRACKS WHERE PARTICIPANTS RACE GASOLINE POWERED GO-CARTS.  </t>
  </si>
  <si>
    <t>OUTDOOR SWIMMING POOL - INSTALLATION</t>
  </si>
  <si>
    <t>OUTDOOR SWIMMING POOL</t>
  </si>
  <si>
    <t>MAY CONSIST OF EITHER A REGULAR POOL OR AN OLYMPIC- SIZED POOL, OR BOTH.  PUT ALL ON THE PRIMARY PROPERTY RECORD CARD AND ADJUST QUANTITY AS NEEDED. FOR AREA UM, USE POOL PERIMETER ONLY. FOR POOL PUMPHOUSES, STORAGE, AND/OR ADMIN, USE CCN 75033 "POOL SUPPORT BUILDING".  FOR DEDICATED SHOWERS/LOCKERS AND/OR BATHHOUSES, USE CCN 74089 "BATHHOUSE".  FOR COMBAT TRAINING POOLS, USE CCN 17955 "COMBAT TRAINING POOL/TANK". FOR WADING/SPLASH POOLS/WATERPARKS, USE CCN 75031 "WADING POOL/SPLASH POOL/WATER PARK".</t>
  </si>
  <si>
    <t>OUTDOOR POOL SUPPORT BUILDING (EXCEPT BATHHOUSE)</t>
  </si>
  <si>
    <t>THIS CATCODE IS USED FOR OUTDOOR POOL ADMIN, PUMPHOUSE, AND STORAGE. FOR BATHHOUSES, USE SEPARATE CCN 74089 "BATHHOUSE".</t>
  </si>
  <si>
    <t>WADING POOL/SPLASH POOL/WATER PARK</t>
  </si>
  <si>
    <t>A STRUCTURE USED AS A COMMERCIAL WATER THEME PARK FOR SOLDIERS AND FAMILY MEMBERS. FACILITY HAS ANY MIX OF SLIDES, SPRAYS, AND OTHER WATER SPORTS AMENITIES.  CAPTURE POOLS INDIVIDUALLY UNDER CCN 75030 PER QUANTITY AT A LOCATION.  CAPTURE WADING POOL/SPLASH POOL/WATER PARKS AS ONE FACILITY REGARDLESS OF THE NUMBER OF VARIOUS WATER FEATURES AT A LOCATION.  A SITE WILL ONLY HAVE ONE INSTANCE OF CCN 75034 AT A LOCATION REGARDLESS OF THE MIX OF WATER FEATURES.</t>
  </si>
  <si>
    <t>COPPER COAX CCTV AND CATV LINES</t>
  </si>
  <si>
    <t>CATEGORY CODE 75036 IS FOR INVENTORY PURPOSES ONLY. SUCH FACILITIES ARE USED FOR THE DISTRIBUTION OF CCTV, CABLE TV SERVICES AND COMMERCIAL INTERNET SERVICES.</t>
  </si>
  <si>
    <t>OUTDOOR ADVENTURE AREA</t>
  </si>
  <si>
    <t>INCLUDES ROPES COURSES, NATURAL RECREATION FEATURES (ROCK CLIMBING, HIKING TRAILS, MOUNTAIN BIKE TRAILS, PAINTBALL RANGES, MOTOCROSS/BMX AREAS).</t>
  </si>
  <si>
    <t>OUTDOOR MWR EQUIPMENT RENTAL STORAGE</t>
  </si>
  <si>
    <t>OUTDOOR FENCED AREA WITH LIGHTING FOR STORAGE OF MWR RENTAL EQUIPMENT (NOT ENCLOSED). FACILITY SHOULD BE CO-LOCATED WITH THE OUTDOOR RECREATION CENTER CCN 740-37, IF THERE IS ONE.</t>
  </si>
  <si>
    <t>MWR VEHICLE / RV / BOAT STORAGE COMPOUND</t>
  </si>
  <si>
    <t>THIS CATCODE IS FOR FENCED IN AREA FOR THE STORAGE OF PERSONAL WATER CRAFT, BOATS, TRAILERS, CAMPERS, MOTOR HOMES, ETC. AND OPERATED BY MWR.</t>
  </si>
  <si>
    <t>GOLF COURSE</t>
  </si>
  <si>
    <t>HO</t>
  </si>
  <si>
    <t>GOLF COURSES ARE RECREATIONAL FACILITIES WHICH MAY ACCOMMODATE: RECREATIONAL GOLFING, PRACTICE, INSTRUCTION, TOURNAMENTS, EXHIBITIONS, SPECIAL EVENTS, AND WINTER RECREATIONAL ACTIVITIES SUCH AS CROSS-COUNTRY SKIING, ICE SKATING, SLEDDING AND TOBOGGANING.</t>
  </si>
  <si>
    <t>OUTDOOR THEATER</t>
  </si>
  <si>
    <t xml:space="preserve"> AN OUTDOOR THEATER MAY EITHER BE DRIVE OR WALK IN, AND IS USED PREDOMINANTLY TO SHOW FILMS. </t>
  </si>
  <si>
    <t>SKEET AND / OR TRAP RANGE</t>
  </si>
  <si>
    <t>A SHOOTING RANGE TO ENGAGE IS THE SPORTS OF SKEET AND TRAP SHOOTING.  A BUILDING MAY BE INCLUDED IF THE FACILITY CAN BE SELF SUSTAINING.</t>
  </si>
  <si>
    <t>BAND STAND</t>
  </si>
  <si>
    <t>A RAISED PLATFORM USED BY BANDS OR FOR OTHER PUBLIC ENTERTAINMENT ACTIVITIES.</t>
  </si>
  <si>
    <t>GOLF DRIVING RANGE</t>
  </si>
  <si>
    <t>USUALLY ASSOCIATED WITH A GOLF COURSE, THIS FACILITY ALLOWS THE GOLFER TO PRACTICE HITTING GOLF BALLS.</t>
  </si>
  <si>
    <t>MWR OPERATED RECREATION GROUNDS</t>
  </si>
  <si>
    <t>OUTDOOR RECREATION AREA</t>
  </si>
  <si>
    <t>THIS FACILITY INCLUDES PARKS, PLAYGROUNDS, OR PICNIC AREAS AND  RECREATION PAVILIONS (CODE 740 78). OPERATED BY MWR.</t>
  </si>
  <si>
    <t>RECREATIONAL CAMPGROUND</t>
  </si>
  <si>
    <t>RECREATIONAL CAMP AND TRAILER PARK</t>
  </si>
  <si>
    <t>RECREATIONAL CAMPGROUNDS PROVIDE THE MILITARY COMMUNITY WITH OUTDOOR RECREATION OPPORTUNITIES AT LOCATIONS WITH ATTRACTIVE NATURAL RESOURCES. TO COMPLEMENT THE CAMPING EXPERIENCE, AND DEPENDING ON LOCATION, RECREATIONAL CAMPGROUNDS MAY OFFER ACTIVITIES SUCH AS BOATING, CANOEING, FISHING, HIKING, HUNTING, SKIING AND SWIMMING.</t>
  </si>
  <si>
    <t>MARINA/BOAT RAMP</t>
  </si>
  <si>
    <t>MARINA</t>
  </si>
  <si>
    <t>THIS CATCODE IS FOR A WATERFRONT FACILITY PROVIDING RENTAL BOATS, A BOAT LAUNCH, AND OTHER WATERFRONT AMENITIES. OPERATED BY MWR.</t>
  </si>
  <si>
    <t>THIS CCN IS USED FOR STAND-ALONE RECREATIONAL PIER FACILITIES (E.G. FISHING PIERS) WHERE THERE IS NO EXISTING MARINA.</t>
  </si>
  <si>
    <t>PLAYGROUNDS</t>
  </si>
  <si>
    <t>PLAYGROUND</t>
  </si>
  <si>
    <t>PLAYGROUNDS ARE OUTDOOR ACTIVITY AREAS PROVIDED FOR CHILDREN AND ARE AN INTEGRAL PART OF THE FUNCTIONS ASSOCIATED WITH SCHOOLS, FAMILY HOUSING AREAS, OUTDOOR ATHLETIC AND RECREATIONAL AREAS, AND CHILD DEVELOPMENT, SCHOOL AGE CARE AND YOUTH CENTERS.</t>
  </si>
  <si>
    <t>ATHLETIC STADIUM</t>
  </si>
  <si>
    <t>STADIUM</t>
  </si>
  <si>
    <t>OUTDOOR ATHLETIC FACILITIES</t>
  </si>
  <si>
    <t>A SPORTS ARENA USED FOR ATHLETIC ACTIVITIES AND INCLUDES AN ATHLETIC FIELD AND PERMANENTLY CONSTRUCTUED FEATURES THAT CAN INCLUDE SPECTATOR SEATING, GRANDSTANDS, PRESS BOXES/ANNOUNCER BOOTHS, CONCESSIONS STANDS AND SUPPORTING FEATURES BASED ON THE ACTIVITY TYPE.  LIGHTING AND FENCING ARE CAPTURED UNDER OTHER CCNS.</t>
  </si>
  <si>
    <t>MUSEUMS / MEMORIAL BUILDING</t>
  </si>
  <si>
    <t>MUSEUM</t>
  </si>
  <si>
    <t>MUSEUMS AND MEMORIALS</t>
  </si>
  <si>
    <t>NO SPECIFIC PLANNING FACTORS ARE AVAILABLE FOR THIS GROUP. REQUIREMENTS FOR EACH OF THE ABOVE FACILITIES WILL BE ESTABLISHED BASED ON INDIVIDUAL STUDIES AND SUPPORTING JUSTIFICATION. MUSEUMS MUST BE APPROVED BY SECNAV.</t>
  </si>
  <si>
    <t>OUTDOOR MONUMENT / MEMORIAL</t>
  </si>
  <si>
    <t>MONUMENT AND MEMORIAL</t>
  </si>
  <si>
    <t>THIS CATCODE IS FOR STATUES, MONUMENTS, PLAQUES ETC. COMMEMORATING SPECIAL EVENTS, LOCATIONS OR PEOPLE. THE OFFICE OF THE COMPTROLLER OF THE NAVY HAS RULED THAT THE USE OF APPROPRIATED FUNDS (INCLUDING OM&amp;N FUNDS) FOR THE CONSTRUCTION AND MAINTENANCE OF MEMORIALS IS RESTRICTED TO THOSE MEMORIALS SPECIFICALLY APPROVED BY CONGRESSIONAL AUTHORITY.</t>
  </si>
  <si>
    <t>CEMETERY</t>
  </si>
  <si>
    <t>NO SPECIFIC PLANNING FACTORS ARE AVAILABLE FOR THIS GROUP. REQUIREMENTS FOR EACH OF THE ABOVE FACILITIES WILL BE ESTABLISHED BASED ON INDIVIDUAL STUDIES AND SUPPORTING JUSTIFICATION. SECNAV APPROVAL WILL BE REQUIRED.</t>
  </si>
  <si>
    <t>ELECTRIC POWER PLANT BUILDING</t>
  </si>
  <si>
    <t>UTILITY BUILDING</t>
  </si>
  <si>
    <t>ELECTRICAL POWER</t>
  </si>
  <si>
    <t>UTILITIES</t>
  </si>
  <si>
    <t>ELECTRIC POWER SOURCE</t>
  </si>
  <si>
    <t>THIS CATEGORY CODE IS USED FOR BUILDINGS ASSOCIATED WITH AN ELECTRIC POWER PLANT INCLUDING CATEGORY CODES 811 10, 811 25, 811 45, 811 46, AND 81150.</t>
  </si>
  <si>
    <t>ELECTRIC POWER PLANT - DIESEL</t>
  </si>
  <si>
    <t>KW</t>
  </si>
  <si>
    <t>ELECTRIC POWER SOURCE, PLANT</t>
  </si>
  <si>
    <t>A CENTRAL PLANT FOR THE PRODUCTION OF ELECTRICITY USING DIESEL GENERATORS.</t>
  </si>
  <si>
    <t>ELECTRIC POWER PLANT - STEAM</t>
  </si>
  <si>
    <t>A CENTRAL PLANT FOR THE PRODUCTION OF ELECTRICITY USING STEAM TURBINE GENERATORS.</t>
  </si>
  <si>
    <t>ELECTRIC POWER PLANT - GAS TURBINE</t>
  </si>
  <si>
    <t>A CENTRAL PLANT FOR THE PRODUCTION OF ELECTRICITY USING GAS FIRED TURBINE GENERATORS.</t>
  </si>
  <si>
    <t>ELECTRIC POWER PLANT -  WIND TURBINE</t>
  </si>
  <si>
    <t>ELECTRICAL POWER SOURCE, WIND GENERATED</t>
  </si>
  <si>
    <t>A SOURCE FOR THE PRODUCTION OF ELECTRICITY USING WIND TURBINES.</t>
  </si>
  <si>
    <t>ELECTRIC POWER - PHOTOVOLTAIC SYSTEM -UTILITY SCALE</t>
  </si>
  <si>
    <t>ELECTRICAL POWER SOURCE, PHOTOVOLTAIC</t>
  </si>
  <si>
    <t>A UTILITY-SCALE SOURCE FOR THE PRODUCTION OF ELECTRICITY USING PHOTOVOLTAIC PANELS.  FOR SMALLER, FACILITY SCALE SYSTEMS, USE CCN 81151 ELECTRIC POWER - PHOTOVOLTAIC SYSTEM-FACILITY LEVEL.</t>
  </si>
  <si>
    <t>ELECTRIC POWER - PHOTOVOLTAIC SYSTEM-FACILITY LEVEL</t>
  </si>
  <si>
    <t>A FACILITY FOR THE GENERATION OF ELECTRICAL POWER BY HARNESSING SOLAR POWER VIA PHOTOVOLTAIC CELLS. THIS CATEGORY INCLUDES FACILITY-LEVEL SYSTEMS WHICH MAY PRODUCE ELECTRICITY ONLY, OR MAY BE HYBRID (SOLAR COLLECTORS CONVERT SOLAR RADIATION INTO ELECTRICAL AND THERMAL ENERGY). FOR LARGER, UTILITY SCALE SYSTEMS (PLANTS), USE CCN 81150 ELECTRIC POWER - PHOTOVOLTAIC SYSTEM-UTILITY SCALE</t>
  </si>
  <si>
    <t>STANDBY GENERATOR BUILDING</t>
  </si>
  <si>
    <t>THIS CATEGORY CODE IS USED FOR BUILDINGS ASSOCIATED WITH A STANDBY GENERATOR PLANT (811 60).</t>
  </si>
  <si>
    <t>STANDBY GENERATOR PLANT</t>
  </si>
  <si>
    <t>STAND-BY/EMERGENCY POWER</t>
  </si>
  <si>
    <t>STANDBY GENERATORS ARE USED TO PROVIDE ELECTRICAL POWER WHEN THE NORMAL SOURCE OF POWER IS NOT AVAILABLE.</t>
  </si>
  <si>
    <t>UTILITY GENERATORS</t>
  </si>
  <si>
    <t>THIS CATEGORY CODE IS USED FOR GENERATORS THAT SUPPLY UTILITY FUNCTIONS (LIFT STATIONS, BLACK START AT PLANTS, WASTEWATER AND WATER TREATMENT PLANTS, ETC.). THE CCN CAN BE USED FOR EITHER PRIME USE POWER OR FOR STANDBY POWER.  FOR NON-UTILITY RELATED FUNCTIONS, USE CCN 81160.</t>
  </si>
  <si>
    <t>BATTERY ENERGY STORAGE SYSTEM</t>
  </si>
  <si>
    <t>MW</t>
  </si>
  <si>
    <t>A BATTERY ENERGY STORAGE SYSTEM (BESS) IS A STRUCTURE CONTAINING A GROUP OF BATTERIES THAT CAN STORE ELECTRICAL ENERGY FROM DIFFERENT SOURCES AND DISCHARGE ENERGY WHEN REQUIRED.  THESE ARE PERMANENTLY INSTALLED BATTERY SYSTEMS.  THIS CATCODE DOES NOT INCLUDE A BUILDING OR STRUCTURE TO HOUSE THE BATTERIES.  USE CCN 89009 FOR BUILDINGS AND CCN 12317 FOR STRUCTURES.</t>
  </si>
  <si>
    <t>ELECTRIC DISTRIBUTION BUILDING</t>
  </si>
  <si>
    <t>ELECTRIC POWER TRANSMISSION AND DISTRIBUTION LINES</t>
  </si>
  <si>
    <t>THIS CATEGORY CODE SHOULD BE USED FOR BUILDINGS ASSOCIATED WITH ELECTRIC DISTRIBUTION SYSTEM THAT ARE NOT INCLUDED UNDER SWITCHING STATION/SUBSTATION BUILDINGS, CATEGORY CODE 813 10.</t>
  </si>
  <si>
    <t>TRANSFORMERS</t>
  </si>
  <si>
    <t>KV</t>
  </si>
  <si>
    <t>ELECTRICAL POWER TRANSFORMERS</t>
  </si>
  <si>
    <t>TRANSFORMERS TRANSFORM ELECTRICAL POWER ON THE PRIMARY SIDE TO A LOWER OR HIGHER VOLTAGE ON THE SECONDARY SIDE TO SERVE A FACILITY OR SEVERAL FACILITIES.</t>
  </si>
  <si>
    <t>EXTERIOR LIGHTING, POLE MOUNTED</t>
  </si>
  <si>
    <t>EXTERIOR LIGHTING, POLE</t>
  </si>
  <si>
    <t>UNIFORM POLE MOUNTED ILLUMINATION AT INSTALLATIONS, INCLUDING PERIMETER AND INTERIOR LIGHTING.</t>
  </si>
  <si>
    <t>OVERHEAD ELECTRICAL DISTRIBUTION LINES</t>
  </si>
  <si>
    <t>ELECTRICAL POWER DISTRIBUTION LINE, OVERHEAD</t>
  </si>
  <si>
    <t>THE OVERHEAD LINES ARE FOR THE TRANSMISSION OF ELECTRICAL POWER BETWEEN SOURCE, SUBSTATIONS AND SWITCHING STATIONS, AND END USERS.</t>
  </si>
  <si>
    <t>UNDERGROUND ELECTRICAL DISTRIBUTION LINES</t>
  </si>
  <si>
    <t>ELECTRICAL POWER DISTRIBUTION LINE, UNDERGROUND</t>
  </si>
  <si>
    <t>THE UNDERGROUND LINES ARE FOR THE TRANSMISSION OF ELECTRICAL POWER BETWEEN SOURCE, SUBSTATIONS AND SWITCHING STATIONS, AND END USERS.</t>
  </si>
  <si>
    <t xml:space="preserve"> LEVEL 2 ELECTRIC VEHICLE CHARGING FACILITY</t>
  </si>
  <si>
    <t>ELECTRIC VEHICLE CHARGE FACILITY</t>
  </si>
  <si>
    <t>PARKING</t>
  </si>
  <si>
    <t>AN ELECTRIC VEHICLE (EV) CHARGING FACILITY THAT DELIVERS A 208/240V AC POWER FOR CHARGING GOVERNMENT-OWNED VEHICLES AND/OR PERSONALLY-OWNED VEHICLES AT AN INSTALLATION. NOTE: DESPITE FAC INCLUSION OF LEVEL 1 SYSTEMS, NAVY DOES NOT USE THEM AND AS SUCH, THEY ARE NOT CAPTURED IN INFADS.</t>
  </si>
  <si>
    <t>LEVEL 3 DIRECT CURRENT FAST CHARGING FACILITY</t>
  </si>
  <si>
    <t>AN ELECTRIC VEHICLE (EV) CHARGING FACILITY THAT DELIVERS A 50KW-400KW DC POWER FOR CHARGING GOVERNMENT-OWNED VEHICLES AND/OR PERSONALLY-OWNED VEHICLES AT AN INSTALLATION.</t>
  </si>
  <si>
    <t>SWITCHING SUBSTATION / SUBSTATION  BUILDING</t>
  </si>
  <si>
    <t>ELECTRIC POWER SUBSTATIONS ANS SWITCHING STATIONS</t>
  </si>
  <si>
    <t>THIS CATEGORY CODE IS USED FOR THE BUILDINGS ASSOCIATED WITH A SUBSTATION OR SWITCHING STATION (813 20 OR 813 30).</t>
  </si>
  <si>
    <t>SUBSTATIONS</t>
  </si>
  <si>
    <t>ELECTRICAL POWER SUBSTATION</t>
  </si>
  <si>
    <t>DISTRIBUTION SUBSTATIONS, NORMALLY CONSISTING OF TRANSFORMERS AND THEIR ASSOCIATED SWITCHGEAR, STRUCTURES, BUSES, GROUNDING SYSTEMS, AND PROTECTIVE DEVICES; TRANSFORM ELECTRICAL POWER TO A LOWER OR HIGHER VOLTAGE AND PUT IT ON THE DISTRIBUTION SYSTEM.</t>
  </si>
  <si>
    <t>SWITCHING STATION FOR SECTIONALIZED DISTRIBUTION CIRCUITS</t>
  </si>
  <si>
    <t>ELECTRICAL POWER SWITCHING STATION</t>
  </si>
  <si>
    <t>A SWITCHING STATION IS EQUIPMENT IN AN ELECTRIC DISTRIBUTION SYSTEM WHERE ELECTRIC POWER IS SWITCHED WITHOUT TRANSFORMATION. SWITCHING STATIONS ARE LOCATED AT POINTS WHERE IT IS NECESSARY TO BRANCH OFF FROM A MAIN FEEDER OR FEEDERS WITH SMALLER COMPONENTS DUE TO PHYSICAL LOCATION OF THE FACILITIES TO BE SERVED OR TO ISOLATE PORTIONS OF FEEDERS FOR MAINTENANCE OR REPAIR.</t>
  </si>
  <si>
    <t>LIGHTNING PROTECTION SYSTEM, STANDALONE</t>
  </si>
  <si>
    <t>STANDALONE LIGHTNING PROTECTION SYSTEMS ARE THOSE THAT ARE NOT INCLUDED AS PART OF A SPECIFIC FACILITY'S INSTALLED EQUIPMENT.  THESE ARE USUALLY CONSTRUCTED TO PROTECT A COMPOUND, A SINGLE BUILDING (WHERE THE SYSTEM IS CONSTRUCTED OF MASTS AND IS NOT A PART OF THE FACILITY) OR SERIES OF BUILDINGS.</t>
  </si>
  <si>
    <t>HEATING PLANT BUILDING</t>
  </si>
  <si>
    <t>STEAM &amp; HOT WATER</t>
  </si>
  <si>
    <t>HEAT SOURCE</t>
  </si>
  <si>
    <t>THIS CATEGORY CODE IS USED FOR BUILDINGS ASSOCIATED WITH A HEATING PLANT INCLUDING CATEGORY CODES 821 12, 821 22, OR 821 30.</t>
  </si>
  <si>
    <t>HEATING PLANT - OIL / GAS</t>
  </si>
  <si>
    <t>BH</t>
  </si>
  <si>
    <t>HEAT SOURCE, PLANT</t>
  </si>
  <si>
    <t>THIS CATEGORY CODE IS USED FOR A PLANT THAT UTILIZES OIL OR GAS FOR THE PRODUCTION AND DISTRIBUTION OF HEAT. THIS INCLUDES STEAM, HOT WATER, HIGH PRESSURE/LOW PRESSURE, ETC., SERVING MORE THAN ONE SEPARATE FACILITY.</t>
  </si>
  <si>
    <t>HEATING PLANT - COAL</t>
  </si>
  <si>
    <t>THIS CATEGORY CODE IS USED FOR A PLANT THAT UTILIZES COAL FOR THE PRODUCTION AND DISTRIBUTION OF HEAT. THIS INCLUDES STEAM, HOT WATER, HIGH PRESSURE/LOW PRESSURE, ETC., SERVING MORE THAN ONE SEPARATE FACILITY.</t>
  </si>
  <si>
    <t>HEATING PLANT - NON-FOSSIL FUEL</t>
  </si>
  <si>
    <t>THIS CATEGORY CODE IS USED FOR A PLANT THAT UTILIZES A NON-FOSSIL FUEL FOR THE PRODUCTION AND DISTRIBUTION OF HEAT. THIS INCLUDES STEAM, HOT WATER, HIGH PRESSURE/LOW PRESSURE, ETC., SERVING MORE THAN ONE SEPARATE FACILITY.</t>
  </si>
  <si>
    <t>DISTILLATE HEATING FUEL OIL STORAGE</t>
  </si>
  <si>
    <t>THIS CATEGORY CODE IS USED FOR FUEL OIL TANKS USED FOR HEATING BUILDINGS, GENERATION OF STEAM, POWER PLANT REQUIREMENTS, AND FOR OTHER HEAT GENERATING FACILITIES AS REQUIRED.</t>
  </si>
  <si>
    <t>RESIDUAL HEATING FUEL OIL STORAGE</t>
  </si>
  <si>
    <t>THIS CATEGORY CODE IS USED FOR FUEL OIL TANKS USED FOR HEATING BUILDINGS, GENERATION OF STEAM, POWER PLANT REQUIREMENTS, AND FOR OTHER HEAT GENERATING FACILITIES AS REQUIRED. NO. 4 FUEL OIL, NO. 5 FUEL OIL AND NO. 6 FUEL OIL ARE VARIOUSLY REFERRED TO AS RESIDUAL FUEL OILS.</t>
  </si>
  <si>
    <t>STEAM DISTRIBUTION SYSTEM BUILDING</t>
  </si>
  <si>
    <t>HEAT TRANSMISSION AND DISTRIBUTION LINES</t>
  </si>
  <si>
    <t>BUILDINGS ASSOCIATED WITH A HEATING DISTRIBUTION SYSTEM (CATEGORY CODES 822 12, 822 14, 822 16 OR 822 26). THE REQUIREMENT FOR STEAM AND CONDENSATE OR HOT WATER PIPELINES IS DETERMINED FROM AN ENGINEERING STUDY.</t>
  </si>
  <si>
    <t>CONDENSATE RETURN PUMP STATION</t>
  </si>
  <si>
    <t>MISCELLANEOUS PUMP STATION</t>
  </si>
  <si>
    <t>PUMP STATIONS ARE UTILIZED TO PUMP CONDENSED STEAM (CONDENSATE) BACK TO THE STEAM PLANT OR OTHER FACILITY.</t>
  </si>
  <si>
    <t>STEAM LINES</t>
  </si>
  <si>
    <t>HEAT DISTRIBUTION LINE</t>
  </si>
  <si>
    <t>THIS CATEGORY CODE CONTAINS ALL DISTRIBUTION SYSTEM PIPES THAT CONVEY STEAM. THE REQUIREMENT FOR STEAM AND CONDENSATE OR HOT WATER PIPELINES IS DETERMINED FROM AN ENGINEERING STUDY.</t>
  </si>
  <si>
    <t>CONDENSATE LINES</t>
  </si>
  <si>
    <t>THIS CATEGORY CODE CONTAINS ALL COLLECTION SYSTEM PIPES THAT CONVEY CONDENSATE. THE REQUIREMENT FOR STEAM AND CONDENSATE OR HOT WATER PIPELINES IS DETERMINED FROM AN ENGINEERING STUDY.</t>
  </si>
  <si>
    <t>HOT WATER LINES</t>
  </si>
  <si>
    <t>THIS CATEGORY CODE CONTAINS ALL PIPES THAT CONVEY HOT WATER LESS THAN 250 DEGREES. THE REQUIREMENT FOR STEAM AND CONDENSATE OR HOT WATER PIPELINES IS DETERMINED FROM AN ENGINEERING STUDY.</t>
  </si>
  <si>
    <t>HIGH TEMPERATURE HOT WATER LINES</t>
  </si>
  <si>
    <t>THIS CATEGORY CODE CONTAINS ALL PIPES THAT CONVEY HOT WATER HEATED ABOVE 250 DEGREES. THE REQUIREMENT FOR STEAM AND CONDENSATE OR HOT WATER PIPELINES IS DETERMINED FROM AN ENGINEERING STUDY.</t>
  </si>
  <si>
    <t>GAS GENERATING BUILDING</t>
  </si>
  <si>
    <t>GAS</t>
  </si>
  <si>
    <t>HEAT GAS SOURCE</t>
  </si>
  <si>
    <t>THIS CATEGORY CODE CONTAINS BUILDINGS ASSOCIATED WITH A GAS GENERATING PLANT.</t>
  </si>
  <si>
    <t>GAS GENERATING PLANT</t>
  </si>
  <si>
    <t>CM</t>
  </si>
  <si>
    <t>HEAT GAS PRODUCTION PLANT</t>
  </si>
  <si>
    <t>THIS CATEGORY CODE CONTAINS PLANT EQUIPMENT THAT GENERATES GAS FOR USE IN THE UTILITY SYSTEM.</t>
  </si>
  <si>
    <t>GAS METER BUILDING</t>
  </si>
  <si>
    <t>THIS CATEGORY CODE CONTAINS BUILDINGS ASSOCIATED WITH GAS METERING.</t>
  </si>
  <si>
    <t>GAS STORAGE TANKS</t>
  </si>
  <si>
    <t>HEAT GAS STORAGE</t>
  </si>
  <si>
    <t>THIS CATEGORY CODE CONTAINS TANKS FOR THE STORAGE OF LIQUID NATURAL GAS AND/OR PROPANE CONNECTED TO A GAS DISTRIBUTION SYSTEM SERVING MULTIPLE FACILITIES.</t>
  </si>
  <si>
    <t>GAS MAINS</t>
  </si>
  <si>
    <t>HEAT GAS DISTRIBUTION LINE</t>
  </si>
  <si>
    <t>HEAT GAS TRANSMISSION</t>
  </si>
  <si>
    <t>THIS CATEGORY CODE IS FOR THE MAIN GAS LINES (PIPES) THAT CARRY THE BULK OF THE GAS TO AND FROM FACILITIES AT AN INSTALLATION.</t>
  </si>
  <si>
    <t>COOLING SYSTEM PLANT BUILDING</t>
  </si>
  <si>
    <t>CHILLER PLANT &amp; A/C</t>
  </si>
  <si>
    <t>REFRIGERATION (AIR CONDITIONING) SOURCE</t>
  </si>
  <si>
    <t>BUILDINGS ASSOCIATED WITH A COOLING SYSTEM PLANT (CATEGORY CODE 826 20).</t>
  </si>
  <si>
    <t>COOLING SYSTEM PLANT</t>
  </si>
  <si>
    <t>TR</t>
  </si>
  <si>
    <t>REFRIGERATION AND AIR CONDITIONING SOURCE</t>
  </si>
  <si>
    <t>A PLANT FOR THE PRODUCTION AND DISTRIBUTION OF A CHILLED FLUID FOR MORE THAN ONE SEPARATE FACILITY.</t>
  </si>
  <si>
    <t>COOLING SYSTEM VALVE BUILDING</t>
  </si>
  <si>
    <t>CHILLED WATER (AIR CONDITIONING) TRANSMISSION AND DISTRIBUTI</t>
  </si>
  <si>
    <t>BUILDINGS ASSOCIATED WITH A COOLING DISTRIBUTION SYSTEM (CATEGORY CODE 827 20).</t>
  </si>
  <si>
    <t>CHILLED FLUID LINES</t>
  </si>
  <si>
    <t>CHILLED WATER AND REFRIGERANT DISTRIBUTION LINE</t>
  </si>
  <si>
    <t>THIS CATEGORY CODE INCLUDES ASSETS PREVIOUSLY CONTAINED IN CCN 827 25.</t>
  </si>
  <si>
    <t>SEWAGE TREATMENT BUILDING</t>
  </si>
  <si>
    <t>SEWAGE &amp; WASTE</t>
  </si>
  <si>
    <t>SEWAGE AND INDUSTRIAL WASTE TREATMENT AND DISPOSAL</t>
  </si>
  <si>
    <t>THIS CATEGORY CODE INCLUDES THE BUILDINGS ASSOCIATED WITH THE SEWAGE TREATMENT PLANT (CATEGORY CODE 831 10).</t>
  </si>
  <si>
    <t>SEWAGE TREATMENT PLANT</t>
  </si>
  <si>
    <t>KG</t>
  </si>
  <si>
    <t>SEWAGE TREATMENT</t>
  </si>
  <si>
    <t>THIS CATEGORY CODE IS USED FOR ALL TYPE OF SEWAGE TREATMENT PLANTS; PRIMARY, SECONDARY, OR TERTIARY.</t>
  </si>
  <si>
    <t>BALLAST CONTAMINATION SKIMMER</t>
  </si>
  <si>
    <t>WATER SEPARATION FACILITY</t>
  </si>
  <si>
    <t>A FACILITY TO REMOVE GREASE, OIL, AND OTHER CONTAMINENTS FROM THE WATER REMOVED FROM SHIP BALLAST TANKS.</t>
  </si>
  <si>
    <t>INDUSTRIAL WASTE TREATMENT BUILDING</t>
  </si>
  <si>
    <t>THIS CATEGORY CODE IS USED FOR BUILDINGS ASSOCIATED WITH AN INDUSTRIAL WASTEWATER TREATMENT PLANT (CATEGORY CODE 831 15).</t>
  </si>
  <si>
    <t>INDUSTRIAL WASTE TREATMENT FACILITY</t>
  </si>
  <si>
    <t>INDUSTRIAL WASTE TREATMENT</t>
  </si>
  <si>
    <t>THIS CAT CODE IS USED FOR A DEDICATED INDUSTRIAL WASTEWATER TREATMENT PLANT. ALL THE PLANT EQUIPMENT; EQUALIZATION, PRELIMINARY TREATMENT, CLARIFICATION, HOLDING TANKS, BIOLOGICAL TREATMENT, CHEMICAL TREATMENT, FILTRATION, DISINFECTION, DEWATERING, DIGESTION, SLUDGE DISPOSAL, ELECTRICAL SYSTEM, CONTROLS, COMPRESSED AIR, STORAGE, AND COMS, IS INCLUDED AS A SINGLE WASTEWATER TREATMENT PLANT.</t>
  </si>
  <si>
    <t>OIL /  WATER SEPARATOR</t>
  </si>
  <si>
    <t>THIS CATEGORY CODE IS USED FOR OIL/WATER SEPARATORS THAT DISCHARGE TO THE SANITARY SEWER OR INDUSTRIAL WASTE COLLECTION SYSTEM. OIL/WATER SEPARATORS BELONG TO THE FACILITY WHICH IT SERVES.</t>
  </si>
  <si>
    <t>OUTFALL SEWER LINE</t>
  </si>
  <si>
    <t>SEWER AND INDUSTRIAL WASTE LINE</t>
  </si>
  <si>
    <t>AN OUTFALL SANITARY SEWER LINE RECEIVES THE SEWAGE FROM A COLLECTING SYSTEM OR THE EFFLUENT FROM A SANITARY SEWAGE PLANT AND CARRIES IT TO A POINT OF FINAL DISCHARGE. PLANNING FOR OUTFALL SEWER LINES WILL INCLUDE LAND ACQUISITION.</t>
  </si>
  <si>
    <t>SEPTIC TANK AND DRAIN FIELD</t>
  </si>
  <si>
    <t>A SEPTIC TANK AND DRAIN FIELD FACILITY PROVIDES SEWAGE TREATMENT FOR HUMAN WASTE AT ISOLATED FACILITIES WHERE AN EXTENSION OF THE CENTRAL SEWER COLLECTION SYSTEM WOULD NOT BE ECONOMICALLY FEASIBLE. A SEPTIC TANK AND DRAIN FIELD WILL INCLUDE A CONCRETE OR PROTECTED STEEL TANK, A DRAIN FIELD SYSTEM INCLUDING HEADERS, LATERALS, OPEN JOINT CLAY OR CONCRETE PIPE, GRAVEL, DITCHING, AND LAND ACQUISITION.</t>
  </si>
  <si>
    <t>SEPTIC LAGOON AND/OR SETTLEMENT POND</t>
  </si>
  <si>
    <t>SEPTIC LAGOON AND SETTLEMENT PONDS</t>
  </si>
  <si>
    <t>A STRUCTURE USED FOR COLLECTING AND HOLDING SEWAGE TO ALLOW FOR SETTLEMENT AND EVAPORATION. THESE STRUCTURES ARE TYPICALLY CONCRETE ENCASED.</t>
  </si>
  <si>
    <t>RADIOACTIVE WASTE HANDLING BUILDING</t>
  </si>
  <si>
    <t>RADIOACTIVE WASTE HANDLING BUILDING.</t>
  </si>
  <si>
    <t>RADIOACTIVE WASTE HANDLING FACILITY</t>
  </si>
  <si>
    <t>HAZARDOUS WASTE STORAGE OR DISPOSAL FACILITY</t>
  </si>
  <si>
    <t>RADIOACTIVE WASTE HANDLING FACILITY.</t>
  </si>
  <si>
    <t>HAZARDOUS WASTE STORAGE AND TRANSFER FACILITY</t>
  </si>
  <si>
    <t xml:space="preserve"> A STORAGE FACILITY FOR THE CONTAINMENT AND SHIPMENT OF HAZARDOUS WASTES. CAN BE SHORT TERM (HW STORAGE LESS THAN 90 DAYS) OR LONG TERM (HW STORAGE 90 DAYS OR MORE).</t>
  </si>
  <si>
    <t>HAZARDOUS WASTE STORAGE AREA</t>
  </si>
  <si>
    <t>AN EXTERIOR LAYDOWN AREA FOR THE STORAGE OF HAZARDOUS WASTE MATERIALS THAT DO NOT POSE ANY THREATS TO THE ENVIRONMENT VIA CONTAMINATED RUNOFF.</t>
  </si>
  <si>
    <t>HAZARDOUS WASTE STORAGE BUILDING</t>
  </si>
  <si>
    <t>A BUILDING THAT HAS BEEN PROPERLY CERTIFIED TO STORE SUBSTANCES THAT CANNOT LEGALLY BE DISPOSED OF IN A NORMAL SANITARY LANDFILL OR INTO A REFUSE INCINERATOR DESIGNATED TO HANDLE MUNICIPAL TYPE REFUSE, OR CANNOT BE DISCHARGED INTO A SANITARY SEWERAGE SYSTEM.</t>
  </si>
  <si>
    <t>SANITARY SEWER LINE</t>
  </si>
  <si>
    <t>SEWAGE AND INDUSTRIAL WASTE COLLECTION LINES</t>
  </si>
  <si>
    <t>ALL DISTRIBUTION SYSTEM PIPES THAT COLLECT AND TRANSPORT SANITARY SEWAGE. TYPES INCLUDE GRAVITY OR FORCED MAIN SYSTEMS.</t>
  </si>
  <si>
    <t>COMBINED SEWER LINE</t>
  </si>
  <si>
    <t>ALL DISTRIBUTION PIPES THAT COLLECT AND TRANSPORT BOTH SANITARY SEWAGE AND STORM WATER.</t>
  </si>
  <si>
    <t>SEWAGE PUMP STATION BUILDING</t>
  </si>
  <si>
    <t>BUILDINGS ASSOCIATED WITH A SEWAGE PUMP STATION. THE PRIMARY UNIT OF MEASURE IS SQUARE FEET (SF).</t>
  </si>
  <si>
    <t>SEWAGE WASTE PUMPING STATION</t>
  </si>
  <si>
    <t>SEWAGE LIFT STATIONS</t>
  </si>
  <si>
    <t>A SEWAGE PUMPING STATION IS A FACILITY USED TO MOVE SEWAGE THROUGH MAINS TO A TREATMENT PLANT, TO SERVE WHERE A GRAVITY SYSTEM IS NOT FEASIBLE, AND/OR TO LIFT SEWAGE FROM ONE LEVEL TO ANOTHER IN A GRAVITY SYSTEM.</t>
  </si>
  <si>
    <t>INDUSTRIAL WASTEWATER LINE</t>
  </si>
  <si>
    <t>THIS CATEGORY CODE INCLUDES ALL DISTRIBUTION SYSTEM PIPES THAT COLLECT AND TRANSPORT INDUSTRIAL WASTEWATER. TYPES INCLUDE GRAVITY OR FORCED MAIN.</t>
  </si>
  <si>
    <t>INDUSTRIAL WASTEWATER PUMP STATION</t>
  </si>
  <si>
    <t>FACILITIES USED TO TRANSPORT WASTE STREAMS TO HOLDING TANKS OR INDUSTRIAL WASTE TREATMENT PLANTS, TO SERVE WHERE A GRAVITY SYSTEM IS NOT FEASIBLE, AND/OR TO LIFT WASTE STREAMS FROM ONE LEVEL TO ANOTHER IN A GRAVITY SYSTEM.</t>
  </si>
  <si>
    <t>INCINERATOR BUILDING AND INCINERATOR</t>
  </si>
  <si>
    <t>INCINERATOR</t>
  </si>
  <si>
    <t>REFUSE AND GARBAGE FACILITIES</t>
  </si>
  <si>
    <t>BUILDINGS ASSOCIATED WITH AN INCINERATOR.  AN INCINERATOR IS A FACILITY FOR BURNING COMBUSTIBLE REFUSE TO REDUCE IT TO STABLE GASES AND INERT SOLIDS.</t>
  </si>
  <si>
    <t>INCINERATOR - EXTERIOR</t>
  </si>
  <si>
    <t>AN INCINERATOR IS A FACILITY FOR BURNING COMBUSTIBLE REFUSE TO REDUCE IT TO STABLE GASES AND INERT SOLIDS.  AN EXTERIOR INCINERATOR IS ONE THAT IS NOT ENCLOSED IN A STRUCTURE.</t>
  </si>
  <si>
    <t>REFUSE/SOLID WASTE COLLECTION FACILITY-(NON HAZARDOUS)</t>
  </si>
  <si>
    <t>THIS FACILITY SERVES AS THE COLLECTION CENTER FOR NON-HAZARDOUS SOLID WASTE AWAITING DISPOSAL.</t>
  </si>
  <si>
    <t>SANITARY / CUT-FILL DISPOSAL AREA</t>
  </si>
  <si>
    <t>SANITARY LANDFILL</t>
  </si>
  <si>
    <t>LANDFILLS ARE LINED (USUALLY WITH CLAY) EXCAVATIONS IN WHICH SOLID WASTES ARE BURIED, COVERED AND MONITORED.  LANDFILLING SOLID WASTE IS THE TECHNOLOGY OF LAST RESORT. CONSULT EPA AND STATE REGULATIONS AND THE LATEST SOLID WASTE TEXT BOOKS FOR ENGINEERING PRINCIPLES AND PRACTICES IN SITING AND SCOPING A LANDFILL.</t>
  </si>
  <si>
    <t>GARBAGE GRINDER BUILDING</t>
  </si>
  <si>
    <t>A GARBAGE GRINDER FACILITY THAT IS FULLY ENCLOSED BY A BUILDING.</t>
  </si>
  <si>
    <t>GARBAGE GRINDER</t>
  </si>
  <si>
    <t>A GARBAGE GRINDER FACILITY THAT IS PARTIALLY ENCLOSED BY AN OPEN STRUCTURE.</t>
  </si>
  <si>
    <t>GARBAGE STAND</t>
  </si>
  <si>
    <t xml:space="preserve">AN OPEN STRUCTURE USED TO PARTIALLY ENCLOSE TRASH RECEPTACLES, USUALLY DUMPSTERS.  </t>
  </si>
  <si>
    <t>GARBAGE HOUSE/RECYCLING CENTER BUILDING</t>
  </si>
  <si>
    <t>SMALL BUILDING USED FOR TEMPORARY STORAGE OF TRASH OR RECYCLABLES PRIOR TO REMOVAL AND PROCESSING BY A COLLECTION SERVICE.</t>
  </si>
  <si>
    <t>WATER TREATMENT FACILITY BUILDING</t>
  </si>
  <si>
    <t>WATER</t>
  </si>
  <si>
    <t>POTABLE WATER SUPPLY, TREATMENT, AND STORAGE</t>
  </si>
  <si>
    <t>THIS CATEGORY CODE INCLUDES BUILDINGS ASSOCIATED WITH A WATER TREATMENT PLANT (841 10), DESALINIZATION PLANT (841 25), OR WELLS - POTABLE WATER (841 50).</t>
  </si>
  <si>
    <t>WATER TREATMENT FACILITIES</t>
  </si>
  <si>
    <t>WATER TREATMENT FACILITY</t>
  </si>
  <si>
    <t>A WATER TREATMENT PLANT IS A FACILITY THAT TREATS WATER TO MAKE IT SAFE FOR HUMAN CONSUMPTION (POTABLE). THIS CATEGORY CODE INCLUDES THE STRUCTURES, EQUIPMENT, AND PROCESSES REQUIRED TO TREAT POTABLE WATER. WATER TREATMENT PLANT BUILDINGS ARE CLASSIFIED AS 841 09.</t>
  </si>
  <si>
    <t>REACTOR WATER TREATMENT FACILITY</t>
  </si>
  <si>
    <t>A FACILITY THAT FILTERS AND TREATS REACTOR WATER FROM SHIPS TO A LEVEL THAT IS SAFE AND ACCEPTABLE TO BE RETURNED TO THE SHIP FOR CONTINUED REACTOR USE.</t>
  </si>
  <si>
    <t>WATER SUPPLY LINE</t>
  </si>
  <si>
    <t>WATER DISTRIBUTION LINE, POTABLE</t>
  </si>
  <si>
    <t>THE PIPE THAT CONVEYS WATER FROM SOURCE TO POINT OF TREATMENT OR TO THE POINT OF CONSUMPTION. A PRESSURE MAIN WILL BE NEEDED IF THE WATER IS PUMPED. HOWEVER, IF TOPOGRAPHY PERMITS, A GRAVITY SYSTEM IS PLANNED.</t>
  </si>
  <si>
    <t>DESALINIZATION PLANT</t>
  </si>
  <si>
    <t>A WATER TREATMENT PLANT THAT UTILIZES A PROCESS, SUCH AS DISTILLATION, REVERSE OSMOSIS, OR ELECTRO DIALYSIS, THAT REMOVES DISSOLVED MINERAL SALTS AND OTHER DISSOLVED SOLIDS FROM WATER.</t>
  </si>
  <si>
    <t>STORAGE TANKS - ELEVATED, POTABLE</t>
  </si>
  <si>
    <t>WATER STORAGE, POTABLE</t>
  </si>
  <si>
    <t>WATER STORAGE TANKS FOR POTABLE WATER ARE ELEVATED OR GROUND-LEVEL STRUCTURES USED TO STORE BULK QUANTITIES OF POTABLE WATER. ELEVATED TANKS FOR POTABLE WATER PROVIDE BOTH STORAGE AND STATIC PRESSURE FOR THE DISTRIBUTION SYSTEM. GROUND-LEVEL TANKS ACCOMMODATE PEAK DEMAND REQUIREMENTS WITHOUT AFFECTING THE CAPABILITY OF THE SOURCE.</t>
  </si>
  <si>
    <t>STORAGE TANKS - GROUND LEVEL, POTABLE</t>
  </si>
  <si>
    <t>WATER WELLS - POTABLE</t>
  </si>
  <si>
    <t>WATER WELL, WATER SOURCE</t>
  </si>
  <si>
    <t>EQUIPMENT THAT PUMPS WATER FROM UNDERGROUND SOURCES TO TREATMENTS PLANTS OR DIRECTLY TO DISTRIBUTION WITH MINOR TREATMENT.</t>
  </si>
  <si>
    <t>RESERVOIR - POTABLE WATER</t>
  </si>
  <si>
    <t>RESERVOIR, WATER</t>
  </si>
  <si>
    <t>AN OPEN BODY OF WATER FOR THE COLLECTION AND STORAGE OF WATER USED BY A WATER TREATMENT FACILITY OR WATER DISTRIBUTION SYSTEM.</t>
  </si>
  <si>
    <t>WATER CATCHMENT STRUCTURE</t>
  </si>
  <si>
    <t>WATER STORAGE, NON-POTABLE</t>
  </si>
  <si>
    <t>A MAN-MADE STRUCTURE DESIGNED TO CAPTURE OR COLLECT RAINWATER AND USED TO PRODUCE POTABLE WATER.</t>
  </si>
  <si>
    <t>WATER DISTRIBUTION BUILDING, POTABLE</t>
  </si>
  <si>
    <t>POTABLE WATER DISTRIBUTION SYSTEM</t>
  </si>
  <si>
    <t>ALL BUILDINGS ASSOCIATED WITH THE DISTRIBUTION OF POTABLE WATER.  POTABLE WATER WILL BE TRANSMITTED FROM A STORAGE TANK OR A TREATMENT PLANT TO ALL STATION DEMAND POINTS THROUGH A PIPELINE. THIS CATEGORY CODE INCLUDES BUILDINGS ASSOCIATED WITH THE DISTRIBUTION OF POTABLE WATER, TYPICALLY HOUSING DISTRIBUTION PUMPS AND EQUIPMENT.</t>
  </si>
  <si>
    <t>ALL PIPES THAT CONVEY POTABLE WATER FROM THE TREATMENT PLANT TO THE END USER.</t>
  </si>
  <si>
    <t>PUMP STATION - POTABLE WATER</t>
  </si>
  <si>
    <t>WATER PUMP FACILITY, POTABLE</t>
  </si>
  <si>
    <t>THIS CATEGORY CODE WILL INCLUDE THE PUMP(S) AND APPURTENANT PIPING, VALVES, AND OTHER MECHANICAL AND ELECTRICAL EQUIPMENT FOR PUMPING WATER IN THE POTABLE WATER SYSTEM.</t>
  </si>
  <si>
    <t>FIRE PROTECTION LINES</t>
  </si>
  <si>
    <t>WATER DISTRIBUTION LINE, FIRE PROTECTION</t>
  </si>
  <si>
    <t>FIRE PROTECTION</t>
  </si>
  <si>
    <t>FIRE PROTECTION WATER FACILITIES</t>
  </si>
  <si>
    <t>FIRE PROTECTION PIPELINES ARE USED EXCLUSIVELY IN THE TRANSMISSION OF WATER FOR FIRE PROTECTION, NOT DOMESTIC USE.</t>
  </si>
  <si>
    <t>FIRE PROTECTION PUMPING STATION</t>
  </si>
  <si>
    <t>WATER PUMP FACILITY, FIRE PROTECTION</t>
  </si>
  <si>
    <t>A FIRE PROTECTION PUMPING STATION IS A COLLECTION OF PUMPS AND SUPPORTING EQUIPMENT USED TO INCREASE THE PRESSURE IN THE FIRE PROTECTION SYSTEM.</t>
  </si>
  <si>
    <t>WATER STORAGE TANK - FIRE PROTECTION WATER</t>
  </si>
  <si>
    <t>MG</t>
  </si>
  <si>
    <t>WATER TANK, FIRE PROTECTION</t>
  </si>
  <si>
    <t>TANKS THAT PROVIDE FIRE PROTECTION WATER STORAGE TO ACCOMMODATE PEAK DEMAND REQUIREMENTS.</t>
  </si>
  <si>
    <t>RESERVOIRS - FIRE PROTECTION WATER</t>
  </si>
  <si>
    <t>WATER IMPOUNDMENT, FIRE PROTECTION</t>
  </si>
  <si>
    <t>THIS CATEGORY CODE IS FOR A RESERVOIR THAT HAS A CAPACITY GREATER THAN OR EQUAL TO ONE MILLION GALLONS AND TYPICALLY PROVIDES A SUFFICIENT QUANTITY OF WATER IN RESERVE TO INSURE AN UNINTERRUPTED FLOW FOR FIRE PROTECTION.</t>
  </si>
  <si>
    <t>WELLS - FIRE PROTECTION WATER</t>
  </si>
  <si>
    <t>WATER WELL, FIRE PROTECTION</t>
  </si>
  <si>
    <t>WELLS THAT PUMP WATER FROM UNDERGROUND SOURCES TO FIRE PROTECTION SYSTEMS.  INSTALLED EQUIPMENT IS CONSIDERED RPIE.  WELLS WITHOUT PUMPING SYSTEMS ARE NOT CONSIDERED REAL PROPERTY AND ARE NOT TO BE CAPTURED UNDER THIS CATEGORY CODE.</t>
  </si>
  <si>
    <t>FIRE PROTECTION BUILDING</t>
  </si>
  <si>
    <t>THIS CATEGORY CODE INCLUDES BUILDINGS ASSOCIATED WITH THE DISTRIBUTION OF FIRE PROTECTION WATER, TYPICALLY HOUSING DISTRIBUTION PUMPS AND EQUIPMENT.</t>
  </si>
  <si>
    <t>WATER DISTRIBUTION BUILDING, NONPOTABLE WATER</t>
  </si>
  <si>
    <t>NONPOTABLE WATER SUPPLY AND STORAGE</t>
  </si>
  <si>
    <t>THIS CATEGORY CODE INCLUDES ALL BUILDINGS ASSOCIATED WITH THE SUPPLY OR DISTRIBUTION OF NONPOTABLE WATER, TYPICALLY HOUSING DISTRIBUTION PUMPS AND EQUIPMENT.</t>
  </si>
  <si>
    <t>WATER WELL</t>
  </si>
  <si>
    <t>THIS CATEGORY CODE INCLUDES EQUIPMENT THAT PUMPS WATER FROM UNDERGROUND SOURCES TO A DEDICATED WATER DISTRIBUTION SYSTEM, EITHER POTABLE OR NON-POTABLE.</t>
  </si>
  <si>
    <t>PUMP STATION - NONPOTABLE WATER</t>
  </si>
  <si>
    <t>WATER PUMP FACILITY, NON-POTABLE</t>
  </si>
  <si>
    <t>THIS CATEGORY CODE INCLUDES THE COLLECTION OF PUMPS AND SUPPORTING EQUIPMENT USED TO SUPPLY WATER TO THE NONPOTABLE WATER SYSTEM</t>
  </si>
  <si>
    <t>STORAGE TANKS - NONPOTABLE WATER</t>
  </si>
  <si>
    <t>THIS CATEGORY CODE INCLUDES TANKS THAT PROVIDE NONPOTABLE WATER STORAGE TO ACCOMMODATE PEAK DEMAND REQUIREMENTS.</t>
  </si>
  <si>
    <t>PERMEABLE SURFACE</t>
  </si>
  <si>
    <t>STORMWATER FILTRATION</t>
  </si>
  <si>
    <t>GROUNDS DRAINAGE</t>
  </si>
  <si>
    <t>A STORMWATER MANAGEMENT STRUCTURE WHERE RUNOFF PASSES THROUGH THE PAVEMENT SURFACE AND SUBBASE LAYERS, INFILTRATING INTO THE SOILS BELOW, E.G., PERMEABLE PAVERS, PERVIOUS CONCRETE, POROUS ASPHALT, REINFORCED TURF, REINFORCED GRAVEL.</t>
  </si>
  <si>
    <t>SWALES</t>
  </si>
  <si>
    <t>A STORMWATER MANAGEMENT STRUCTURE THAT PROVIDES ROUTING AND DAMMING OF STORMWATER TO ACHIEVE NEEDED WATER FILTRATION AND REDUCE STORMWATER DISCHARGE RATES, E.G., DRY SWALE, WET SWALE.</t>
  </si>
  <si>
    <t>RESERVOIRS - NONPOTABLE WATER</t>
  </si>
  <si>
    <t>THIS CATEGORY CODE INCLUDES A RESERVOIR THAT HAS A CAPACITY GREATER THAN OR EQUAL TO ONE MILLION GALLONS AND TYPICALLY PROVIDES A SUFFICIENT QUANTITY OF WATER IN RESERVE TO INSURE AN UNINTERRUPTED FLOW FOR NONPOTABLE WATER REQUIREMENTS.</t>
  </si>
  <si>
    <t>STORM WATER TREATMENT STRUCTURE</t>
  </si>
  <si>
    <t>STORMWATER TREATMENT STRUCTURE</t>
  </si>
  <si>
    <t>A STORMWATER CONTROL STRUCTURE THAT USES CHAMBERS, GRADATIONS OR OTHER BUILT IN FEATURE(S) IN COMBINATION WITH FILTER MEDIA TO REMOVE SEDIMENT AND OTHER POLLUTANTS FROM STORMWATER BEFORE ENTERING THE STORMSEWER SYSTEM.  THIS WOULD INCLUDE MANUFACTURED FILTER STRUCTURES.</t>
  </si>
  <si>
    <t>PIPELINE - NONPOTABLE WATER</t>
  </si>
  <si>
    <t>WATER DISTRIBUTION LINE, NON-POTABLE</t>
  </si>
  <si>
    <t>NONPOTABLE WATER DISTRIBUTION SYSTEM</t>
  </si>
  <si>
    <t>THIS CATEGORY CODE INCLUDES ALL PIPES THAT TRANSMIT WATER IN A DEDICATED NONPOTABLE WATER DISTRIBUTION SYSTEM.</t>
  </si>
  <si>
    <t>ROADS</t>
  </si>
  <si>
    <t>ROAD, SURFACED</t>
  </si>
  <si>
    <t>ROADS, BRIDGES, AND TUNNELS</t>
  </si>
  <si>
    <t>ROADS, STREETS, AND BRIDGES ARE GENERALLY PLANNED TO CONFORM TO THE STANDARDS AND PRACTICES OF THE AMERICAN ASSOCIATION OF STATE HIGHWAY OFFICIALS (AASHO), BUREAU OF PUBLIC ROADS (BPR), AND STATE AND LOCAL GOVERNMENTS.</t>
  </si>
  <si>
    <t>ROADS, UNSURFACED</t>
  </si>
  <si>
    <t>ROAD, UNSURFACED</t>
  </si>
  <si>
    <t>VEHICULAR ROADWAYS THAT DO NOT HAVE A PERMANENT/IMPERVIOUS SURFACE SUCH AS ASPHALT OR CONCRETE.</t>
  </si>
  <si>
    <t>LOAD / UNLOAD RAMP</t>
  </si>
  <si>
    <t>LOADING PLATFORM/RAMP</t>
  </si>
  <si>
    <t>A RAMP, USUALLY CONCRETE OR STEEL/IRON THAT IS UTILIZED TO ASSIST IN THE LOADING OF TRUCKS AND RAILCARS.</t>
  </si>
  <si>
    <t>VEHICULAR BRIDGES</t>
  </si>
  <si>
    <t>VEHICLE BRIDGE</t>
  </si>
  <si>
    <t>BRIDGES ARE GENERALLY USED TO CROSS AREAS OF DIFFERING ELEVATIONS.  GENERALLY THEY ARE PLANNED TO CONFORM TO THE STANDARDS AND PRACTICES OF THE AMERICAN ASSOCIATION OF STATE HIGHWAY OFFICIALS (AASHO), BUREAU OF PUBLIC ROADS (BPR), AND STATE AND LOCAL GOVERNMENTS.</t>
  </si>
  <si>
    <t>VEHICLE PARKING, UNSURFACED</t>
  </si>
  <si>
    <t>VEHICLE PARKING AND STAGING AREA, UNSURFACED</t>
  </si>
  <si>
    <t>AN AREA FOR PARKING PRIVATE AND/OR GOVERNMENT OWNED VEHICLES AND EQUIPMENT THAT DO NOT HAVE A PERMANENT/IMPERVIOUS SURFACE SUCH AS ASPHALT OR CONCRETE.</t>
  </si>
  <si>
    <t>VEHICLE STAGING AREA</t>
  </si>
  <si>
    <t>AN AREA, PAVED OR UNPAVED, THAT IS FOR TEMPORARY STORAGE OF VEHICLES PRIOR TO SHIPMENT OR FURTHER DEPLOYMENT.</t>
  </si>
  <si>
    <t>TRAFFIC CONTROL SIGNALS</t>
  </si>
  <si>
    <t>DEVICES USED FOR DIRECTING PEDESTRIAN, VEHICULAR OR RAIL TRAFFIC BY MEANS OF POWER-OPERATED CONTROLS. COSTS INCLUDE SIGNAL DEVICES, NECESSARY SUPPORTS, AND ELECTRIC POWER CABLES AND ARE COUNTED PER INTERSECTION.</t>
  </si>
  <si>
    <t>VEHICULAR TUNNEL</t>
  </si>
  <si>
    <t>TUNNEL</t>
  </si>
  <si>
    <t>VEHICULAR TUNNELS ARE USED FOR SLOPE STABILIZATION AND AUTOMOBILE ACCESS IN AREAS WHERE STEEP SLOPES LIMIT DEVELOPMENT AND REQUIRE INNOVATIVE ACCESS SOLUTIONS. THESE TUNNELS SERVE VEHICULAR TRAFFIC AS WELL AS HOUSING UTILITY RUNS. THIS CATEGORY CODE ALSO APPLIES TO VEHICULAR TUNNELS THAT INCLUDE PEDESTRIAN WALKWAYS.</t>
  </si>
  <si>
    <t>PEDESTRIAN TUNNEL</t>
  </si>
  <si>
    <t>PEDESTRIAN TUNNELS ARE CONSTRUCTED OPENINGS USED EXCLUSIVELY FOR PEDESTRIAN-ONLY TRAFFIC IN AREAS WHERE STEEP SLOPES LIMIT DEVELOPMENT AND REQUIRE INNOVATIVE ACCESS SOLUTIONS. THESE TUNNELS SERVE PEDESTRIAN TRAFFIC AS WELL AS HOUSING UTILITY RUNS.  WHERE PEDESTRIAN TUNNELS ARE INCLUDED WITH VEHICULAR TUNNELS, USE CCN 85125 "VEHICULAR TUNNEL".</t>
  </si>
  <si>
    <t>PARKING AREA</t>
  </si>
  <si>
    <t>VEHICLE PARKING, SURFACED</t>
  </si>
  <si>
    <t>SIDEWALKS AND OTHER PAVEMENTS</t>
  </si>
  <si>
    <t>THE PAVED AND/OR STABILIZED AREA WITHIN AN ORGANIZATIONAL MOTOR POOL AND PARKING LOT,</t>
  </si>
  <si>
    <t>BICYCLE SHELTER</t>
  </si>
  <si>
    <t>A STRUCTURE USED FOR TEMPORARY PARKING OF BICYCLES.</t>
  </si>
  <si>
    <t>SIDEWALK</t>
  </si>
  <si>
    <t>SIDEWALK AND WALKWAY</t>
  </si>
  <si>
    <t>A PATHWAY CONSTRUCTED TO SUPPORT PEDESTRIAN TRAFFIC.  CONSTRUCTION IS OF CONCRETE, ASPHALT, PAVING BLOCKS, GRAVEL, OR THE LIKE.</t>
  </si>
  <si>
    <t>PEDESTRIAN BRIDGES</t>
  </si>
  <si>
    <t>PEDESTRIAN BRIDGE</t>
  </si>
  <si>
    <t>BRIDGES THAT SUPPORT WALKWAY CROSSING OF A RIVER, UNDERPASS, OR SIMILAR GAP.</t>
  </si>
  <si>
    <t>OTHER PAVED AREAS NOT CODED IN THE 100 OR 400 SERIES</t>
  </si>
  <si>
    <t>THIS CODE IS FOR MISCELLANEOUS PAVEMENTS NOT CAPTURED IN OTHER 100 OR 400 SERIES CATEGORY CODES.</t>
  </si>
  <si>
    <t>MISCELLANEOUS OPEN STORAGE OR LAYDOWN AREA - UNPAVED</t>
  </si>
  <si>
    <t>AN UNPAVED LAYDOWN AREA FOR STAGING PRIVATE AND/OR GOVERNMENT OWNED VEHICLES AND EQUIPMENT BUT ARE NOT USED AS PARKING LOTS.  THE SURFACE IS USUALLY GRAVEL.  FOR UNPAVED PARKING LOTS, SEE CCN 85121.</t>
  </si>
  <si>
    <t>MISCELLANEOUS OPEN STORAGE OR LAYDOWN AREA-PAVED</t>
  </si>
  <si>
    <t>THIS CODE IS FOR OPEN STORAGE AREAS OTHER THAN THOSE USED FOR GENERAL SUPPLY OPERATIONS (CATEGORY CODE 451 10). IT INCLUDES PUBLIC WORKS OPEN STORAGE FACILITIES.</t>
  </si>
  <si>
    <t>BUILDING / TRAILER PAD WITH UTILITY CONNECTIONS</t>
  </si>
  <si>
    <t>PAVED SURFACE CONSTRUCTED TO SUPPORT A TEMPORARY FACILITY OR TRAILER. UTILITY CONNECTIONS ARE PART OF THE TRAILER PAD REQUIREMENTS AND ALLOW TEMPORARY FACILITIES (OFTEN CLASS 3 PROPERTY) TO BE EASILY INSTALLED.</t>
  </si>
  <si>
    <t>PARKING BUILDING</t>
  </si>
  <si>
    <t>PARKING GARAGE/BUILDING</t>
  </si>
  <si>
    <t>PARKING STRUCTURES</t>
  </si>
  <si>
    <t>A STRUCTURE OR BUILDING DESIGNED FOR PARKING PRIVATE AND/OR GOVERNMENT OWNED VEHICLES AND EQUIPMENT IN INDIVIDUAL PARKING SPOTS/LOCATIONS. THE FACILITY MAY BE ABOVE GROUND OR UNDERGROUND. THE PARKING BUILDING SHOULD BE JUSTIFIED BY LAND RESTRICTIONS AND ECONOMIC CONSIDERATIONS.</t>
  </si>
  <si>
    <t>RAILROAD TRACKAGE</t>
  </si>
  <si>
    <t>RAILROAD TRACK</t>
  </si>
  <si>
    <t>RAILROAD TRACKS</t>
  </si>
  <si>
    <t>RAIL TRACK TO INCLUDE SPURS, SIDINGS, YARDS, AND TURNOUTS.  TRACK INCLUDES TWO PARALLEL RAILS, CROSSTIES, AND ROADBED.</t>
  </si>
  <si>
    <t>EXPLOSIVE BARRICADE FOR SUSPECT TRUCKS AND RR CARS</t>
  </si>
  <si>
    <t>A CONCRETE AND EARTHEN STRUCTURE PLACED ALONGSIDE A SUSPECT CARGO SITE FOR TRUCKS AND RAILCARS CONTAINING AMMUNITION OR EXPLOSIVES THAT ARE SUSPECTED OF BEING IN A HAZARDOUS CONDITION.</t>
  </si>
  <si>
    <t>RAILROAD BRIDGE AND TRESTLE</t>
  </si>
  <si>
    <t>RAILROAD BRIDGE</t>
  </si>
  <si>
    <t>BRIDGES THAT SUPPORT RAILROAD TRACK CROSSING OF A RIVER, ROAD UNDERPASS, OR SIMILAR GAP.</t>
  </si>
  <si>
    <t>CRANE TRACKAGE</t>
  </si>
  <si>
    <t>TRACKAGE USED IN OPERATIONAL AREAS TO ALLOW CRANE TRAVEL BETWEEN OPERATIONAL FACILITIES OR WATERFRONT AREAS SUCH AS PIERS AND WHARVES.</t>
  </si>
  <si>
    <t>RAILROAD SCALEHOUSE</t>
  </si>
  <si>
    <t>VEHICLE SCALES</t>
  </si>
  <si>
    <t>A RAILROAD SCALEHOUSE IS A FACILITY DESIGNED TO WEIGH RAIL CARGO. TYPICALLY, TRACKS ARE LAID TO ALLOW RAILCARS TO BE PULLED THROUGH THE SCALEHOUSE.</t>
  </si>
  <si>
    <t>STORM SEWER</t>
  </si>
  <si>
    <t>STORM DRAINAGE</t>
  </si>
  <si>
    <t>STORM SEWERS ARE COMPONENTS OF A STORM DRAINAGE SYSTEM THAT COLLECTS THE SURFACE RUNOFF WATER AND CONVEYS IT TO OUTLET POINTS.</t>
  </si>
  <si>
    <t>OIL / WATER SEPARATOR - RUNOFF WATER</t>
  </si>
  <si>
    <t>OIL/WATER SEPARATOR USED FOR SEPARATING PETROLEUM CONTAMINANTS FROM STORMWATER PRIOR TO BEING REINTRODUCED INTO THE NATURAL ENVIRONMENT.</t>
  </si>
  <si>
    <t>STORM WATER PUMPING STATION</t>
  </si>
  <si>
    <t>PUMP STATION FACILITY USED FOR MOVING STORMWATER RUNOFF FROM ONE ELEVATION/LOCATION TO ANOTHER.</t>
  </si>
  <si>
    <t>STORM WATER RETENTION/DETENTION POND</t>
  </si>
  <si>
    <t>STORM WATER PONDS</t>
  </si>
  <si>
    <t>STORM WATER RETENTION AND DETENTION PONDS ARE UTILIZED TO CONTAIN AND CONTROL STORM WATER RUNOFF AT A PREDETERMINED RATE.  RETENTION PONDS, AKA WET PONDS, MAINTAIN A LEVEL OF WATER AT ALL TIMES.  DETENTION PONDS, AKA DRY PONDS, DO NOT MAINTAIN A WATER LEVEL.  THEY ARE DESIGNED TO REMAIN DRY MOST OF THE TIME AND TEMPORARILY FILL WITH RAINWATER DURING A HEAVY RAINFALL.</t>
  </si>
  <si>
    <t>DRAINAGE DITCH</t>
  </si>
  <si>
    <t>DRAINAGE DITCHES SERVE THE SAME PURPOSE AS STORM SEWERS. THEY ARE PREFERABLE TO COVERED STRUCTURES TO MINIMIZE CONSTRUCTION, TO CONSERVE MATERIALS, AND TO FACILITATE MAINTENANCE.</t>
  </si>
  <si>
    <t>GROUNDS DRAINAGE DAM</t>
  </si>
  <si>
    <t>GROUNDS DRAINAGE DAMS</t>
  </si>
  <si>
    <t>A DAM IS A CONSTRUCTED EARTHEN/STEEL/CONCRETE STRUCTURE USED TO PERMANENTLY IMPOUND WATER AND INCLUDES RELATED APPURTENANCES SUCH AS SPILLWAYS, SLUICEWAY, ANY BUILT IN GATES OR SLUICES, CONTROL VALVES.</t>
  </si>
  <si>
    <t>LEVEE AND/OR DIKE</t>
  </si>
  <si>
    <t>LEVEES AND DIKES FOR GROUNDS DRAINAGE</t>
  </si>
  <si>
    <t>A LEVEE IS A TYPE OF DAM THAT RUNS ALONG THE BANKS OF A RIVER OR CANAL. LEVEES REINFORCE THE BANKS AND HELP PREVENT FLOODING.</t>
  </si>
  <si>
    <t>IRRIGATION FACILITY</t>
  </si>
  <si>
    <t>THESE FACILITIES ARE USED TO SUPPLY WATER TO AREAS THAT NEED WATER ABOVE THE AMOUNT OF NATURAL RAINFALL.  THEY CAN CONSIST OF A SERIES OF PUMPS, PIPES AND OTHER ASSOCIATED EQUIPMENT.</t>
  </si>
  <si>
    <t>RETAINING WALL</t>
  </si>
  <si>
    <t>RETAINING STRUCTURE</t>
  </si>
  <si>
    <t>A STRUCTURE CONSTRUCTED TO RESTRICT OR PREVENT THE HORIZONTAL MOVEMENT OF EARTH.</t>
  </si>
  <si>
    <t>DREDGED SPOIL HANDLING FACILITY</t>
  </si>
  <si>
    <t>FACILITY FOR STORAGE OF DREDGE SPOILS PRIOR TO PROCESSING AND REMOVAL.</t>
  </si>
  <si>
    <t>STATION SECURITY AND PERIMETER FENCING AND WALLS</t>
  </si>
  <si>
    <t>BOUNDARY FENCE AND WALL</t>
  </si>
  <si>
    <t>GROUNDS FENCING, GATES, AND GUARD TOWERS</t>
  </si>
  <si>
    <t>SECURITY FENCING AND WALLS DEFINE THE LIMITS OF SECURITY AREAS AND FACILITATE THE EFFECTIVE AND ECONOMICAL USE OF SECURITY PERSONNEL. FENCING IS PLANNED ON THE BASIS OF A STUDY OF THE SECURITY CLASSIFICATION REQUIREMENTS OF THE INSTALLATION.</t>
  </si>
  <si>
    <t>HARDENED SECURITY FENCE</t>
  </si>
  <si>
    <t>SECURITY FENCE</t>
  </si>
  <si>
    <t>A LINEAR STRUCTURE INTENDED TO RESTRICT ACCESS TO A SPECIFIC AREA OR TO RESTRICT AND DIRECT THE FLOW OF TRAFFIC.  THESE STRUCTURES INCLUDE HARDENING OR SPECIAL CHARACTERISTIC BEYOND STANDARD FENCES AND WALLS SUCH AS INTRUSION DETECTION, RAZOR WIRE, OR BARRIER IMPACT/PENETRATION RESISTANCE MEASURES.</t>
  </si>
  <si>
    <t>INTERIOR FENCING (NOT CODED IN 872-10)</t>
  </si>
  <si>
    <t>MISCELLANEOUS FENCING INTERIOR TO AN INSTALLATION PERIMETER FENCE.  THIS CATEGORY CODE IS FOR INVENTORY PURPOSES ONLY.</t>
  </si>
  <si>
    <t>GUARD AND WATCH TOWERS</t>
  </si>
  <si>
    <t>WHERE AUTHORIZED, GUARD OR WATCHTOWERS SHOULD BE CONSTRUCTED AT LOCATIONS THAT WILL PROVIDE THE BEST OBSERVATION OF SECURITY AREAS. LF MEASUREMENT REFERS TO HEIGHT</t>
  </si>
  <si>
    <t>MECHANICAL SECURITY BARRICADE</t>
  </si>
  <si>
    <t>MECHANICALLY OPERATED BARRICADE CONSISTING OF POP-UP BOLLARDS, RISING ROAD PLATES, OR WEDGES DESIGNED TO CONTROL VEHICLULAR OR OTHER TRAFFIC.  UNIT OF MEASURE IS EA AND INCLUDES DEVICES USED FOR A SINGLE TRAFFIC LANE.</t>
  </si>
  <si>
    <t>ENTRY GATE</t>
  </si>
  <si>
    <t>THE FRAME, GATE, OR OTHER APPARATUS THAT ALLOWS OR RESTRICTS VEHICLE AND ANIMAL ENTRANCE ON ACCESS ROADS AND PEDESTRIAN ACCESS THROUGH THE PERIMETER FENCES OR WALLS OF AN INSTALLATION.</t>
  </si>
  <si>
    <t>FIRE ALARM COMMUNICATION LINES</t>
  </si>
  <si>
    <t>FIRE - AND OTHER ALARM SYSTEMS</t>
  </si>
  <si>
    <t>THIS CATEGORY CODE IS USED TO CAPTURE THE FIRE ALARM REPORTING SYSTEM RELATED COMMUNICATION LINES THAT ARE EXTERIOR TO THE BUILDINGS THEY SERVE.  FACILITY FIRE ALARM EQUIPMENT AND RELATED BUILDING INFRASTRUCTURE ARE EITHER RPIE OR PPE AND ARE NOT INCLUDED IN THIS CATEGORY CODE.</t>
  </si>
  <si>
    <t>WATCH REPORTING SYSTEM COMMUNICATION LINES</t>
  </si>
  <si>
    <t>A WATCH REPORTING SYSTEM PROVIDES A METHOD FOR THE AUTOMATIC AND NON-AUTOMATIC DETECTION OF FIRE AND FOR SECURITY PROTECTION (INTRUSION DETECTION SYSTEM) THROUGHOUT DESIGNATED AREAS, BUILDINGS, AND STRUCTURES. THE WATCH REPORTING SYSTEM PROVIDES LOCAL ALARMS AND CENTRAL STATION ALARMS TO BUILDING OCCUPANTS AND TO STATION SECURITY AND FIREFIGHTING PERSONNEL.</t>
  </si>
  <si>
    <t>BASE ALERT SYSTEM COMMUNICATION LINES</t>
  </si>
  <si>
    <t>BASE ALERT SYSTEMS SHALL BE PLANNED FOR ALL NAVY INSTALLATIONS. THE SYSTEM MAY ALERT BASE PERSONNEL TO AIR RAIDS, CHEMICAL/BIOLOGICAL ATTACKS OR ANY OTHER TYPE OF TERRORIST ATTACK. HORNS OF HIGH-POWER TYPE MAY BE USED AS SIGNAL DEVICES.</t>
  </si>
  <si>
    <t>AIR CRASH / ALERT SYSTEM COMMUNICATION LINES</t>
  </si>
  <si>
    <t>ALARM SYSTEM INTENDED TO ALERT IN THE EVENT OF AN AIR CRASH</t>
  </si>
  <si>
    <t>FLOOD CONTROL GATE</t>
  </si>
  <si>
    <t>FLOOD CONTROL STRUCTURES</t>
  </si>
  <si>
    <t>FLOOD CONTROL</t>
  </si>
  <si>
    <t>A FLOODWAY CONTROL AND DIVERSION STRUCTURE TO PROVIDE FOR THE RELEASE OF FLOOD WATERS WHERE DISCHARGES EXCEED THE CAPACITY OF THE STREAM.  THIS FAC INCLUDES DIVERSION DAMS, GATED OR UNGATED DISCHARGE STRUCTURES, TRAINING WALLS, STILLING BASINS, AND THE PUMPING PLANTS TO MOVE ACCUMULATED DRAINAGE AND SEEPAGE WATER AND SEWAGE FROM THE PROTECTED AREA.</t>
  </si>
  <si>
    <t>FLOOD CONTROL LEVEE/FLOODWALL</t>
  </si>
  <si>
    <t>A FACILITY CONSISTING OF EMBANKMENTS AND WALLS TO PROTECT AREAS FROM INUNDATION BY OVERFLOW FROM BODIES OF WATER.  THIS CATCD INCLUDES THE CLOSURE STRUCTURES, SEEPAGE CONTROL MEASURES, EROSION PROTECTING FOR INTEGRAL LEVEES AND BERMS, AND THE PUMPING PLANTS TO MOVE ACCUMULATED DRAINAGE AND SEEPAGE WATER AND SEWAGE FROM THE PROTECTED AREA.</t>
  </si>
  <si>
    <t>MISCELLANEOUS UTILITY BUILDING</t>
  </si>
  <si>
    <t>MISCELLANEOUS-UTILITIES</t>
  </si>
  <si>
    <t>THIS CATEGORY CODE IS USED FOR BUILDINGS ASSOCIATED WITH PUBLIC WORKS UTILITIES SHOPS AND OTHER MISCELLANEOUS UTILITY BUILDINGS. IF A UTILITY BUILDING CANNOT BE CLASSIFIED UNDER ONE OF THE OTHER UTILITY TYPE BUILDINGS, THIS CATEGORY CODE SHOULD BE USED.</t>
  </si>
  <si>
    <t>ACETYLENE DISTRIBUTION SYSTEM</t>
  </si>
  <si>
    <t>INSTALLATION GAS DISTRIBUTION LINE</t>
  </si>
  <si>
    <t>THE DISTRIBUTION SYSTEM FOR ACETYLENE GAS GENERATED BY THE ACETYLENE PLANT IN CCN 89010.</t>
  </si>
  <si>
    <t>NITROGEN PLANT</t>
  </si>
  <si>
    <t>INSTALLATION GAS PRODUCTION PLANT</t>
  </si>
  <si>
    <t xml:space="preserve">NITROGEN IS USED WHERE AN INERT GAS IS REQUIRED.  A NITROGEN PLANT IS REQUIRED FOR THE PROVISION OF LARGE QUANTITIES OF NITROGEN FOR SPECIAL APPLICATIONS. </t>
  </si>
  <si>
    <t>UTILITY VAULT-NON COMMUNICATIONS</t>
  </si>
  <si>
    <t>AN ENCLOSED STRUCTURE GENERALLY MADE OF CONCRETE THAT CONTAINS UTILITY EQUIPMENT, CONNECTIONS AND/OR LINES (NON-COMMUNICATIONS). A UTILITY VAULT IS TYPICALLY AN UNDERGROUND STRUCTURE.  FOR COMMUNICATIONS MAINTENANCE VAULTS, USE CCN 13112.</t>
  </si>
  <si>
    <t>COMPRESSED AIR PLANT</t>
  </si>
  <si>
    <t>COMPRESSED AIR IS USED BY THE NAVY IN NUMEROUS APPLICATIONS, SUCH AS FOR PNEUMATIC TOOLS, LAUNDRY EQUIPMENT, INSTRUMENTATION AND CONTROL EQUIPMENT, AND IN HOSPITALS AND LABORATORIES.</t>
  </si>
  <si>
    <t>COMPRESSED AIR DISTRIBUTION SYSTEM</t>
  </si>
  <si>
    <t>CARBON DIOXIDE PLANT</t>
  </si>
  <si>
    <t>A CARBON DIOXIDE PLANT AT A NAVAL ACTIVITY PROVIDES SPACE FOR THE STORAGE AND TRANSFER OF CARBON DIOXIDE. THE SPACE CONTAINS A STORAGE TANK AND A DISTRIBUTION SYSTEM USED FOR REFILLING CARBON DIOXIDE FIRE EXTINGUISHERS.</t>
  </si>
  <si>
    <t>ICE-MAKING PLANT</t>
  </si>
  <si>
    <t>FACILITY FOR THE CREATION AND DISTRIBUTION OF ICE.</t>
  </si>
  <si>
    <t>INDUSTRIAL OXYGEN PLANT</t>
  </si>
  <si>
    <t>FACILITY USED TO GENERATE OXYGEN (NON-BREATHABLE) FOR INDUSTRIAL USE WHERE IT IS OTHERWISE UNAVAILABLE.</t>
  </si>
  <si>
    <t>OXYGEN DISTRIBUTION SYSTEM</t>
  </si>
  <si>
    <t xml:space="preserve"> PUMPS, PIPES AND LINES ASSOCIATED WITH THE DISTRIBUTION OF INDUSTRIAL OXYGEN PRODUCED BY THE INDUSTRIAL OXYGEN PLANT IN CCN 89030.</t>
  </si>
  <si>
    <t>VALVE HOUSE/UTILITY EQUIPMENT SHED</t>
  </si>
  <si>
    <t>GROUND OPERATIONAL FACILITIES OTHER THAN BUILDINGS</t>
  </si>
  <si>
    <t>THIS CATEGORY CODE IS USED FOR ANY OPEN BUT COVERED STRUCTURE/SHED USED FOR HOUSING VALVES OR OTHER UTILITY EQUIPMENT THAT IS NOT CONTAINED IN ANY OTHER CCN.</t>
  </si>
  <si>
    <t>VALVE HOUSE OR OTHER ENCLOSURE</t>
  </si>
  <si>
    <t>THIS CATEGORY CODE IS USED FOR ANY ENCLOSURE USED FOR HOUSING VALVES OR OTHER UTILITY EQUIPMENT THAT IS NOT CONTAINED IN ANY OTHER CCN.</t>
  </si>
  <si>
    <t>UTILITY TUNNEL-NON COMMUNICATIONS</t>
  </si>
  <si>
    <t>A CONSTRUCTED UNDERGROUND TUNNEL IN WHICH UTILITY SYSTEMS (NON-COMMUNICATIONS) ARE ROUTED. THERE MAY BE MULTIPLE UTILITY SYSTEMS IN A SINGLE TUNNEL NETWORK.  UTILITY TUNNELS ARE OF A LARGE ENOUGH CROSS SECTION TO ALLOW WALK-THROUGH ACCESS.  FOR COMMUNICATIONS MAINTENANCE TUNNELS, USE CCN 13113.</t>
  </si>
  <si>
    <t>ICS COMMUNICATIONS LINES</t>
  </si>
  <si>
    <t>This CCN applies to the communication links portion of an Industrial Control System (ICS).  An ICS manages and moves data to provide real-time operational capability, real time consumption, demand management, energy reduction and maintenance savings opportunities, and increases the reliability and efficiency associated with building and utility systems at shore installations.</t>
  </si>
  <si>
    <t>ICS MONITORING STATION</t>
  </si>
  <si>
    <t>AN ICS MONITORING STATION IS USED TO MONITOR AND CONTROL MECHANICAL SYSTEMS OF FACILITIES AT REMOTE LOCATIONS.</t>
  </si>
  <si>
    <t>WEIGHTING FACILITY</t>
  </si>
  <si>
    <t>VEHICULAR SCALES TYPICALLY USED FOR WEIGHING TRANSPORT TRUCKS AND CONTAINERS AT AN INSTALLATION.</t>
  </si>
  <si>
    <t>STORAGE FOR UTILITY SYSTEMS (READY ISSUE/SHIP STORES/MISC)</t>
  </si>
  <si>
    <t>THIS CATEGORY CODE IS USED FOR INVENTORY PURPOSES ONLY. USE CATEGORY CODE 890 09 FOR MISCELLANEOUS UTILITY BUILDINGS.</t>
  </si>
  <si>
    <t>MONITORING WELLS</t>
  </si>
  <si>
    <t>MONITORING WELL</t>
  </si>
  <si>
    <t>WELLS INSTALLED AROUND A SITE IN ORDER TO DETECT THE DISCHARGE OF ANY LEACHATE. SAMPLES FROM THE WELLS SHOULD BE ANALYZED PRIOR TO THE DISPOSAL OF ANY WASTE IN ORDER TO ESTABLISH BASELINE DATA.  REPORT ALL WELLS ASSOCIATED WITH A SINGLE CONTAMINATION SITE OR SINGLE FUEL MONITORING REQUIREMENT AS ONE ASSET AND RECORD THE QUANTITY OF WELLS PER SITE IN THE ASSOCIATED PROPERTY RECORD.</t>
  </si>
  <si>
    <t>UTILITY CHANNEL-NON COMMUNICATIONS</t>
  </si>
  <si>
    <t>A CONSTRUCTED UNDERGROUND CHANNEL FOR UTILITY DISTRIBUTION SYSTEMS (NON-COMMUNICATIONS) THAT BOTH PROTECTS SYSTEMS, AND PROVIDES RELATIVELY EASY ACCESS FOR THEIR MAINTENANCE. A UTILITY CHANNEL HAS A MUCH SMALLER CROSS-SECTION THAN A UTILITY TUNNEL AND DOES NOT PROVIDE WALK-THROUGH ACCESS. THESE ARE GENERALLY CONCRETE CHANNELS, WITH A SERIES OF GROUND LEVEL CONCRETE ACCESS PANELS THAT CONSTITUTE THE TOP OF THE CHANNEL STRUCTURE.  FOR COMMUNICATIONS MAINTENANCE CHANNELS, USE CCN 13117.</t>
  </si>
  <si>
    <t>LAND - PURCHASE</t>
  </si>
  <si>
    <t>LAND</t>
  </si>
  <si>
    <t>L</t>
  </si>
  <si>
    <t>LAND PURCHASE, CONDEMNATION, DONATION, OR TRANSFER</t>
  </si>
  <si>
    <t>LAND ACQUIRED IN FEE BY PURCHASE IS A NEGOTIATED SALE OF THE PROPERTY FROM PRIVATE OWNERS TO THE FEDERAL GOVERNMENT BY CONVEYANCE OF DEED.</t>
  </si>
  <si>
    <t>LAND - DONATION</t>
  </si>
  <si>
    <t>LAND ACQUIRED IN FEE BY DONATION USUALLY CONSISTS OF A CONVEYANCE OF FEE TITLE BY THE DONOR WITHOUT MONETARY CONSIDERATION.</t>
  </si>
  <si>
    <t>LAND - TRANSFER</t>
  </si>
  <si>
    <t>TRANSFERS OF FEDERAL GOVERNMENT-OWNED LAND AMONG DEPARTMENTS AND AGENCIES OF THE FEDERAL GOVERNMENT</t>
  </si>
  <si>
    <t>LAND - CONDEMNATION</t>
  </si>
  <si>
    <t>LAND IS ACQUIRED BY CONDEMNATION WHERE LAND IS ESSENTIAL FOR A PROJECT WHICH AFFECTS NATIONAL DEFENSE OR SECURITY, AND THE CONSIDERATION FOR PURCHASE CANNOT BE MUTUALLY AGREED UPON BETWEEN THE OWNER AND THE NAVY.</t>
  </si>
  <si>
    <t>LAND - EXCHANGE</t>
  </si>
  <si>
    <t>LAND ACQUIRED BY EXCHANGE IS SIMILAR IN PRINCIPLE TO ACQUISITIONS BY PURCHASE EXCEPT THAT THE CONSIDERATION IS BY LAND VALUE RATHER THAN CASH.</t>
  </si>
  <si>
    <t>LAND - PUBLIC DOMAIN - PERMANENT</t>
  </si>
  <si>
    <t>PUBLIC DOMAIN WITHDRAW</t>
  </si>
  <si>
    <t>FEDERAL GOVERNMENT LAND PERMANENTLY EXCLUDED FROM SOME OR ALL FORMS OF ENTRY, USE, SALE, OR OTHER DISPOSAL UNDER THE PUBLIC LANDS LAWS AS SPECIFIED IN THE PUBLIC LAND ORDER, EXECUTIVE ORDER, OR ACT OF CONGRESS AND  THOSE LANDS THAT ARE RESERVED FOR A  SPECIFIED DEPARTMENT OR AGENCY FOR A SPECIFIC PUBLIC PURPOSE.</t>
  </si>
  <si>
    <t>LAND - SET ASIDE - HAWAII</t>
  </si>
  <si>
    <t>FEDERAL GOVERNMENT LAND RESERVED THROUGH LAND TRUST IN STATE OF HAWAII</t>
  </si>
  <si>
    <t>LAND - PUBLIC DOMAIN - TEMPORARY</t>
  </si>
  <si>
    <t>FEDERAL GOVERNMENT LAND  EXCLUDED FROM SOME OR ALL FORMS OF ENTRY, USE, SALE, OR OTHER DISPOSAL UNDER THE PUBLIC LANDS LAWS AS SPECIFIED IN THE PUBLIC LAND ORDER, EXECUTIVE ORDER, OR ACT OF CONGRESS AND  THOSE LANDS THAT ARE RESERVED FOR A  SPECIFIC PUBLIC PURPOSE FOR A SPECIFIED PERIOD OF TIME.</t>
  </si>
  <si>
    <t>LAND - TEMPORARY USE, LICENSE, PERMIT, OR AGREEMENT</t>
  </si>
  <si>
    <t>LICENSE OR PERMIT</t>
  </si>
  <si>
    <t>THIS LAND IS ACQUIRED FOR TEMPORARY USE UNDER LICENSE OR PERMIT. THE LICENSE OR PERMIT IS A PRIVILEGE, REVOCABLE AT WILL, TO USE THE PROPERTY OF THE LICENSER, FOR A SPECIFIED PURPOSE AND PERIOD OF TIME.</t>
  </si>
  <si>
    <t>LAND - PUBLIC DOMAIN - TEMPORARY PERMIT</t>
  </si>
  <si>
    <t>LAND FROM PUBLIC DOMAIN USED UNDER TEMPORARY PERMIT IS OBTAINED UNDER AGREEMENT BETWEEN THE NAVY DEPARTMENT, AND THE DEPARTMENT OF THE INTERIOR. THE TEMPORARY PERMIT IMPLIES NO USE DETRIMENTAL TO THE LAND SUCH AS CONTAMINATION.</t>
  </si>
  <si>
    <t>LAND - PUBLIC - TEMPORARY OR LONG TERM</t>
  </si>
  <si>
    <t>PUBLIC LAND OF TERRITORIES AND POSSESSIONS</t>
  </si>
  <si>
    <t>THIS CODE IS USED FOR PUBLIC LAND OF U.S. POSSESSIONS ACQUIRED AND USED UNDER LONG-TERM AGREEMENTS OR TEMPORARY AGREEMENTS.</t>
  </si>
  <si>
    <t>LAND - PUBLIC - TEMPORARY PERMIT</t>
  </si>
  <si>
    <t>THIS CODE IS USED TO DESIGNATE PUBLIC LAND OF U.S. POSSESSIONS ASSIGNED TO THE NAVY ON TEMPORARY PERMIT.</t>
  </si>
  <si>
    <t>LAND - AVIATION EASEMENT- BY PURCHASE</t>
  </si>
  <si>
    <t>LAND RIGHTS</t>
  </si>
  <si>
    <t>EASEMENTS</t>
  </si>
  <si>
    <t>AN AVIATION EASEMENT IS PURCHASED TO CONVEY CERTAIN PROPERTY RIGHTS FROM THE PRIVATE OWNER TO THE FEDERAL GOVERNMENT. THIS IS DONE BY CONVEYANCE OF DEED. EASEMENTS ARE ACQUIRED TO INSURE FREE AND UNOBSTRUCTED AIRCRAFT PASSAGE THROUGH THE AIRSPACE. THE EASEMENT PROVIDES THE RIGHT TO LIMIT STRUCTURE HEIGHT AND NATURAL GROWTH.</t>
  </si>
  <si>
    <t>LAND - AVIATION EASEMENT- BY CONDEMNATION</t>
  </si>
  <si>
    <t>THIS CODE VARIES FROM 921 10 ONLY IN THE METHOD OF ACQUISITION. POSSESSION IS OBTAINED BY CONDEMNATION ONLY WHEN THE PURCHASE PRICE CANNOT BE MUTUALLY AGREED UPON BETWEEN THE OWNER AND THE NAVY.</t>
  </si>
  <si>
    <t>LAND - OTHER EASEMENT - BY PURCHASE</t>
  </si>
  <si>
    <t>EASEMENTS OTHER THAN FOR NAVIGATION ARE ACQUIRED BY NEGOTIATED SALE. THESE EASEMENTS PROVIDE RIGHTS-OF-WAY FOR TYPICAL UTILITY LINES AND ACCESS ROADS AS WELL AS MANY OTHER PURPOSES, INCLUDING RESTRICTIONS ON USE.</t>
  </si>
  <si>
    <t>LAND - OTHER EASEMENT - BY CONDEMNATION</t>
  </si>
  <si>
    <t>THIS IS SIMILAR TO 921 30 BUT DIFFERS IN THAT AGREEMENT ON A NEGOTIATED EASEMENT CANNOT BE REACHED, AND THE EASEMENT IS OBTAINED BY CONDEMNATION FOR REASON OF NATIONAL DEFENSE OR SECURITY.</t>
  </si>
  <si>
    <t>LAND - OTHER EASEMENT - BY EXCHANGE</t>
  </si>
  <si>
    <t>THIS IS SIMILAR TO 92130 BUT DIFFERS IN THAT CONSIDERATION IS LAND VALUE RATHER THAN CASH.</t>
  </si>
  <si>
    <t>LAND - IN-LEASE - PRIVATE ENTERPRISE</t>
  </si>
  <si>
    <t>IN-LEASE</t>
  </si>
  <si>
    <t>THIS LAND IS LEASED FROM PRIVATE OWNERS FOR PERIODS UNDER 25 YEARS.</t>
  </si>
  <si>
    <t>LAND - IN-LEASE - STATE AND LOCAL GOVERNMENTS</t>
  </si>
  <si>
    <t>THIS LAND IS LEASED FROM STATE AND LOCAL GOVERNMENTS FOR PERIODS UNDER 25 YEARS.</t>
  </si>
  <si>
    <t>LAND - IN-LEASE - LONG TERM</t>
  </si>
  <si>
    <t>LAND IN-LEASE FOR 25 YEARS OR MORE IS CATEGORIZED AS "LONG-TERM". THE LAND MAY BE LEASED FROM PRIVATE ENTERPRISE, OR STATE OR LOCAL GOVERNMENTS.</t>
  </si>
  <si>
    <t>LAND - FOREIGN, 99-YEAR LEASE</t>
  </si>
  <si>
    <t>FOREIGN RIGHTS</t>
  </si>
  <si>
    <t>LAND - FOREIGN, BASE RIGHTS</t>
  </si>
  <si>
    <t>LAND - FOREIGN RECIPROCAL AID</t>
  </si>
  <si>
    <t>LAND - FOREIGN, RECIPROCAL AID</t>
  </si>
  <si>
    <t>LAND - FOREIGN, OCCUPIED AREA</t>
  </si>
  <si>
    <t>LAND - FOREIGN, IN-LEASE</t>
  </si>
  <si>
    <t>LAND - FOREIGN, MISCELLANEOUS</t>
  </si>
  <si>
    <t>LAND EASEMENT CLEARANCE, PERPETUAL</t>
  </si>
  <si>
    <t>NON-POSSESSORY INTEREST IN LAND FOR COMBATING ENCROACHMENT THAT CAN LIMIT OR RESTRICT MILITARY TRAINING, TESTING, AND OPERATIONS.</t>
  </si>
  <si>
    <t>WATER EASEMENT CLEARANCE, PERPETUAL</t>
  </si>
  <si>
    <t>NON-POSSESSORY INTEREST IN WATERWAYS USED FOR MITIGATING ENCROACHMENT THAT CAN LIMIT OR RESTRICT MILITARY TRAINING, TESTING, AND OPERATIONS.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</si>
</sst>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Aptos Narrow"/>
      <family val="2"/>
      <scheme val="minor"/>
    </font>
    <font>
      <sz val="8"/>
      <name val="Aptos Narrow"/>
      <family val="2"/>
      <scheme val="minor"/>
    </font>
  </fonts>
  <fills count="4">
    <fill>
      <patternFill patternType="none"/>
    </fill>
    <fill>
      <patternFill patternType="gray125"/>
    </fill>
    <fill>
      <patternFill patternType="solid">
        <fgColor theme="5" tint="0.59999389629810485"/>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10">
    <xf numFmtId="0" fontId="0" fillId="0" borderId="0" xfId="0"/>
    <xf numFmtId="16" fontId="0" fillId="0" borderId="0" xfId="0" applyNumberFormat="1"/>
    <xf numFmtId="0" fontId="0" fillId="0" borderId="0" xfId="0" applyAlignment="1">
      <alignment wrapText="1"/>
    </xf>
    <xf numFmtId="0" fontId="0" fillId="0" borderId="0" xfId="0" applyAlignment="1">
      <alignment horizontal="left" vertical="center"/>
    </xf>
    <xf numFmtId="0" fontId="0" fillId="2" borderId="0" xfId="0" applyFill="1" applyAlignment="1">
      <alignment horizontal="left" vertical="center"/>
    </xf>
    <xf numFmtId="0" fontId="0" fillId="0" borderId="0" xfId="0" applyNumberFormat="1"/>
    <xf numFmtId="0" fontId="0" fillId="3" borderId="0" xfId="0" applyFill="1"/>
    <xf numFmtId="0" fontId="0" fillId="3" borderId="0" xfId="0" applyNumberFormat="1" applyFill="1"/>
    <xf numFmtId="3" fontId="0" fillId="0" borderId="0" xfId="0" applyNumberFormat="1"/>
    <xf numFmtId="3" fontId="0" fillId="3" borderId="0" xfId="0" applyNumberForma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3.xml"/><Relationship Id="rId5" Type="http://schemas.openxmlformats.org/officeDocument/2006/relationships/styles" Target="styles.xml"/><Relationship Id="rId10" Type="http://schemas.openxmlformats.org/officeDocument/2006/relationships/customXml" Target="../customXml/item2.xml"/><Relationship Id="rId4" Type="http://schemas.openxmlformats.org/officeDocument/2006/relationships/theme" Target="theme/theme1.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3AEF60-B8C1-4AAF-9DE3-DD6B94C1D7CA}">
  <dimension ref="A1:M95"/>
  <sheetViews>
    <sheetView tabSelected="1" zoomScale="70" zoomScaleNormal="70" workbookViewId="0">
      <selection activeCell="M21" sqref="M21"/>
    </sheetView>
  </sheetViews>
  <sheetFormatPr defaultRowHeight="15"/>
  <cols>
    <col min="1" max="2" width="9.140625" style="3"/>
    <col min="3" max="3" width="14.42578125" style="3" customWidth="1"/>
    <col min="4" max="4" width="9.140625" style="3"/>
    <col min="5" max="5" width="32" style="3" customWidth="1"/>
    <col min="6" max="7" width="9" style="3" customWidth="1"/>
    <col min="8" max="8" width="12" style="3" bestFit="1" customWidth="1"/>
    <col min="9" max="9" width="9.140625" style="3"/>
    <col min="10" max="10" width="38.7109375" style="3" customWidth="1"/>
    <col min="11" max="11" width="11.140625" style="3" customWidth="1"/>
    <col min="12" max="12" width="9.140625" style="3"/>
  </cols>
  <sheetData>
    <row r="1" spans="1:12">
      <c r="A1" s="3" t="s">
        <v>0</v>
      </c>
      <c r="B1" s="3" t="s">
        <v>1</v>
      </c>
      <c r="C1" s="3" t="s">
        <v>2</v>
      </c>
      <c r="D1" s="3" t="s">
        <v>3</v>
      </c>
      <c r="E1" s="4" t="s">
        <v>4</v>
      </c>
      <c r="F1" s="4" t="s">
        <v>5</v>
      </c>
      <c r="G1" s="4" t="s">
        <v>4</v>
      </c>
      <c r="H1" s="3" t="s">
        <v>6</v>
      </c>
      <c r="I1" s="3" t="s">
        <v>7</v>
      </c>
      <c r="J1" s="4" t="s">
        <v>8</v>
      </c>
      <c r="K1" s="4" t="s">
        <v>9</v>
      </c>
      <c r="L1" s="3" t="s">
        <v>10</v>
      </c>
    </row>
    <row r="2" spans="1:12">
      <c r="A2" s="3">
        <v>613</v>
      </c>
      <c r="B2" t="s">
        <v>11</v>
      </c>
      <c r="C2">
        <v>201</v>
      </c>
      <c r="D2" s="3" t="s">
        <v>12</v>
      </c>
      <c r="E2" s="3" t="str" cm="1">
        <f t="array" ref="E2:E95">IFERROR(INDEX('UIC JPN'!$B$2:$B$734,MATCH(Utilization!$D$2:$D$95,'UIC JPN'!$A$2:$A$734,0)),"")</f>
        <v>HQTRS CO CLR 37 3D MLG</v>
      </c>
      <c r="G2" s="3" t="str" cm="1">
        <f t="array" ref="G2:G95">IFERROR(INDEX('UIC JPN'!$B$2:$B$734,MATCH(Utilization!$F$2:$F$95,'UIC JPN'!$A$2:$A$734,0)),"")</f>
        <v/>
      </c>
      <c r="H2" s="3" t="s">
        <v>13</v>
      </c>
      <c r="I2" s="3">
        <v>21451</v>
      </c>
      <c r="J2" s="3" t="str" cm="1">
        <f t="array" ref="J2:J95">IFERROR(INDEX(CATEGORY_CODE!B2:B1102,MATCH(Utilization!$I$2:$I$95,CATEGORY_CODE!$A$2:$A$1102,0)),"")</f>
        <v>AUTOMOTIVE ORGANIZATIONAL SHOP</v>
      </c>
      <c r="K2" s="5">
        <v>415</v>
      </c>
      <c r="L2" t="s">
        <v>14</v>
      </c>
    </row>
    <row r="3" spans="1:12">
      <c r="A3" s="3">
        <v>613</v>
      </c>
      <c r="B3" t="s">
        <v>11</v>
      </c>
      <c r="C3">
        <v>102</v>
      </c>
      <c r="D3" s="3" t="s">
        <v>12</v>
      </c>
      <c r="E3" s="3" t="str">
        <v>HQTRS CO CLR 37 3D MLG</v>
      </c>
      <c r="G3" s="3" t="str">
        <v/>
      </c>
      <c r="H3" s="3" t="s">
        <v>13</v>
      </c>
      <c r="I3" s="3">
        <v>21451</v>
      </c>
      <c r="J3" s="3" t="str">
        <v>AUTOMOTIVE ORGANIZATIONAL SHOP</v>
      </c>
      <c r="K3" s="5">
        <v>355</v>
      </c>
      <c r="L3" t="s">
        <v>15</v>
      </c>
    </row>
    <row r="4" spans="1:12">
      <c r="A4" s="3">
        <v>613</v>
      </c>
      <c r="B4" t="s">
        <v>16</v>
      </c>
      <c r="C4">
        <v>103</v>
      </c>
      <c r="D4" s="3" t="s">
        <v>12</v>
      </c>
      <c r="E4" s="3" t="str">
        <v>HQTRS CO CLR 37 3D MLG</v>
      </c>
      <c r="G4" s="3" t="str">
        <v/>
      </c>
      <c r="H4" s="3" t="s">
        <v>13</v>
      </c>
      <c r="I4" s="3">
        <v>21451</v>
      </c>
      <c r="J4" s="3" t="str">
        <v>AUTOMOTIVE ORGANIZATIONAL SHOP</v>
      </c>
      <c r="K4" s="5">
        <v>144</v>
      </c>
      <c r="L4" t="s">
        <v>17</v>
      </c>
    </row>
    <row r="5" spans="1:12">
      <c r="A5" s="3">
        <v>613</v>
      </c>
      <c r="B5" t="s">
        <v>18</v>
      </c>
      <c r="C5">
        <v>106</v>
      </c>
      <c r="D5" s="3" t="s">
        <v>12</v>
      </c>
      <c r="E5" s="3" t="str">
        <v>HQTRS CO CLR 37 3D MLG</v>
      </c>
      <c r="G5" s="3" t="str">
        <v/>
      </c>
      <c r="H5" s="3" t="s">
        <v>13</v>
      </c>
      <c r="I5" s="3">
        <v>21451</v>
      </c>
      <c r="J5" s="3" t="str">
        <v>AUTOMOTIVE ORGANIZATIONAL SHOP</v>
      </c>
      <c r="K5" s="5">
        <v>232</v>
      </c>
      <c r="L5" t="s">
        <v>19</v>
      </c>
    </row>
    <row r="6" spans="1:12">
      <c r="A6" s="3">
        <v>613</v>
      </c>
      <c r="B6" t="s">
        <v>20</v>
      </c>
      <c r="C6">
        <v>108</v>
      </c>
      <c r="D6" s="3" t="s">
        <v>12</v>
      </c>
      <c r="E6" s="3" t="str">
        <v>HQTRS CO CLR 37 3D MLG</v>
      </c>
      <c r="G6" s="3" t="str">
        <v/>
      </c>
      <c r="H6" s="3" t="s">
        <v>13</v>
      </c>
      <c r="I6" s="3">
        <v>21451</v>
      </c>
      <c r="J6" s="3" t="str">
        <v>AUTOMOTIVE ORGANIZATIONAL SHOP</v>
      </c>
      <c r="K6" s="5">
        <v>260</v>
      </c>
      <c r="L6" t="s">
        <v>21</v>
      </c>
    </row>
    <row r="7" spans="1:12">
      <c r="A7" s="3">
        <v>613</v>
      </c>
      <c r="B7" t="s">
        <v>18</v>
      </c>
      <c r="C7">
        <v>107</v>
      </c>
      <c r="D7" s="3" t="s">
        <v>12</v>
      </c>
      <c r="E7" s="3" t="str">
        <v>HQTRS CO CLR 37 3D MLG</v>
      </c>
      <c r="G7" s="3" t="str">
        <v/>
      </c>
      <c r="H7" s="3" t="s">
        <v>13</v>
      </c>
      <c r="I7" s="3">
        <v>21451</v>
      </c>
      <c r="J7" s="3" t="str">
        <v>AUTOMOTIVE ORGANIZATIONAL SHOP</v>
      </c>
      <c r="K7" s="5">
        <v>240</v>
      </c>
      <c r="L7" t="s">
        <v>22</v>
      </c>
    </row>
    <row r="8" spans="1:12">
      <c r="A8" s="3">
        <v>613</v>
      </c>
      <c r="B8" s="6" t="s">
        <v>23</v>
      </c>
      <c r="C8">
        <v>104</v>
      </c>
      <c r="E8" s="3" t="str">
        <v/>
      </c>
      <c r="G8" s="3" t="str">
        <v/>
      </c>
      <c r="H8" s="3" t="s">
        <v>13</v>
      </c>
      <c r="I8" s="3">
        <v>21451</v>
      </c>
      <c r="J8" s="3" t="str">
        <v>AUTOMOTIVE ORGANIZATIONAL SHOP</v>
      </c>
      <c r="K8" s="7">
        <v>210</v>
      </c>
      <c r="L8" t="s">
        <v>24</v>
      </c>
    </row>
    <row r="9" spans="1:12">
      <c r="A9" s="3">
        <v>613</v>
      </c>
      <c r="B9" s="6" t="s">
        <v>25</v>
      </c>
      <c r="C9">
        <v>100</v>
      </c>
      <c r="D9" s="3" t="s">
        <v>12</v>
      </c>
      <c r="E9" s="3" t="str">
        <v>HQTRS CO CLR 37 3D MLG</v>
      </c>
      <c r="G9" s="3" t="str">
        <v/>
      </c>
      <c r="H9" s="3" t="s">
        <v>13</v>
      </c>
      <c r="I9" s="3">
        <v>21451</v>
      </c>
      <c r="J9" s="3" t="str">
        <v>AUTOMOTIVE ORGANIZATIONAL SHOP</v>
      </c>
      <c r="K9" s="7">
        <v>29</v>
      </c>
      <c r="L9" t="s">
        <v>26</v>
      </c>
    </row>
    <row r="10" spans="1:12">
      <c r="A10" s="3">
        <v>613</v>
      </c>
      <c r="B10" t="s">
        <v>18</v>
      </c>
      <c r="C10">
        <v>109</v>
      </c>
      <c r="D10" s="3" t="s">
        <v>12</v>
      </c>
      <c r="E10" s="3" t="str">
        <v>HQTRS CO CLR 37 3D MLG</v>
      </c>
      <c r="G10" s="3" t="str">
        <v/>
      </c>
      <c r="H10" s="3" t="s">
        <v>13</v>
      </c>
      <c r="I10" s="3">
        <v>21451</v>
      </c>
      <c r="J10" s="3" t="str">
        <v>AUTOMOTIVE ORGANIZATIONAL SHOP</v>
      </c>
      <c r="K10" s="5">
        <v>357</v>
      </c>
      <c r="L10" t="s">
        <v>27</v>
      </c>
    </row>
    <row r="11" spans="1:12">
      <c r="A11" s="3">
        <v>613</v>
      </c>
      <c r="B11" s="6" t="s">
        <v>23</v>
      </c>
      <c r="C11">
        <v>112</v>
      </c>
      <c r="E11" s="3" t="str">
        <v/>
      </c>
      <c r="G11" s="3" t="str">
        <v/>
      </c>
      <c r="H11" s="3" t="s">
        <v>13</v>
      </c>
      <c r="I11" s="3">
        <v>21451</v>
      </c>
      <c r="J11" s="3" t="str">
        <v>AUTOMOTIVE ORGANIZATIONAL SHOP</v>
      </c>
      <c r="K11" s="7">
        <v>159</v>
      </c>
      <c r="L11" t="s">
        <v>28</v>
      </c>
    </row>
    <row r="12" spans="1:12">
      <c r="A12" s="3">
        <v>613</v>
      </c>
      <c r="B12" t="s">
        <v>11</v>
      </c>
      <c r="C12">
        <v>110</v>
      </c>
      <c r="D12" s="3" t="s">
        <v>12</v>
      </c>
      <c r="E12" s="3" t="str">
        <v>HQTRS CO CLR 37 3D MLG</v>
      </c>
      <c r="G12" s="3" t="str">
        <v/>
      </c>
      <c r="H12" s="3" t="s">
        <v>13</v>
      </c>
      <c r="I12" s="3">
        <v>21451</v>
      </c>
      <c r="J12" s="3" t="str">
        <v>AUTOMOTIVE ORGANIZATIONAL SHOP</v>
      </c>
      <c r="K12" s="5">
        <v>1837</v>
      </c>
      <c r="L12" t="s">
        <v>29</v>
      </c>
    </row>
    <row r="13" spans="1:12">
      <c r="A13" s="3">
        <v>613</v>
      </c>
      <c r="B13" t="s">
        <v>30</v>
      </c>
      <c r="C13">
        <v>111</v>
      </c>
      <c r="D13" s="3" t="s">
        <v>12</v>
      </c>
      <c r="E13" s="3" t="str">
        <v>HQTRS CO CLR 37 3D MLG</v>
      </c>
      <c r="G13" s="3" t="str">
        <v/>
      </c>
      <c r="H13" s="3" t="s">
        <v>13</v>
      </c>
      <c r="I13" s="3">
        <v>21451</v>
      </c>
      <c r="J13" s="3" t="str">
        <v>AUTOMOTIVE ORGANIZATIONAL SHOP</v>
      </c>
      <c r="K13" s="5">
        <v>456</v>
      </c>
      <c r="L13" t="s">
        <v>31</v>
      </c>
    </row>
    <row r="14" spans="1:12">
      <c r="A14" s="3">
        <v>613</v>
      </c>
      <c r="B14" s="6" t="s">
        <v>32</v>
      </c>
      <c r="C14">
        <v>105</v>
      </c>
      <c r="E14" s="3" t="str">
        <v/>
      </c>
      <c r="G14" s="3" t="str">
        <v/>
      </c>
      <c r="H14" s="3" t="s">
        <v>13</v>
      </c>
      <c r="I14" s="3">
        <v>21451</v>
      </c>
      <c r="J14" s="3" t="str">
        <v>AUTOMOTIVE ORGANIZATIONAL SHOP</v>
      </c>
      <c r="K14" s="7">
        <v>168</v>
      </c>
      <c r="L14" t="s">
        <v>33</v>
      </c>
    </row>
    <row r="15" spans="1:12">
      <c r="A15" s="3">
        <v>613</v>
      </c>
      <c r="B15" t="s">
        <v>34</v>
      </c>
      <c r="C15" t="s">
        <v>35</v>
      </c>
      <c r="D15" s="3" t="s">
        <v>12</v>
      </c>
      <c r="E15" s="3" t="str">
        <v>HQTRS CO CLR 37 3D MLG</v>
      </c>
      <c r="G15" s="3" t="str">
        <v/>
      </c>
      <c r="H15" s="3" t="s">
        <v>13</v>
      </c>
      <c r="I15" s="3">
        <v>21451</v>
      </c>
      <c r="J15" s="3" t="str">
        <v>AUTOMOTIVE ORGANIZATIONAL SHOP</v>
      </c>
      <c r="K15" s="5">
        <v>5893</v>
      </c>
      <c r="L15" t="s">
        <v>36</v>
      </c>
    </row>
    <row r="16" spans="1:12">
      <c r="A16" s="3">
        <v>613</v>
      </c>
      <c r="B16" t="s">
        <v>34</v>
      </c>
      <c r="C16">
        <v>101</v>
      </c>
      <c r="D16" s="3" t="s">
        <v>37</v>
      </c>
      <c r="E16" s="3" t="str">
        <v>MEF SPT BN MIG III MEF (R/U)</v>
      </c>
      <c r="G16" s="3" t="str">
        <v/>
      </c>
      <c r="H16" s="3" t="s">
        <v>13</v>
      </c>
      <c r="I16" s="3">
        <v>21451</v>
      </c>
      <c r="J16" s="3" t="str">
        <v>AUTOMOTIVE ORGANIZATIONAL SHOP</v>
      </c>
      <c r="K16" s="5">
        <v>4813</v>
      </c>
      <c r="L16" t="s">
        <v>38</v>
      </c>
    </row>
    <row r="17" spans="1:13">
      <c r="A17" s="3">
        <v>613</v>
      </c>
      <c r="B17" s="6" t="s">
        <v>39</v>
      </c>
      <c r="C17">
        <v>113</v>
      </c>
      <c r="E17" s="3" t="str">
        <v/>
      </c>
      <c r="G17" s="3" t="str">
        <v/>
      </c>
      <c r="H17" s="3" t="s">
        <v>13</v>
      </c>
      <c r="I17" s="3">
        <v>21451</v>
      </c>
      <c r="J17" s="3" t="str">
        <v>AUTOMOTIVE ORGANIZATIONAL SHOP</v>
      </c>
      <c r="K17" s="7">
        <v>428</v>
      </c>
      <c r="L17" t="s">
        <v>40</v>
      </c>
    </row>
    <row r="18" spans="1:13">
      <c r="C18"/>
      <c r="E18" s="3" t="str">
        <v/>
      </c>
      <c r="G18" s="3" t="str">
        <v/>
      </c>
      <c r="J18" s="3" t="str">
        <v/>
      </c>
      <c r="K18" t="str">
        <f t="shared" ref="K18:K45" si="0">SUBSTITUTE(L18,"SF","")</f>
        <v/>
      </c>
      <c r="L18"/>
    </row>
    <row r="19" spans="1:13">
      <c r="C19"/>
      <c r="E19" s="3" t="str">
        <v/>
      </c>
      <c r="G19" s="3" t="str">
        <v/>
      </c>
      <c r="J19" s="3" t="str">
        <v/>
      </c>
      <c r="K19" t="str">
        <f t="shared" si="0"/>
        <v/>
      </c>
      <c r="L19"/>
    </row>
    <row r="20" spans="1:13">
      <c r="C20"/>
      <c r="E20" s="3" t="str">
        <v/>
      </c>
      <c r="G20" s="3" t="str">
        <v/>
      </c>
      <c r="J20" s="3" t="str">
        <v/>
      </c>
      <c r="K20" s="8">
        <f>SUM(K2:K17)</f>
        <v>15996</v>
      </c>
      <c r="L20" s="8"/>
      <c r="M20" s="9">
        <f>SUM(K8+K9+K11+K14+K17)</f>
        <v>994</v>
      </c>
    </row>
    <row r="21" spans="1:13">
      <c r="C21"/>
      <c r="E21" s="3" t="str">
        <v/>
      </c>
      <c r="G21" s="3" t="str">
        <v/>
      </c>
      <c r="J21" s="3" t="str">
        <v/>
      </c>
      <c r="K21" t="str">
        <f t="shared" si="0"/>
        <v/>
      </c>
      <c r="L21"/>
    </row>
    <row r="22" spans="1:13">
      <c r="C22"/>
      <c r="E22" s="3" t="str">
        <v/>
      </c>
      <c r="G22" s="3" t="str">
        <v/>
      </c>
      <c r="J22" s="3" t="str">
        <v/>
      </c>
      <c r="K22" t="str">
        <f t="shared" si="0"/>
        <v/>
      </c>
      <c r="L22"/>
    </row>
    <row r="23" spans="1:13">
      <c r="C23"/>
      <c r="E23" s="3" t="str">
        <v/>
      </c>
      <c r="G23" s="3" t="str">
        <v/>
      </c>
      <c r="J23" s="3" t="str">
        <v/>
      </c>
      <c r="K23" t="str">
        <f t="shared" si="0"/>
        <v/>
      </c>
      <c r="L23"/>
    </row>
    <row r="24" spans="1:13">
      <c r="C24"/>
      <c r="E24" s="3" t="str">
        <v/>
      </c>
      <c r="G24" s="3" t="str">
        <v/>
      </c>
      <c r="J24" s="3" t="str">
        <v/>
      </c>
      <c r="K24" t="str">
        <f t="shared" si="0"/>
        <v/>
      </c>
      <c r="L24"/>
    </row>
    <row r="25" spans="1:13">
      <c r="C25"/>
      <c r="E25" s="3" t="str">
        <v/>
      </c>
      <c r="G25" s="3" t="str">
        <v/>
      </c>
      <c r="J25" s="3" t="str">
        <v/>
      </c>
      <c r="K25" t="str">
        <f t="shared" si="0"/>
        <v/>
      </c>
      <c r="L25"/>
    </row>
    <row r="26" spans="1:13">
      <c r="E26" s="3" t="str">
        <v/>
      </c>
      <c r="G26" s="3" t="str">
        <v/>
      </c>
      <c r="J26" s="3" t="str">
        <v/>
      </c>
      <c r="K26" t="str">
        <f t="shared" si="0"/>
        <v/>
      </c>
      <c r="L26"/>
    </row>
    <row r="27" spans="1:13">
      <c r="E27" s="3" t="str">
        <v/>
      </c>
      <c r="G27" s="3" t="str">
        <v/>
      </c>
      <c r="J27" s="3" t="str">
        <v/>
      </c>
      <c r="K27" t="str">
        <f t="shared" si="0"/>
        <v/>
      </c>
    </row>
    <row r="28" spans="1:13">
      <c r="E28" s="3" t="str">
        <v/>
      </c>
      <c r="G28" s="3" t="str">
        <v/>
      </c>
      <c r="J28" s="3" t="str">
        <v/>
      </c>
      <c r="K28" t="str">
        <f t="shared" si="0"/>
        <v/>
      </c>
    </row>
    <row r="29" spans="1:13">
      <c r="E29" s="3" t="str">
        <v/>
      </c>
      <c r="G29" s="3" t="str">
        <v/>
      </c>
      <c r="J29" s="3" t="str">
        <v/>
      </c>
      <c r="K29" t="str">
        <f t="shared" si="0"/>
        <v/>
      </c>
    </row>
    <row r="30" spans="1:13">
      <c r="E30" s="3" t="str">
        <v/>
      </c>
      <c r="G30" s="3" t="str">
        <v/>
      </c>
      <c r="J30" s="3" t="str">
        <v/>
      </c>
      <c r="K30" t="str">
        <f t="shared" si="0"/>
        <v/>
      </c>
    </row>
    <row r="31" spans="1:13">
      <c r="E31" s="3" t="str">
        <v/>
      </c>
      <c r="G31" s="3" t="str">
        <v/>
      </c>
      <c r="J31" s="3" t="str">
        <v/>
      </c>
      <c r="K31" t="str">
        <f t="shared" si="0"/>
        <v/>
      </c>
    </row>
    <row r="32" spans="1:13">
      <c r="E32" s="3" t="str">
        <v/>
      </c>
      <c r="G32" s="3" t="str">
        <v/>
      </c>
      <c r="J32" s="3" t="str">
        <v/>
      </c>
      <c r="K32" t="str">
        <f t="shared" si="0"/>
        <v/>
      </c>
    </row>
    <row r="33" spans="5:11">
      <c r="E33" s="3" t="str">
        <v/>
      </c>
      <c r="G33" s="3" t="str">
        <v/>
      </c>
      <c r="J33" s="3" t="str">
        <v/>
      </c>
      <c r="K33" t="str">
        <f t="shared" si="0"/>
        <v/>
      </c>
    </row>
    <row r="34" spans="5:11">
      <c r="E34" s="3" t="str">
        <v/>
      </c>
      <c r="G34" s="3" t="str">
        <v/>
      </c>
      <c r="J34" s="3" t="str">
        <v/>
      </c>
      <c r="K34" t="str">
        <f t="shared" si="0"/>
        <v/>
      </c>
    </row>
    <row r="35" spans="5:11">
      <c r="E35" s="3" t="str">
        <v/>
      </c>
      <c r="G35" s="3" t="str">
        <v/>
      </c>
      <c r="J35" s="3" t="str">
        <v/>
      </c>
      <c r="K35" t="str">
        <f t="shared" si="0"/>
        <v/>
      </c>
    </row>
    <row r="36" spans="5:11">
      <c r="E36" s="3" t="str">
        <v/>
      </c>
      <c r="G36" s="3" t="str">
        <v/>
      </c>
      <c r="J36" s="3" t="str">
        <v/>
      </c>
      <c r="K36" t="str">
        <f t="shared" si="0"/>
        <v/>
      </c>
    </row>
    <row r="37" spans="5:11">
      <c r="E37" s="3" t="str">
        <v/>
      </c>
      <c r="G37" s="3" t="str">
        <v/>
      </c>
      <c r="J37" s="3" t="str">
        <v/>
      </c>
      <c r="K37" t="str">
        <f t="shared" si="0"/>
        <v/>
      </c>
    </row>
    <row r="38" spans="5:11">
      <c r="E38" s="3" t="str">
        <v/>
      </c>
      <c r="G38" s="3" t="str">
        <v/>
      </c>
      <c r="J38" s="3" t="str">
        <v/>
      </c>
      <c r="K38" t="str">
        <f t="shared" si="0"/>
        <v/>
      </c>
    </row>
    <row r="39" spans="5:11">
      <c r="E39" s="3" t="str">
        <v/>
      </c>
      <c r="G39" s="3" t="str">
        <v/>
      </c>
      <c r="J39" s="3" t="str">
        <v/>
      </c>
      <c r="K39" t="str">
        <f t="shared" si="0"/>
        <v/>
      </c>
    </row>
    <row r="40" spans="5:11">
      <c r="E40" s="3" t="str">
        <v/>
      </c>
      <c r="G40" s="3" t="str">
        <v/>
      </c>
      <c r="J40" s="3" t="str">
        <v/>
      </c>
      <c r="K40" t="str">
        <f t="shared" si="0"/>
        <v/>
      </c>
    </row>
    <row r="41" spans="5:11">
      <c r="E41" s="3" t="str">
        <v/>
      </c>
      <c r="G41" s="3" t="str">
        <v/>
      </c>
      <c r="J41" s="3" t="str">
        <v/>
      </c>
      <c r="K41" t="str">
        <f t="shared" si="0"/>
        <v/>
      </c>
    </row>
    <row r="42" spans="5:11">
      <c r="E42" s="3" t="str">
        <v/>
      </c>
      <c r="G42" s="3" t="str">
        <v/>
      </c>
      <c r="J42" s="3" t="str">
        <v/>
      </c>
      <c r="K42" t="str">
        <f t="shared" si="0"/>
        <v/>
      </c>
    </row>
    <row r="43" spans="5:11">
      <c r="E43" s="3" t="str">
        <v/>
      </c>
      <c r="G43" s="3" t="str">
        <v/>
      </c>
      <c r="J43" s="3" t="str">
        <v/>
      </c>
      <c r="K43" t="str">
        <f t="shared" si="0"/>
        <v/>
      </c>
    </row>
    <row r="44" spans="5:11">
      <c r="E44" s="3" t="str">
        <v/>
      </c>
      <c r="G44" s="3" t="str">
        <v/>
      </c>
      <c r="J44" s="3" t="str">
        <v/>
      </c>
      <c r="K44" t="str">
        <f t="shared" si="0"/>
        <v/>
      </c>
    </row>
    <row r="45" spans="5:11">
      <c r="E45" s="3" t="str">
        <v/>
      </c>
      <c r="G45" s="3" t="str">
        <v/>
      </c>
      <c r="J45" s="3" t="str">
        <v/>
      </c>
      <c r="K45" t="str">
        <f t="shared" si="0"/>
        <v/>
      </c>
    </row>
    <row r="46" spans="5:11">
      <c r="E46" s="3" t="str">
        <v/>
      </c>
      <c r="G46" s="3" t="str">
        <v/>
      </c>
      <c r="J46" s="3" t="str">
        <v/>
      </c>
    </row>
    <row r="47" spans="5:11">
      <c r="E47" s="3" t="str">
        <v/>
      </c>
      <c r="G47" s="3" t="str">
        <v/>
      </c>
      <c r="J47" s="3" t="str">
        <v/>
      </c>
    </row>
    <row r="48" spans="5:11">
      <c r="E48" s="3" t="str">
        <v/>
      </c>
      <c r="G48" s="3" t="str">
        <v/>
      </c>
      <c r="J48" s="3" t="str">
        <v/>
      </c>
    </row>
    <row r="49" spans="5:10">
      <c r="E49" s="3" t="str">
        <v/>
      </c>
      <c r="G49" s="3" t="str">
        <v/>
      </c>
      <c r="J49" s="3" t="str">
        <v/>
      </c>
    </row>
    <row r="50" spans="5:10">
      <c r="E50" s="3" t="str">
        <v/>
      </c>
      <c r="G50" s="3" t="str">
        <v/>
      </c>
      <c r="J50" s="3" t="str">
        <v/>
      </c>
    </row>
    <row r="51" spans="5:10">
      <c r="E51" s="3" t="str">
        <v/>
      </c>
      <c r="G51" s="3" t="str">
        <v/>
      </c>
      <c r="J51" s="3" t="str">
        <v/>
      </c>
    </row>
    <row r="52" spans="5:10">
      <c r="E52" s="3" t="str">
        <v/>
      </c>
      <c r="G52" s="3" t="str">
        <v/>
      </c>
      <c r="J52" s="3" t="str">
        <v/>
      </c>
    </row>
    <row r="53" spans="5:10">
      <c r="E53" s="3" t="str">
        <v/>
      </c>
      <c r="G53" s="3" t="str">
        <v/>
      </c>
      <c r="J53" s="3" t="str">
        <v/>
      </c>
    </row>
    <row r="54" spans="5:10">
      <c r="E54" s="3" t="str">
        <v/>
      </c>
      <c r="G54" s="3" t="str">
        <v/>
      </c>
      <c r="J54" s="3" t="str">
        <v/>
      </c>
    </row>
    <row r="55" spans="5:10">
      <c r="E55" s="3" t="str">
        <v/>
      </c>
      <c r="G55" s="3" t="str">
        <v/>
      </c>
      <c r="J55" s="3" t="str">
        <v/>
      </c>
    </row>
    <row r="56" spans="5:10">
      <c r="E56" s="3" t="str">
        <v/>
      </c>
      <c r="G56" s="3" t="str">
        <v/>
      </c>
      <c r="J56" s="3" t="str">
        <v/>
      </c>
    </row>
    <row r="57" spans="5:10">
      <c r="E57" s="3" t="str">
        <v/>
      </c>
      <c r="G57" s="3" t="str">
        <v/>
      </c>
      <c r="J57" s="3" t="str">
        <v/>
      </c>
    </row>
    <row r="58" spans="5:10">
      <c r="E58" s="3" t="str">
        <v/>
      </c>
      <c r="G58" s="3" t="str">
        <v/>
      </c>
      <c r="J58" s="3" t="str">
        <v/>
      </c>
    </row>
    <row r="59" spans="5:10">
      <c r="E59" s="3" t="str">
        <v/>
      </c>
      <c r="G59" s="3" t="str">
        <v/>
      </c>
      <c r="J59" s="3" t="str">
        <v/>
      </c>
    </row>
    <row r="60" spans="5:10">
      <c r="E60" s="3" t="str">
        <v/>
      </c>
      <c r="G60" s="3" t="str">
        <v/>
      </c>
      <c r="J60" s="3" t="str">
        <v/>
      </c>
    </row>
    <row r="61" spans="5:10">
      <c r="E61" s="3" t="str">
        <v/>
      </c>
      <c r="G61" s="3" t="str">
        <v/>
      </c>
      <c r="J61" s="3" t="str">
        <v/>
      </c>
    </row>
    <row r="62" spans="5:10">
      <c r="E62" s="3" t="str">
        <v/>
      </c>
      <c r="G62" s="3" t="str">
        <v/>
      </c>
      <c r="J62" s="3" t="str">
        <v/>
      </c>
    </row>
    <row r="63" spans="5:10">
      <c r="E63" s="3" t="str">
        <v/>
      </c>
      <c r="G63" s="3" t="str">
        <v/>
      </c>
      <c r="J63" s="3" t="str">
        <v/>
      </c>
    </row>
    <row r="64" spans="5:10">
      <c r="E64" s="3" t="str">
        <v/>
      </c>
      <c r="G64" s="3" t="str">
        <v/>
      </c>
      <c r="J64" s="3" t="str">
        <v/>
      </c>
    </row>
    <row r="65" spans="5:10">
      <c r="E65" s="3" t="str">
        <v/>
      </c>
      <c r="G65" s="3" t="str">
        <v/>
      </c>
      <c r="J65" s="3" t="str">
        <v/>
      </c>
    </row>
    <row r="66" spans="5:10">
      <c r="E66" s="3" t="str">
        <v/>
      </c>
      <c r="G66" s="3" t="str">
        <v/>
      </c>
      <c r="J66" s="3" t="str">
        <v/>
      </c>
    </row>
    <row r="67" spans="5:10">
      <c r="E67" s="3" t="str">
        <v/>
      </c>
      <c r="G67" s="3" t="str">
        <v/>
      </c>
      <c r="J67" s="3" t="str">
        <v/>
      </c>
    </row>
    <row r="68" spans="5:10">
      <c r="E68" s="3" t="str">
        <v/>
      </c>
      <c r="G68" s="3" t="str">
        <v/>
      </c>
      <c r="J68" s="3" t="str">
        <v/>
      </c>
    </row>
    <row r="69" spans="5:10">
      <c r="E69" s="3" t="str">
        <v/>
      </c>
      <c r="G69" s="3" t="str">
        <v/>
      </c>
      <c r="J69" s="3" t="str">
        <v/>
      </c>
    </row>
    <row r="70" spans="5:10">
      <c r="E70" s="3" t="str">
        <v/>
      </c>
      <c r="G70" s="3" t="str">
        <v/>
      </c>
      <c r="J70" s="3" t="str">
        <v/>
      </c>
    </row>
    <row r="71" spans="5:10">
      <c r="E71" s="3" t="str">
        <v/>
      </c>
      <c r="G71" s="3" t="str">
        <v/>
      </c>
      <c r="J71" s="3" t="str">
        <v/>
      </c>
    </row>
    <row r="72" spans="5:10">
      <c r="E72" s="3" t="str">
        <v/>
      </c>
      <c r="G72" s="3" t="str">
        <v/>
      </c>
      <c r="J72" s="3" t="str">
        <v/>
      </c>
    </row>
    <row r="73" spans="5:10">
      <c r="E73" s="3" t="str">
        <v/>
      </c>
      <c r="G73" s="3" t="str">
        <v/>
      </c>
      <c r="J73" s="3" t="str">
        <v/>
      </c>
    </row>
    <row r="74" spans="5:10">
      <c r="E74" s="3" t="str">
        <v/>
      </c>
      <c r="G74" s="3" t="str">
        <v/>
      </c>
      <c r="J74" s="3" t="str">
        <v/>
      </c>
    </row>
    <row r="75" spans="5:10">
      <c r="E75" s="3" t="str">
        <v/>
      </c>
      <c r="G75" s="3" t="str">
        <v/>
      </c>
      <c r="J75" s="3" t="str">
        <v/>
      </c>
    </row>
    <row r="76" spans="5:10">
      <c r="E76" s="3" t="str">
        <v/>
      </c>
      <c r="G76" s="3" t="str">
        <v/>
      </c>
      <c r="J76" s="3" t="str">
        <v/>
      </c>
    </row>
    <row r="77" spans="5:10">
      <c r="E77" s="3" t="str">
        <v/>
      </c>
      <c r="G77" s="3" t="str">
        <v/>
      </c>
      <c r="J77" s="3" t="str">
        <v/>
      </c>
    </row>
    <row r="78" spans="5:10">
      <c r="E78" s="3" t="str">
        <v/>
      </c>
      <c r="G78" s="3" t="str">
        <v/>
      </c>
      <c r="J78" s="3" t="str">
        <v/>
      </c>
    </row>
    <row r="79" spans="5:10">
      <c r="E79" s="3" t="str">
        <v/>
      </c>
      <c r="G79" s="3" t="str">
        <v/>
      </c>
      <c r="J79" s="3" t="str">
        <v/>
      </c>
    </row>
    <row r="80" spans="5:10">
      <c r="E80" s="3" t="str">
        <v/>
      </c>
      <c r="G80" s="3" t="str">
        <v/>
      </c>
      <c r="J80" s="3" t="str">
        <v/>
      </c>
    </row>
    <row r="81" spans="5:10">
      <c r="E81" s="3" t="str">
        <v/>
      </c>
      <c r="G81" s="3" t="str">
        <v/>
      </c>
      <c r="J81" s="3" t="str">
        <v/>
      </c>
    </row>
    <row r="82" spans="5:10">
      <c r="E82" s="3" t="str">
        <v/>
      </c>
      <c r="G82" s="3" t="str">
        <v/>
      </c>
      <c r="J82" s="3" t="str">
        <v/>
      </c>
    </row>
    <row r="83" spans="5:10">
      <c r="E83" s="3" t="str">
        <v/>
      </c>
      <c r="G83" s="3" t="str">
        <v/>
      </c>
      <c r="J83" s="3" t="str">
        <v/>
      </c>
    </row>
    <row r="84" spans="5:10">
      <c r="E84" s="3" t="str">
        <v/>
      </c>
      <c r="G84" s="3" t="str">
        <v/>
      </c>
      <c r="J84" s="3" t="str">
        <v/>
      </c>
    </row>
    <row r="85" spans="5:10">
      <c r="E85" s="3" t="str">
        <v/>
      </c>
      <c r="G85" s="3" t="str">
        <v/>
      </c>
      <c r="J85" s="3" t="str">
        <v/>
      </c>
    </row>
    <row r="86" spans="5:10">
      <c r="E86" s="3" t="str">
        <v/>
      </c>
      <c r="G86" s="3" t="str">
        <v/>
      </c>
      <c r="J86" s="3" t="str">
        <v/>
      </c>
    </row>
    <row r="87" spans="5:10">
      <c r="E87" s="3" t="str">
        <v/>
      </c>
      <c r="G87" s="3" t="str">
        <v/>
      </c>
      <c r="J87" s="3" t="str">
        <v/>
      </c>
    </row>
    <row r="88" spans="5:10">
      <c r="E88" s="3" t="str">
        <v/>
      </c>
      <c r="G88" s="3" t="str">
        <v/>
      </c>
      <c r="J88" s="3" t="str">
        <v/>
      </c>
    </row>
    <row r="89" spans="5:10">
      <c r="E89" s="3" t="str">
        <v/>
      </c>
      <c r="G89" s="3" t="str">
        <v/>
      </c>
      <c r="J89" s="3" t="str">
        <v/>
      </c>
    </row>
    <row r="90" spans="5:10">
      <c r="E90" s="3" t="str">
        <v/>
      </c>
      <c r="G90" s="3" t="str">
        <v/>
      </c>
      <c r="J90" s="3" t="str">
        <v/>
      </c>
    </row>
    <row r="91" spans="5:10">
      <c r="E91" s="3" t="str">
        <v/>
      </c>
      <c r="G91" s="3" t="str">
        <v/>
      </c>
      <c r="J91" s="3" t="str">
        <v/>
      </c>
    </row>
    <row r="92" spans="5:10">
      <c r="E92" s="3" t="str">
        <v/>
      </c>
      <c r="G92" s="3" t="str">
        <v/>
      </c>
      <c r="J92" s="3" t="str">
        <v/>
      </c>
    </row>
    <row r="93" spans="5:10">
      <c r="E93" s="3" t="str">
        <v/>
      </c>
      <c r="G93" s="3" t="str">
        <v/>
      </c>
      <c r="J93" s="3" t="str">
        <v/>
      </c>
    </row>
    <row r="94" spans="5:10">
      <c r="E94" s="3" t="str">
        <v/>
      </c>
      <c r="G94" s="3" t="str">
        <v/>
      </c>
      <c r="J94" s="3" t="str">
        <v/>
      </c>
    </row>
    <row r="95" spans="5:10">
      <c r="E95" s="3" t="str">
        <v/>
      </c>
      <c r="G95" s="3" t="str">
        <v/>
      </c>
      <c r="J95" s="3" t="str">
        <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179F53-B848-480D-ADFE-1FDFB29FE8A8}">
  <dimension ref="A1:AJ734"/>
  <sheetViews>
    <sheetView topLeftCell="A707" workbookViewId="0">
      <selection activeCell="H31" sqref="H31"/>
    </sheetView>
  </sheetViews>
  <sheetFormatPr defaultRowHeight="15"/>
  <sheetData>
    <row r="1" spans="1:36">
      <c r="A1" t="s">
        <v>3</v>
      </c>
      <c r="B1" t="s">
        <v>41</v>
      </c>
      <c r="C1" t="s">
        <v>42</v>
      </c>
      <c r="D1" t="s">
        <v>43</v>
      </c>
      <c r="E1" t="s">
        <v>44</v>
      </c>
      <c r="F1" t="s">
        <v>45</v>
      </c>
      <c r="G1" t="s">
        <v>46</v>
      </c>
      <c r="H1" t="s">
        <v>47</v>
      </c>
      <c r="I1" t="s">
        <v>48</v>
      </c>
      <c r="J1" t="s">
        <v>49</v>
      </c>
      <c r="K1" t="s">
        <v>50</v>
      </c>
      <c r="L1" t="s">
        <v>51</v>
      </c>
      <c r="M1" t="s">
        <v>52</v>
      </c>
      <c r="N1" t="s">
        <v>53</v>
      </c>
      <c r="O1" t="s">
        <v>54</v>
      </c>
      <c r="P1" t="s">
        <v>55</v>
      </c>
      <c r="Q1" t="s">
        <v>56</v>
      </c>
      <c r="R1" t="s">
        <v>57</v>
      </c>
      <c r="S1" t="s">
        <v>58</v>
      </c>
      <c r="T1" t="s">
        <v>59</v>
      </c>
      <c r="U1" t="s">
        <v>60</v>
      </c>
      <c r="V1" t="s">
        <v>61</v>
      </c>
      <c r="W1" t="s">
        <v>62</v>
      </c>
      <c r="X1" t="s">
        <v>63</v>
      </c>
      <c r="Y1" t="s">
        <v>64</v>
      </c>
      <c r="Z1" t="s">
        <v>65</v>
      </c>
      <c r="AA1" t="s">
        <v>66</v>
      </c>
      <c r="AB1" t="s">
        <v>67</v>
      </c>
      <c r="AC1" t="s">
        <v>68</v>
      </c>
      <c r="AD1" t="s">
        <v>69</v>
      </c>
      <c r="AE1" t="s">
        <v>70</v>
      </c>
      <c r="AF1" t="s">
        <v>71</v>
      </c>
      <c r="AG1" t="s">
        <v>72</v>
      </c>
      <c r="AH1" t="s">
        <v>73</v>
      </c>
      <c r="AI1" t="s">
        <v>74</v>
      </c>
      <c r="AJ1" t="s">
        <v>75</v>
      </c>
    </row>
    <row r="2" spans="1:36">
      <c r="A2" t="s">
        <v>76</v>
      </c>
      <c r="B2" t="s">
        <v>77</v>
      </c>
      <c r="C2">
        <v>3</v>
      </c>
      <c r="D2" t="s">
        <v>78</v>
      </c>
      <c r="E2" t="s">
        <v>79</v>
      </c>
      <c r="F2" t="s">
        <v>79</v>
      </c>
      <c r="G2" t="s">
        <v>80</v>
      </c>
      <c r="H2" t="s">
        <v>81</v>
      </c>
      <c r="I2" t="s">
        <v>82</v>
      </c>
      <c r="J2" t="s">
        <v>83</v>
      </c>
      <c r="K2" t="s">
        <v>83</v>
      </c>
      <c r="L2" t="s">
        <v>84</v>
      </c>
      <c r="O2" t="s">
        <v>85</v>
      </c>
      <c r="P2">
        <v>0</v>
      </c>
      <c r="Q2" t="s">
        <v>86</v>
      </c>
      <c r="R2">
        <v>0</v>
      </c>
      <c r="S2">
        <v>0</v>
      </c>
      <c r="T2">
        <v>9500</v>
      </c>
      <c r="V2" t="s">
        <v>87</v>
      </c>
      <c r="W2" t="s">
        <v>88</v>
      </c>
      <c r="AB2" t="s">
        <v>89</v>
      </c>
      <c r="AC2" t="s">
        <v>90</v>
      </c>
      <c r="AD2">
        <v>6</v>
      </c>
      <c r="AE2" t="s">
        <v>91</v>
      </c>
      <c r="AF2" t="s">
        <v>92</v>
      </c>
      <c r="AH2">
        <v>9570008352</v>
      </c>
      <c r="AI2">
        <v>9570</v>
      </c>
      <c r="AJ2" t="s">
        <v>83</v>
      </c>
    </row>
    <row r="3" spans="1:36">
      <c r="A3" t="s">
        <v>93</v>
      </c>
      <c r="B3" t="s">
        <v>94</v>
      </c>
      <c r="C3">
        <v>3</v>
      </c>
      <c r="D3" t="s">
        <v>78</v>
      </c>
      <c r="E3" t="s">
        <v>79</v>
      </c>
      <c r="F3" t="s">
        <v>79</v>
      </c>
      <c r="G3" t="s">
        <v>80</v>
      </c>
      <c r="H3" t="s">
        <v>81</v>
      </c>
      <c r="I3" t="s">
        <v>82</v>
      </c>
      <c r="J3" t="s">
        <v>95</v>
      </c>
      <c r="K3" t="s">
        <v>96</v>
      </c>
      <c r="L3">
        <v>97</v>
      </c>
      <c r="N3" t="s">
        <v>97</v>
      </c>
      <c r="O3" t="s">
        <v>98</v>
      </c>
      <c r="P3">
        <v>0</v>
      </c>
      <c r="Q3" t="s">
        <v>86</v>
      </c>
      <c r="R3">
        <v>0</v>
      </c>
      <c r="S3">
        <v>0</v>
      </c>
      <c r="T3">
        <v>9500</v>
      </c>
      <c r="V3" t="s">
        <v>87</v>
      </c>
      <c r="W3" t="s">
        <v>99</v>
      </c>
      <c r="AB3" t="s">
        <v>100</v>
      </c>
      <c r="AC3" t="s">
        <v>90</v>
      </c>
      <c r="AD3">
        <v>6</v>
      </c>
      <c r="AE3" t="s">
        <v>101</v>
      </c>
      <c r="AF3" t="s">
        <v>102</v>
      </c>
      <c r="AH3">
        <v>4110001023</v>
      </c>
      <c r="AI3">
        <v>4110</v>
      </c>
      <c r="AJ3" t="s">
        <v>103</v>
      </c>
    </row>
    <row r="4" spans="1:36">
      <c r="A4" t="s">
        <v>104</v>
      </c>
      <c r="B4" t="s">
        <v>105</v>
      </c>
      <c r="C4">
        <v>3</v>
      </c>
      <c r="D4" t="s">
        <v>78</v>
      </c>
      <c r="E4" t="s">
        <v>79</v>
      </c>
      <c r="F4" t="s">
        <v>79</v>
      </c>
      <c r="G4" t="s">
        <v>80</v>
      </c>
      <c r="H4" t="s">
        <v>81</v>
      </c>
      <c r="I4" t="s">
        <v>82</v>
      </c>
      <c r="J4" t="s">
        <v>106</v>
      </c>
      <c r="K4" t="s">
        <v>107</v>
      </c>
      <c r="L4" s="1">
        <v>45328</v>
      </c>
      <c r="N4" t="s">
        <v>108</v>
      </c>
      <c r="O4" t="s">
        <v>98</v>
      </c>
      <c r="P4">
        <v>0</v>
      </c>
      <c r="Q4" t="s">
        <v>86</v>
      </c>
      <c r="R4">
        <v>0</v>
      </c>
      <c r="S4">
        <v>0</v>
      </c>
      <c r="T4">
        <v>9500</v>
      </c>
      <c r="V4" t="s">
        <v>87</v>
      </c>
      <c r="W4" t="s">
        <v>109</v>
      </c>
      <c r="AB4" t="s">
        <v>110</v>
      </c>
      <c r="AC4" t="s">
        <v>90</v>
      </c>
      <c r="AD4">
        <v>6</v>
      </c>
      <c r="AE4" t="s">
        <v>101</v>
      </c>
      <c r="AF4" t="s">
        <v>102</v>
      </c>
      <c r="AH4">
        <v>4450111308</v>
      </c>
      <c r="AI4">
        <v>4450</v>
      </c>
      <c r="AJ4" t="s">
        <v>111</v>
      </c>
    </row>
    <row r="5" spans="1:36">
      <c r="A5" t="s">
        <v>112</v>
      </c>
      <c r="B5" t="s">
        <v>113</v>
      </c>
      <c r="C5">
        <v>3</v>
      </c>
      <c r="D5" t="s">
        <v>78</v>
      </c>
      <c r="E5" t="s">
        <v>79</v>
      </c>
      <c r="F5" t="s">
        <v>79</v>
      </c>
      <c r="G5" t="s">
        <v>80</v>
      </c>
      <c r="H5" t="s">
        <v>81</v>
      </c>
      <c r="I5" t="s">
        <v>82</v>
      </c>
      <c r="J5" t="s">
        <v>114</v>
      </c>
      <c r="K5" t="s">
        <v>115</v>
      </c>
      <c r="L5">
        <v>4</v>
      </c>
      <c r="O5" t="s">
        <v>98</v>
      </c>
      <c r="P5">
        <v>0</v>
      </c>
      <c r="Q5" t="s">
        <v>86</v>
      </c>
      <c r="R5">
        <v>0</v>
      </c>
      <c r="S5">
        <v>0</v>
      </c>
      <c r="T5">
        <v>9500</v>
      </c>
      <c r="V5" t="s">
        <v>87</v>
      </c>
      <c r="W5" t="s">
        <v>78</v>
      </c>
      <c r="AB5" t="s">
        <v>116</v>
      </c>
      <c r="AC5" t="s">
        <v>90</v>
      </c>
      <c r="AD5">
        <v>6</v>
      </c>
      <c r="AE5" t="s">
        <v>91</v>
      </c>
      <c r="AF5" t="s">
        <v>102</v>
      </c>
      <c r="AH5">
        <v>1087001003</v>
      </c>
      <c r="AI5">
        <v>1087</v>
      </c>
      <c r="AJ5" t="s">
        <v>117</v>
      </c>
    </row>
    <row r="6" spans="1:36">
      <c r="A6" t="s">
        <v>80</v>
      </c>
      <c r="B6" t="s">
        <v>118</v>
      </c>
      <c r="C6">
        <v>3</v>
      </c>
      <c r="D6" t="s">
        <v>78</v>
      </c>
      <c r="E6" t="s">
        <v>79</v>
      </c>
      <c r="F6" t="s">
        <v>79</v>
      </c>
      <c r="G6" t="s">
        <v>80</v>
      </c>
      <c r="H6" t="s">
        <v>81</v>
      </c>
      <c r="I6" t="s">
        <v>82</v>
      </c>
      <c r="J6" t="s">
        <v>119</v>
      </c>
      <c r="K6" t="s">
        <v>81</v>
      </c>
      <c r="L6">
        <v>4</v>
      </c>
      <c r="O6" t="s">
        <v>119</v>
      </c>
      <c r="P6">
        <v>0</v>
      </c>
      <c r="Q6" t="s">
        <v>86</v>
      </c>
      <c r="R6">
        <v>0</v>
      </c>
      <c r="S6">
        <v>0</v>
      </c>
      <c r="T6">
        <v>9500</v>
      </c>
      <c r="U6">
        <v>963490013</v>
      </c>
      <c r="V6">
        <v>4</v>
      </c>
      <c r="W6" t="s">
        <v>120</v>
      </c>
      <c r="AB6" t="s">
        <v>121</v>
      </c>
      <c r="AC6" t="s">
        <v>90</v>
      </c>
      <c r="AD6">
        <v>6</v>
      </c>
      <c r="AE6" t="s">
        <v>91</v>
      </c>
      <c r="AF6" t="s">
        <v>102</v>
      </c>
      <c r="AH6">
        <v>2037013200</v>
      </c>
      <c r="AI6">
        <v>2037</v>
      </c>
      <c r="AJ6" t="s">
        <v>122</v>
      </c>
    </row>
    <row r="7" spans="1:36">
      <c r="A7" t="s">
        <v>123</v>
      </c>
      <c r="B7" t="s">
        <v>124</v>
      </c>
      <c r="C7">
        <v>3</v>
      </c>
      <c r="D7" t="s">
        <v>78</v>
      </c>
      <c r="E7" t="s">
        <v>79</v>
      </c>
      <c r="F7" t="s">
        <v>125</v>
      </c>
      <c r="G7" t="s">
        <v>80</v>
      </c>
      <c r="H7" t="s">
        <v>81</v>
      </c>
      <c r="I7" t="s">
        <v>82</v>
      </c>
      <c r="P7">
        <v>0</v>
      </c>
      <c r="Q7" t="s">
        <v>86</v>
      </c>
      <c r="R7">
        <v>0</v>
      </c>
      <c r="S7">
        <v>0</v>
      </c>
      <c r="T7">
        <v>9500</v>
      </c>
      <c r="V7" t="s">
        <v>87</v>
      </c>
      <c r="W7" t="s">
        <v>126</v>
      </c>
      <c r="AB7">
        <v>9999</v>
      </c>
      <c r="AC7" t="s">
        <v>90</v>
      </c>
      <c r="AD7">
        <v>6</v>
      </c>
      <c r="AH7">
        <v>3672100012</v>
      </c>
      <c r="AI7">
        <v>3672</v>
      </c>
      <c r="AJ7" t="s">
        <v>127</v>
      </c>
    </row>
    <row r="8" spans="1:36">
      <c r="A8" t="s">
        <v>128</v>
      </c>
      <c r="B8" t="s">
        <v>129</v>
      </c>
      <c r="C8">
        <v>3</v>
      </c>
      <c r="D8" t="s">
        <v>130</v>
      </c>
      <c r="E8" t="s">
        <v>79</v>
      </c>
      <c r="F8" t="s">
        <v>79</v>
      </c>
      <c r="G8" t="s">
        <v>80</v>
      </c>
      <c r="H8" t="s">
        <v>81</v>
      </c>
      <c r="I8" t="s">
        <v>82</v>
      </c>
      <c r="J8" t="s">
        <v>114</v>
      </c>
      <c r="K8" t="s">
        <v>115</v>
      </c>
      <c r="L8">
        <v>4</v>
      </c>
      <c r="O8" t="s">
        <v>98</v>
      </c>
      <c r="P8">
        <v>0</v>
      </c>
      <c r="Q8" t="s">
        <v>86</v>
      </c>
      <c r="R8">
        <v>0</v>
      </c>
      <c r="S8">
        <v>0</v>
      </c>
      <c r="T8">
        <v>7100</v>
      </c>
      <c r="V8" t="s">
        <v>87</v>
      </c>
      <c r="W8" t="s">
        <v>130</v>
      </c>
      <c r="AB8" t="s">
        <v>116</v>
      </c>
      <c r="AC8" t="s">
        <v>90</v>
      </c>
      <c r="AD8">
        <v>6</v>
      </c>
      <c r="AE8" t="s">
        <v>91</v>
      </c>
      <c r="AF8" t="s">
        <v>102</v>
      </c>
      <c r="AH8">
        <v>1087001205</v>
      </c>
      <c r="AI8">
        <v>1087</v>
      </c>
      <c r="AJ8" t="s">
        <v>117</v>
      </c>
    </row>
    <row r="9" spans="1:36">
      <c r="A9" t="s">
        <v>131</v>
      </c>
      <c r="B9" t="s">
        <v>132</v>
      </c>
      <c r="C9">
        <v>3</v>
      </c>
      <c r="D9" t="s">
        <v>133</v>
      </c>
      <c r="E9" t="s">
        <v>79</v>
      </c>
      <c r="F9" t="s">
        <v>125</v>
      </c>
      <c r="G9" t="s">
        <v>80</v>
      </c>
      <c r="H9" t="s">
        <v>81</v>
      </c>
      <c r="I9" t="s">
        <v>82</v>
      </c>
      <c r="P9">
        <v>0</v>
      </c>
      <c r="Q9" t="s">
        <v>86</v>
      </c>
      <c r="R9">
        <v>0</v>
      </c>
      <c r="S9">
        <v>0</v>
      </c>
      <c r="T9">
        <v>3950</v>
      </c>
      <c r="V9" t="s">
        <v>87</v>
      </c>
      <c r="W9" t="s">
        <v>134</v>
      </c>
      <c r="AB9" t="s">
        <v>135</v>
      </c>
      <c r="AC9" t="s">
        <v>90</v>
      </c>
      <c r="AD9">
        <v>6</v>
      </c>
      <c r="AH9">
        <v>2478002001</v>
      </c>
      <c r="AI9">
        <v>2478</v>
      </c>
      <c r="AJ9" t="s">
        <v>136</v>
      </c>
    </row>
    <row r="10" spans="1:36">
      <c r="A10" t="s">
        <v>137</v>
      </c>
      <c r="B10" t="s">
        <v>138</v>
      </c>
      <c r="C10" t="s">
        <v>139</v>
      </c>
      <c r="D10" t="s">
        <v>140</v>
      </c>
      <c r="E10" t="s">
        <v>79</v>
      </c>
      <c r="F10" t="s">
        <v>125</v>
      </c>
      <c r="G10" t="s">
        <v>80</v>
      </c>
      <c r="H10" t="s">
        <v>81</v>
      </c>
      <c r="I10" t="s">
        <v>82</v>
      </c>
      <c r="P10">
        <v>0</v>
      </c>
      <c r="Q10" t="s">
        <v>86</v>
      </c>
      <c r="R10">
        <v>0</v>
      </c>
      <c r="S10">
        <v>0</v>
      </c>
      <c r="T10">
        <v>1180</v>
      </c>
      <c r="V10" t="s">
        <v>87</v>
      </c>
      <c r="W10" t="s">
        <v>141</v>
      </c>
      <c r="AB10" t="s">
        <v>142</v>
      </c>
      <c r="AC10" t="s">
        <v>90</v>
      </c>
      <c r="AH10">
        <v>3435007505</v>
      </c>
      <c r="AI10">
        <v>3435</v>
      </c>
      <c r="AJ10" t="s">
        <v>143</v>
      </c>
    </row>
    <row r="11" spans="1:36">
      <c r="A11" t="s">
        <v>144</v>
      </c>
      <c r="B11" t="s">
        <v>145</v>
      </c>
      <c r="C11">
        <v>3</v>
      </c>
      <c r="D11" t="s">
        <v>78</v>
      </c>
      <c r="E11" t="s">
        <v>79</v>
      </c>
      <c r="F11" t="s">
        <v>79</v>
      </c>
      <c r="G11" t="s">
        <v>80</v>
      </c>
      <c r="H11" t="s">
        <v>81</v>
      </c>
      <c r="I11" t="s">
        <v>82</v>
      </c>
      <c r="J11" t="s">
        <v>106</v>
      </c>
      <c r="K11" t="s">
        <v>107</v>
      </c>
      <c r="L11" s="1">
        <v>45328</v>
      </c>
      <c r="N11" t="s">
        <v>108</v>
      </c>
      <c r="O11" t="s">
        <v>98</v>
      </c>
      <c r="P11">
        <v>0</v>
      </c>
      <c r="Q11" t="s">
        <v>86</v>
      </c>
      <c r="R11">
        <v>0</v>
      </c>
      <c r="S11">
        <v>0</v>
      </c>
      <c r="T11">
        <v>9500</v>
      </c>
      <c r="V11" t="s">
        <v>87</v>
      </c>
      <c r="W11" t="s">
        <v>146</v>
      </c>
      <c r="AB11" t="s">
        <v>147</v>
      </c>
      <c r="AC11" t="s">
        <v>90</v>
      </c>
      <c r="AD11">
        <v>6</v>
      </c>
      <c r="AE11" t="s">
        <v>101</v>
      </c>
      <c r="AF11" t="s">
        <v>102</v>
      </c>
      <c r="AH11">
        <v>4442600305</v>
      </c>
      <c r="AI11">
        <v>4442</v>
      </c>
      <c r="AJ11" t="s">
        <v>148</v>
      </c>
    </row>
    <row r="12" spans="1:36">
      <c r="A12" t="s">
        <v>149</v>
      </c>
      <c r="B12" t="s">
        <v>150</v>
      </c>
      <c r="C12">
        <v>4</v>
      </c>
      <c r="D12" t="s">
        <v>78</v>
      </c>
      <c r="E12" t="s">
        <v>79</v>
      </c>
      <c r="F12" t="s">
        <v>79</v>
      </c>
      <c r="G12" t="s">
        <v>151</v>
      </c>
      <c r="H12" t="s">
        <v>152</v>
      </c>
      <c r="I12" t="s">
        <v>82</v>
      </c>
      <c r="J12" t="s">
        <v>153</v>
      </c>
      <c r="K12" t="s">
        <v>154</v>
      </c>
      <c r="L12">
        <v>96</v>
      </c>
      <c r="N12" t="s">
        <v>155</v>
      </c>
      <c r="O12" t="s">
        <v>156</v>
      </c>
      <c r="P12">
        <v>0</v>
      </c>
      <c r="Q12" t="s">
        <v>86</v>
      </c>
      <c r="R12">
        <v>0</v>
      </c>
      <c r="S12">
        <v>0</v>
      </c>
      <c r="T12">
        <v>9500</v>
      </c>
      <c r="V12" t="s">
        <v>157</v>
      </c>
      <c r="W12" t="s">
        <v>158</v>
      </c>
      <c r="AD12" t="s">
        <v>159</v>
      </c>
      <c r="AE12" t="s">
        <v>160</v>
      </c>
      <c r="AF12" t="s">
        <v>102</v>
      </c>
    </row>
    <row r="13" spans="1:36">
      <c r="A13" t="s">
        <v>161</v>
      </c>
      <c r="B13" t="s">
        <v>162</v>
      </c>
      <c r="C13">
        <v>4</v>
      </c>
      <c r="D13" t="s">
        <v>130</v>
      </c>
      <c r="E13" t="s">
        <v>125</v>
      </c>
      <c r="F13" t="s">
        <v>79</v>
      </c>
      <c r="G13" t="s">
        <v>80</v>
      </c>
      <c r="H13" t="s">
        <v>81</v>
      </c>
      <c r="I13" t="s">
        <v>82</v>
      </c>
      <c r="J13" t="s">
        <v>95</v>
      </c>
      <c r="K13" t="s">
        <v>163</v>
      </c>
      <c r="L13">
        <v>95</v>
      </c>
      <c r="N13" t="s">
        <v>155</v>
      </c>
      <c r="O13" t="s">
        <v>98</v>
      </c>
      <c r="P13">
        <v>0</v>
      </c>
      <c r="Q13" t="s">
        <v>86</v>
      </c>
      <c r="R13">
        <v>0</v>
      </c>
      <c r="S13">
        <v>0</v>
      </c>
      <c r="T13">
        <v>7100</v>
      </c>
      <c r="V13">
        <v>5</v>
      </c>
      <c r="W13" t="s">
        <v>164</v>
      </c>
      <c r="AB13" t="s">
        <v>100</v>
      </c>
      <c r="AC13" t="s">
        <v>90</v>
      </c>
      <c r="AD13">
        <v>4</v>
      </c>
      <c r="AE13" t="s">
        <v>165</v>
      </c>
      <c r="AF13" t="s">
        <v>102</v>
      </c>
      <c r="AH13">
        <v>556000600</v>
      </c>
      <c r="AI13">
        <v>556</v>
      </c>
      <c r="AJ13" t="s">
        <v>166</v>
      </c>
    </row>
    <row r="14" spans="1:36">
      <c r="A14" t="s">
        <v>167</v>
      </c>
      <c r="B14" t="s">
        <v>168</v>
      </c>
      <c r="C14">
        <v>4</v>
      </c>
      <c r="D14" t="s">
        <v>78</v>
      </c>
      <c r="E14" t="s">
        <v>125</v>
      </c>
      <c r="F14" t="s">
        <v>79</v>
      </c>
      <c r="G14" t="s">
        <v>80</v>
      </c>
      <c r="H14" t="s">
        <v>81</v>
      </c>
      <c r="I14" t="s">
        <v>82</v>
      </c>
      <c r="J14" t="s">
        <v>95</v>
      </c>
      <c r="K14" t="s">
        <v>163</v>
      </c>
      <c r="L14">
        <v>96</v>
      </c>
      <c r="N14" t="s">
        <v>155</v>
      </c>
      <c r="O14" t="s">
        <v>98</v>
      </c>
      <c r="P14">
        <v>0</v>
      </c>
      <c r="Q14" t="s">
        <v>86</v>
      </c>
      <c r="R14">
        <v>0</v>
      </c>
      <c r="S14">
        <v>0</v>
      </c>
      <c r="T14">
        <v>9500</v>
      </c>
      <c r="V14">
        <v>5</v>
      </c>
      <c r="W14" t="s">
        <v>164</v>
      </c>
      <c r="AB14" t="s">
        <v>100</v>
      </c>
      <c r="AC14" t="s">
        <v>90</v>
      </c>
      <c r="AD14">
        <v>4</v>
      </c>
      <c r="AE14" t="s">
        <v>165</v>
      </c>
      <c r="AF14" t="s">
        <v>102</v>
      </c>
      <c r="AH14">
        <v>442010500</v>
      </c>
      <c r="AI14">
        <v>442</v>
      </c>
      <c r="AJ14" t="s">
        <v>169</v>
      </c>
    </row>
    <row r="15" spans="1:36">
      <c r="A15" t="s">
        <v>170</v>
      </c>
      <c r="B15" t="s">
        <v>171</v>
      </c>
      <c r="C15">
        <v>3</v>
      </c>
      <c r="D15" t="s">
        <v>78</v>
      </c>
      <c r="E15" t="s">
        <v>79</v>
      </c>
      <c r="F15" t="s">
        <v>79</v>
      </c>
      <c r="G15" t="s">
        <v>80</v>
      </c>
      <c r="H15" t="s">
        <v>81</v>
      </c>
      <c r="I15" t="s">
        <v>82</v>
      </c>
      <c r="J15" t="s">
        <v>83</v>
      </c>
      <c r="K15" t="s">
        <v>83</v>
      </c>
      <c r="L15" t="s">
        <v>84</v>
      </c>
      <c r="O15" t="s">
        <v>85</v>
      </c>
      <c r="P15">
        <v>0</v>
      </c>
      <c r="Q15" t="s">
        <v>86</v>
      </c>
      <c r="R15">
        <v>0</v>
      </c>
      <c r="S15">
        <v>0</v>
      </c>
      <c r="T15">
        <v>9500</v>
      </c>
      <c r="V15" t="s">
        <v>87</v>
      </c>
      <c r="W15" t="s">
        <v>88</v>
      </c>
      <c r="AB15" t="s">
        <v>89</v>
      </c>
      <c r="AC15" t="s">
        <v>90</v>
      </c>
      <c r="AD15">
        <v>6</v>
      </c>
      <c r="AE15" t="s">
        <v>91</v>
      </c>
      <c r="AF15" t="s">
        <v>92</v>
      </c>
      <c r="AH15">
        <v>9570008321</v>
      </c>
      <c r="AI15">
        <v>9570</v>
      </c>
      <c r="AJ15" t="s">
        <v>83</v>
      </c>
    </row>
    <row r="16" spans="1:36">
      <c r="A16" t="s">
        <v>172</v>
      </c>
      <c r="B16" t="s">
        <v>173</v>
      </c>
      <c r="C16">
        <v>3</v>
      </c>
      <c r="D16" t="s">
        <v>174</v>
      </c>
      <c r="E16" t="s">
        <v>79</v>
      </c>
      <c r="F16" t="s">
        <v>79</v>
      </c>
      <c r="G16" t="s">
        <v>80</v>
      </c>
      <c r="H16" t="s">
        <v>81</v>
      </c>
      <c r="I16" t="s">
        <v>82</v>
      </c>
      <c r="J16" t="s">
        <v>175</v>
      </c>
      <c r="K16" t="s">
        <v>176</v>
      </c>
      <c r="L16">
        <v>1</v>
      </c>
      <c r="O16" t="s">
        <v>177</v>
      </c>
      <c r="P16">
        <v>0</v>
      </c>
      <c r="Q16" t="s">
        <v>86</v>
      </c>
      <c r="R16">
        <v>0</v>
      </c>
      <c r="S16">
        <v>0</v>
      </c>
      <c r="T16">
        <v>600</v>
      </c>
      <c r="U16">
        <v>963061209</v>
      </c>
      <c r="V16" t="s">
        <v>87</v>
      </c>
      <c r="W16" t="s">
        <v>178</v>
      </c>
      <c r="AB16" t="s">
        <v>179</v>
      </c>
      <c r="AC16" t="s">
        <v>90</v>
      </c>
      <c r="AD16">
        <v>6</v>
      </c>
      <c r="AE16" t="s">
        <v>91</v>
      </c>
      <c r="AF16" t="s">
        <v>102</v>
      </c>
      <c r="AH16">
        <v>3014003107</v>
      </c>
      <c r="AI16">
        <v>3014</v>
      </c>
      <c r="AJ16" t="s">
        <v>180</v>
      </c>
    </row>
    <row r="17" spans="1:36">
      <c r="A17" t="s">
        <v>181</v>
      </c>
      <c r="B17" t="s">
        <v>182</v>
      </c>
      <c r="C17">
        <v>3</v>
      </c>
      <c r="D17" t="s">
        <v>183</v>
      </c>
      <c r="E17" t="s">
        <v>125</v>
      </c>
      <c r="F17" t="s">
        <v>79</v>
      </c>
      <c r="G17" t="s">
        <v>80</v>
      </c>
      <c r="H17" t="s">
        <v>81</v>
      </c>
      <c r="I17" t="s">
        <v>82</v>
      </c>
      <c r="J17" t="s">
        <v>95</v>
      </c>
      <c r="K17" t="s">
        <v>184</v>
      </c>
      <c r="L17">
        <v>98</v>
      </c>
      <c r="N17" t="s">
        <v>185</v>
      </c>
      <c r="O17" t="s">
        <v>98</v>
      </c>
      <c r="P17">
        <v>0</v>
      </c>
      <c r="Q17" t="s">
        <v>86</v>
      </c>
      <c r="R17">
        <v>0</v>
      </c>
      <c r="S17">
        <v>0</v>
      </c>
      <c r="T17">
        <v>3800</v>
      </c>
      <c r="V17" t="s">
        <v>87</v>
      </c>
      <c r="W17" t="s">
        <v>186</v>
      </c>
      <c r="AB17" t="s">
        <v>100</v>
      </c>
      <c r="AC17" t="s">
        <v>90</v>
      </c>
      <c r="AD17">
        <v>4</v>
      </c>
      <c r="AE17" t="s">
        <v>165</v>
      </c>
      <c r="AF17" t="s">
        <v>102</v>
      </c>
      <c r="AH17">
        <v>2336000540</v>
      </c>
      <c r="AI17">
        <v>2336</v>
      </c>
      <c r="AJ17" t="s">
        <v>187</v>
      </c>
    </row>
    <row r="18" spans="1:36">
      <c r="A18" t="s">
        <v>188</v>
      </c>
      <c r="B18" t="s">
        <v>189</v>
      </c>
      <c r="C18">
        <v>4</v>
      </c>
      <c r="D18" t="s">
        <v>190</v>
      </c>
      <c r="E18" t="s">
        <v>79</v>
      </c>
      <c r="F18" t="s">
        <v>79</v>
      </c>
      <c r="G18" t="s">
        <v>80</v>
      </c>
      <c r="H18" t="s">
        <v>81</v>
      </c>
      <c r="I18" t="s">
        <v>82</v>
      </c>
      <c r="J18" t="s">
        <v>191</v>
      </c>
      <c r="K18" t="s">
        <v>192</v>
      </c>
      <c r="L18">
        <v>1</v>
      </c>
      <c r="P18">
        <v>0</v>
      </c>
      <c r="Q18" t="s">
        <v>86</v>
      </c>
      <c r="R18">
        <v>0</v>
      </c>
      <c r="S18">
        <v>0</v>
      </c>
      <c r="T18">
        <v>1060</v>
      </c>
      <c r="V18" t="s">
        <v>87</v>
      </c>
      <c r="W18" t="s">
        <v>193</v>
      </c>
      <c r="AB18">
        <v>2700</v>
      </c>
      <c r="AC18" t="s">
        <v>90</v>
      </c>
      <c r="AD18">
        <v>3</v>
      </c>
      <c r="AE18" t="s">
        <v>91</v>
      </c>
      <c r="AF18" t="s">
        <v>102</v>
      </c>
      <c r="AH18">
        <v>8454003310</v>
      </c>
      <c r="AI18">
        <v>8454</v>
      </c>
      <c r="AJ18" t="s">
        <v>194</v>
      </c>
    </row>
    <row r="19" spans="1:36">
      <c r="A19" t="s">
        <v>195</v>
      </c>
      <c r="B19" t="s">
        <v>196</v>
      </c>
      <c r="C19">
        <v>3</v>
      </c>
      <c r="D19" t="s">
        <v>78</v>
      </c>
      <c r="E19" t="s">
        <v>125</v>
      </c>
      <c r="F19" t="s">
        <v>79</v>
      </c>
      <c r="G19" t="s">
        <v>80</v>
      </c>
      <c r="H19" t="s">
        <v>81</v>
      </c>
      <c r="I19" t="s">
        <v>82</v>
      </c>
      <c r="J19" t="s">
        <v>106</v>
      </c>
      <c r="K19" t="s">
        <v>107</v>
      </c>
      <c r="L19" s="1">
        <v>45328</v>
      </c>
      <c r="N19" t="s">
        <v>108</v>
      </c>
      <c r="O19" t="s">
        <v>98</v>
      </c>
      <c r="P19">
        <v>0</v>
      </c>
      <c r="Q19" t="s">
        <v>86</v>
      </c>
      <c r="R19">
        <v>0</v>
      </c>
      <c r="S19">
        <v>0</v>
      </c>
      <c r="T19">
        <v>9500</v>
      </c>
      <c r="V19" t="s">
        <v>87</v>
      </c>
      <c r="W19" t="s">
        <v>197</v>
      </c>
      <c r="AB19" t="s">
        <v>198</v>
      </c>
      <c r="AC19" t="s">
        <v>90</v>
      </c>
      <c r="AD19">
        <v>4</v>
      </c>
      <c r="AE19" t="s">
        <v>165</v>
      </c>
      <c r="AF19" t="s">
        <v>102</v>
      </c>
      <c r="AH19">
        <v>5790045560</v>
      </c>
      <c r="AI19">
        <v>5790</v>
      </c>
      <c r="AJ19" t="s">
        <v>199</v>
      </c>
    </row>
    <row r="20" spans="1:36">
      <c r="A20" t="s">
        <v>200</v>
      </c>
      <c r="B20" t="s">
        <v>201</v>
      </c>
      <c r="C20" t="s">
        <v>139</v>
      </c>
      <c r="D20" t="s">
        <v>140</v>
      </c>
      <c r="E20" t="s">
        <v>79</v>
      </c>
      <c r="F20" t="s">
        <v>125</v>
      </c>
      <c r="G20" t="s">
        <v>80</v>
      </c>
      <c r="H20" t="s">
        <v>81</v>
      </c>
      <c r="I20" t="s">
        <v>82</v>
      </c>
      <c r="P20">
        <v>0</v>
      </c>
      <c r="Q20" t="s">
        <v>86</v>
      </c>
      <c r="R20">
        <v>0</v>
      </c>
      <c r="S20">
        <v>0</v>
      </c>
      <c r="T20">
        <v>1180</v>
      </c>
      <c r="V20" t="s">
        <v>87</v>
      </c>
      <c r="W20" t="s">
        <v>141</v>
      </c>
      <c r="AB20" t="s">
        <v>142</v>
      </c>
      <c r="AC20" t="s">
        <v>90</v>
      </c>
      <c r="AH20">
        <v>3435007502</v>
      </c>
      <c r="AI20">
        <v>3435</v>
      </c>
      <c r="AJ20" t="s">
        <v>143</v>
      </c>
    </row>
    <row r="21" spans="1:36">
      <c r="A21" t="s">
        <v>202</v>
      </c>
      <c r="B21" t="s">
        <v>203</v>
      </c>
      <c r="C21">
        <v>3</v>
      </c>
      <c r="D21" t="s">
        <v>133</v>
      </c>
      <c r="E21" t="s">
        <v>79</v>
      </c>
      <c r="F21" t="s">
        <v>79</v>
      </c>
      <c r="G21" t="s">
        <v>80</v>
      </c>
      <c r="H21" t="s">
        <v>81</v>
      </c>
      <c r="I21" t="s">
        <v>82</v>
      </c>
      <c r="J21" t="s">
        <v>95</v>
      </c>
      <c r="K21" t="s">
        <v>184</v>
      </c>
      <c r="L21">
        <v>98</v>
      </c>
      <c r="N21" t="s">
        <v>185</v>
      </c>
      <c r="O21" t="s">
        <v>98</v>
      </c>
      <c r="P21">
        <v>0</v>
      </c>
      <c r="Q21" t="s">
        <v>86</v>
      </c>
      <c r="R21">
        <v>0</v>
      </c>
      <c r="S21">
        <v>0</v>
      </c>
      <c r="T21">
        <v>3950</v>
      </c>
      <c r="U21">
        <v>96370</v>
      </c>
      <c r="V21" t="s">
        <v>87</v>
      </c>
      <c r="W21" t="s">
        <v>204</v>
      </c>
      <c r="AB21" t="s">
        <v>205</v>
      </c>
      <c r="AC21" t="s">
        <v>90</v>
      </c>
      <c r="AD21">
        <v>6</v>
      </c>
      <c r="AE21" t="s">
        <v>101</v>
      </c>
      <c r="AF21" t="s">
        <v>102</v>
      </c>
      <c r="AH21">
        <v>2333092020</v>
      </c>
      <c r="AI21">
        <v>2333</v>
      </c>
      <c r="AJ21" t="s">
        <v>206</v>
      </c>
    </row>
    <row r="22" spans="1:36">
      <c r="A22" t="s">
        <v>207</v>
      </c>
      <c r="B22" t="s">
        <v>208</v>
      </c>
      <c r="C22">
        <v>3</v>
      </c>
      <c r="D22" t="s">
        <v>133</v>
      </c>
      <c r="E22" t="s">
        <v>125</v>
      </c>
      <c r="F22" t="s">
        <v>79</v>
      </c>
      <c r="G22" t="s">
        <v>80</v>
      </c>
      <c r="H22" t="s">
        <v>81</v>
      </c>
      <c r="I22" t="s">
        <v>82</v>
      </c>
      <c r="J22" t="s">
        <v>95</v>
      </c>
      <c r="K22" t="s">
        <v>163</v>
      </c>
      <c r="L22">
        <v>95</v>
      </c>
      <c r="N22" t="s">
        <v>155</v>
      </c>
      <c r="O22" t="s">
        <v>98</v>
      </c>
      <c r="P22">
        <v>0</v>
      </c>
      <c r="Q22" t="s">
        <v>86</v>
      </c>
      <c r="R22">
        <v>0</v>
      </c>
      <c r="S22">
        <v>0</v>
      </c>
      <c r="T22">
        <v>5615</v>
      </c>
      <c r="V22">
        <v>5</v>
      </c>
      <c r="W22" t="s">
        <v>209</v>
      </c>
      <c r="AB22" t="s">
        <v>210</v>
      </c>
      <c r="AC22" t="s">
        <v>90</v>
      </c>
      <c r="AD22">
        <v>4</v>
      </c>
      <c r="AE22" t="s">
        <v>165</v>
      </c>
      <c r="AF22" t="s">
        <v>102</v>
      </c>
      <c r="AH22">
        <v>3438007000</v>
      </c>
      <c r="AI22">
        <v>3438</v>
      </c>
      <c r="AJ22" t="s">
        <v>211</v>
      </c>
    </row>
    <row r="23" spans="1:36">
      <c r="A23" t="s">
        <v>212</v>
      </c>
      <c r="B23" t="s">
        <v>213</v>
      </c>
      <c r="C23">
        <v>3</v>
      </c>
      <c r="D23" t="s">
        <v>78</v>
      </c>
      <c r="E23" t="s">
        <v>79</v>
      </c>
      <c r="F23" t="s">
        <v>79</v>
      </c>
      <c r="G23" t="s">
        <v>80</v>
      </c>
      <c r="H23" t="s">
        <v>81</v>
      </c>
      <c r="I23" t="s">
        <v>82</v>
      </c>
      <c r="J23" t="s">
        <v>153</v>
      </c>
      <c r="K23" t="s">
        <v>214</v>
      </c>
      <c r="L23">
        <v>1</v>
      </c>
      <c r="O23" t="s">
        <v>156</v>
      </c>
      <c r="P23">
        <v>0</v>
      </c>
      <c r="Q23" t="s">
        <v>86</v>
      </c>
      <c r="R23">
        <v>0</v>
      </c>
      <c r="S23">
        <v>0</v>
      </c>
      <c r="T23">
        <v>9500</v>
      </c>
      <c r="U23">
        <v>600885000</v>
      </c>
      <c r="V23" t="s">
        <v>87</v>
      </c>
      <c r="W23" t="s">
        <v>215</v>
      </c>
      <c r="AB23" t="s">
        <v>216</v>
      </c>
      <c r="AC23" t="s">
        <v>90</v>
      </c>
      <c r="AD23">
        <v>6</v>
      </c>
      <c r="AE23" t="s">
        <v>91</v>
      </c>
      <c r="AF23" t="s">
        <v>102</v>
      </c>
      <c r="AH23">
        <v>1226000783</v>
      </c>
      <c r="AI23">
        <v>1226</v>
      </c>
      <c r="AJ23" t="s">
        <v>153</v>
      </c>
    </row>
    <row r="24" spans="1:36">
      <c r="A24" t="s">
        <v>217</v>
      </c>
      <c r="B24" t="s">
        <v>218</v>
      </c>
      <c r="C24">
        <v>3</v>
      </c>
      <c r="D24" t="s">
        <v>130</v>
      </c>
      <c r="E24" t="s">
        <v>125</v>
      </c>
      <c r="F24" t="s">
        <v>79</v>
      </c>
      <c r="G24" t="s">
        <v>80</v>
      </c>
      <c r="H24" t="s">
        <v>81</v>
      </c>
      <c r="I24" t="s">
        <v>82</v>
      </c>
      <c r="J24" t="s">
        <v>95</v>
      </c>
      <c r="K24" t="s">
        <v>163</v>
      </c>
      <c r="L24">
        <v>95</v>
      </c>
      <c r="N24" t="s">
        <v>155</v>
      </c>
      <c r="O24" t="s">
        <v>98</v>
      </c>
      <c r="P24">
        <v>0</v>
      </c>
      <c r="Q24" t="s">
        <v>86</v>
      </c>
      <c r="R24">
        <v>0</v>
      </c>
      <c r="S24">
        <v>0</v>
      </c>
      <c r="T24">
        <v>7100</v>
      </c>
      <c r="U24">
        <v>966014627</v>
      </c>
      <c r="V24">
        <v>5</v>
      </c>
      <c r="W24" t="s">
        <v>219</v>
      </c>
      <c r="AB24" t="s">
        <v>210</v>
      </c>
      <c r="AC24" t="s">
        <v>90</v>
      </c>
      <c r="AD24">
        <v>4</v>
      </c>
      <c r="AE24" t="s">
        <v>165</v>
      </c>
      <c r="AF24" t="s">
        <v>102</v>
      </c>
      <c r="AH24">
        <v>1940000700</v>
      </c>
      <c r="AI24">
        <v>1940</v>
      </c>
      <c r="AJ24" t="s">
        <v>220</v>
      </c>
    </row>
    <row r="25" spans="1:36">
      <c r="A25" t="s">
        <v>221</v>
      </c>
      <c r="B25" t="s">
        <v>222</v>
      </c>
      <c r="C25">
        <v>3</v>
      </c>
      <c r="D25" t="s">
        <v>78</v>
      </c>
      <c r="E25" t="s">
        <v>79</v>
      </c>
      <c r="F25" t="s">
        <v>79</v>
      </c>
      <c r="G25" t="s">
        <v>80</v>
      </c>
      <c r="H25" t="s">
        <v>81</v>
      </c>
      <c r="I25" t="s">
        <v>82</v>
      </c>
      <c r="J25" t="s">
        <v>223</v>
      </c>
      <c r="K25" t="s">
        <v>224</v>
      </c>
      <c r="L25" t="s">
        <v>84</v>
      </c>
      <c r="O25" t="s">
        <v>85</v>
      </c>
      <c r="P25">
        <v>0</v>
      </c>
      <c r="Q25" t="s">
        <v>86</v>
      </c>
      <c r="R25">
        <v>0</v>
      </c>
      <c r="S25">
        <v>0</v>
      </c>
      <c r="T25">
        <v>9500</v>
      </c>
      <c r="U25">
        <v>963491100</v>
      </c>
      <c r="V25" t="s">
        <v>87</v>
      </c>
      <c r="W25" t="s">
        <v>225</v>
      </c>
      <c r="AB25" t="s">
        <v>226</v>
      </c>
      <c r="AC25" t="s">
        <v>90</v>
      </c>
      <c r="AD25">
        <v>6</v>
      </c>
      <c r="AE25" t="s">
        <v>91</v>
      </c>
      <c r="AF25" t="s">
        <v>92</v>
      </c>
      <c r="AH25">
        <v>9515000213</v>
      </c>
      <c r="AI25">
        <v>9515</v>
      </c>
      <c r="AJ25" t="s">
        <v>227</v>
      </c>
    </row>
    <row r="26" spans="1:36">
      <c r="A26" t="s">
        <v>228</v>
      </c>
      <c r="B26" t="s">
        <v>229</v>
      </c>
      <c r="C26">
        <v>3</v>
      </c>
      <c r="D26" t="s">
        <v>174</v>
      </c>
      <c r="E26" t="s">
        <v>79</v>
      </c>
      <c r="F26" t="s">
        <v>79</v>
      </c>
      <c r="G26" t="s">
        <v>80</v>
      </c>
      <c r="H26" t="s">
        <v>81</v>
      </c>
      <c r="I26" t="s">
        <v>82</v>
      </c>
      <c r="J26" t="s">
        <v>175</v>
      </c>
      <c r="K26" t="s">
        <v>176</v>
      </c>
      <c r="L26">
        <v>1</v>
      </c>
      <c r="O26" t="s">
        <v>177</v>
      </c>
      <c r="P26">
        <v>0</v>
      </c>
      <c r="Q26" t="s">
        <v>86</v>
      </c>
      <c r="R26">
        <v>0</v>
      </c>
      <c r="S26">
        <v>0</v>
      </c>
      <c r="T26">
        <v>4885</v>
      </c>
      <c r="V26" t="s">
        <v>87</v>
      </c>
      <c r="W26" t="s">
        <v>178</v>
      </c>
      <c r="AB26" t="s">
        <v>179</v>
      </c>
      <c r="AC26" t="s">
        <v>90</v>
      </c>
      <c r="AD26">
        <v>6</v>
      </c>
      <c r="AE26" t="s">
        <v>91</v>
      </c>
      <c r="AF26" t="s">
        <v>102</v>
      </c>
      <c r="AH26">
        <v>3014003101</v>
      </c>
      <c r="AI26">
        <v>3014</v>
      </c>
      <c r="AJ26" t="s">
        <v>180</v>
      </c>
    </row>
    <row r="27" spans="1:36">
      <c r="A27" t="s">
        <v>230</v>
      </c>
      <c r="B27" t="s">
        <v>231</v>
      </c>
      <c r="C27">
        <v>3</v>
      </c>
      <c r="D27" t="s">
        <v>130</v>
      </c>
      <c r="E27" t="s">
        <v>79</v>
      </c>
      <c r="F27" t="s">
        <v>79</v>
      </c>
      <c r="G27" t="s">
        <v>80</v>
      </c>
      <c r="H27" t="s">
        <v>81</v>
      </c>
      <c r="I27" t="s">
        <v>82</v>
      </c>
      <c r="J27" t="s">
        <v>175</v>
      </c>
      <c r="K27" t="s">
        <v>176</v>
      </c>
      <c r="L27">
        <v>1</v>
      </c>
      <c r="O27" t="s">
        <v>177</v>
      </c>
      <c r="P27">
        <v>0</v>
      </c>
      <c r="Q27" t="s">
        <v>86</v>
      </c>
      <c r="R27">
        <v>0</v>
      </c>
      <c r="S27">
        <v>0</v>
      </c>
      <c r="T27">
        <v>7100</v>
      </c>
      <c r="V27" t="s">
        <v>87</v>
      </c>
      <c r="W27" t="s">
        <v>178</v>
      </c>
      <c r="AB27" t="s">
        <v>179</v>
      </c>
      <c r="AC27" t="s">
        <v>90</v>
      </c>
      <c r="AD27">
        <v>6</v>
      </c>
      <c r="AE27" t="s">
        <v>91</v>
      </c>
      <c r="AF27" t="s">
        <v>102</v>
      </c>
      <c r="AH27">
        <v>3014003102</v>
      </c>
      <c r="AI27">
        <v>3014</v>
      </c>
      <c r="AJ27" t="s">
        <v>180</v>
      </c>
    </row>
    <row r="28" spans="1:36">
      <c r="A28" t="s">
        <v>232</v>
      </c>
      <c r="B28" t="s">
        <v>233</v>
      </c>
      <c r="C28">
        <v>3</v>
      </c>
      <c r="D28" t="s">
        <v>174</v>
      </c>
      <c r="E28" t="s">
        <v>79</v>
      </c>
      <c r="F28" t="s">
        <v>79</v>
      </c>
      <c r="G28" t="s">
        <v>80</v>
      </c>
      <c r="H28" t="s">
        <v>81</v>
      </c>
      <c r="I28" t="s">
        <v>82</v>
      </c>
      <c r="J28" t="s">
        <v>119</v>
      </c>
      <c r="K28" t="s">
        <v>81</v>
      </c>
      <c r="L28">
        <v>4</v>
      </c>
      <c r="O28" t="s">
        <v>119</v>
      </c>
      <c r="P28">
        <v>0</v>
      </c>
      <c r="Q28" t="s">
        <v>86</v>
      </c>
      <c r="R28">
        <v>0</v>
      </c>
      <c r="S28">
        <v>0</v>
      </c>
      <c r="T28">
        <v>4885</v>
      </c>
      <c r="V28" t="s">
        <v>87</v>
      </c>
      <c r="W28" t="s">
        <v>80</v>
      </c>
      <c r="AB28" t="s">
        <v>121</v>
      </c>
      <c r="AC28" t="s">
        <v>90</v>
      </c>
      <c r="AD28">
        <v>6</v>
      </c>
      <c r="AE28" t="s">
        <v>91</v>
      </c>
      <c r="AF28" t="s">
        <v>102</v>
      </c>
      <c r="AH28">
        <v>2037013214</v>
      </c>
      <c r="AI28">
        <v>2037</v>
      </c>
      <c r="AJ28" t="s">
        <v>122</v>
      </c>
    </row>
    <row r="29" spans="1:36">
      <c r="A29" t="s">
        <v>234</v>
      </c>
      <c r="B29" t="s">
        <v>235</v>
      </c>
      <c r="C29">
        <v>3</v>
      </c>
      <c r="D29" t="s">
        <v>78</v>
      </c>
      <c r="E29" t="s">
        <v>79</v>
      </c>
      <c r="F29" t="s">
        <v>79</v>
      </c>
      <c r="G29" t="s">
        <v>80</v>
      </c>
      <c r="H29" t="s">
        <v>81</v>
      </c>
      <c r="I29" t="s">
        <v>82</v>
      </c>
      <c r="J29" t="s">
        <v>153</v>
      </c>
      <c r="K29" t="s">
        <v>236</v>
      </c>
      <c r="L29">
        <v>1</v>
      </c>
      <c r="O29" t="s">
        <v>237</v>
      </c>
      <c r="P29">
        <v>0</v>
      </c>
      <c r="Q29" t="s">
        <v>86</v>
      </c>
      <c r="R29">
        <v>0</v>
      </c>
      <c r="S29">
        <v>0</v>
      </c>
      <c r="T29">
        <v>9500</v>
      </c>
      <c r="U29">
        <v>294085000</v>
      </c>
      <c r="V29" t="s">
        <v>87</v>
      </c>
      <c r="W29" t="s">
        <v>238</v>
      </c>
      <c r="AB29" t="s">
        <v>239</v>
      </c>
      <c r="AC29" t="s">
        <v>90</v>
      </c>
      <c r="AD29">
        <v>6</v>
      </c>
      <c r="AF29" t="s">
        <v>102</v>
      </c>
      <c r="AH29">
        <v>5465042415</v>
      </c>
      <c r="AI29">
        <v>5465</v>
      </c>
      <c r="AJ29" t="s">
        <v>240</v>
      </c>
    </row>
    <row r="30" spans="1:36">
      <c r="A30" t="s">
        <v>241</v>
      </c>
      <c r="B30" t="s">
        <v>242</v>
      </c>
      <c r="C30">
        <v>3</v>
      </c>
      <c r="D30" t="s">
        <v>190</v>
      </c>
      <c r="E30" t="s">
        <v>79</v>
      </c>
      <c r="F30" t="s">
        <v>79</v>
      </c>
      <c r="J30" t="s">
        <v>191</v>
      </c>
      <c r="O30" t="s">
        <v>243</v>
      </c>
      <c r="P30">
        <v>0</v>
      </c>
      <c r="Q30" t="s">
        <v>86</v>
      </c>
      <c r="R30">
        <v>0</v>
      </c>
      <c r="S30">
        <v>0</v>
      </c>
      <c r="T30">
        <v>1060</v>
      </c>
      <c r="V30" t="s">
        <v>87</v>
      </c>
      <c r="W30" t="s">
        <v>244</v>
      </c>
      <c r="AF30" t="s">
        <v>102</v>
      </c>
      <c r="AH30" t="s">
        <v>245</v>
      </c>
      <c r="AI30" t="s">
        <v>246</v>
      </c>
    </row>
    <row r="31" spans="1:36">
      <c r="A31" t="s">
        <v>247</v>
      </c>
      <c r="B31" t="s">
        <v>248</v>
      </c>
      <c r="C31">
        <v>3</v>
      </c>
      <c r="D31" t="s">
        <v>190</v>
      </c>
      <c r="E31" t="s">
        <v>79</v>
      </c>
      <c r="F31" t="s">
        <v>79</v>
      </c>
      <c r="J31" t="s">
        <v>191</v>
      </c>
      <c r="O31" t="s">
        <v>243</v>
      </c>
      <c r="P31">
        <v>0</v>
      </c>
      <c r="Q31" t="s">
        <v>86</v>
      </c>
      <c r="R31">
        <v>0</v>
      </c>
      <c r="S31">
        <v>0</v>
      </c>
      <c r="T31">
        <v>1060</v>
      </c>
      <c r="V31" t="s">
        <v>87</v>
      </c>
      <c r="W31" t="s">
        <v>249</v>
      </c>
      <c r="AF31" t="s">
        <v>102</v>
      </c>
      <c r="AH31" t="s">
        <v>250</v>
      </c>
      <c r="AI31" t="s">
        <v>251</v>
      </c>
    </row>
    <row r="32" spans="1:36">
      <c r="A32" t="s">
        <v>252</v>
      </c>
      <c r="B32" t="s">
        <v>253</v>
      </c>
      <c r="C32">
        <v>3</v>
      </c>
      <c r="D32" t="s">
        <v>190</v>
      </c>
      <c r="E32" t="s">
        <v>79</v>
      </c>
      <c r="F32" t="s">
        <v>79</v>
      </c>
      <c r="J32" t="s">
        <v>191</v>
      </c>
      <c r="O32" t="s">
        <v>243</v>
      </c>
      <c r="P32">
        <v>0</v>
      </c>
      <c r="Q32" t="s">
        <v>86</v>
      </c>
      <c r="R32">
        <v>0</v>
      </c>
      <c r="S32">
        <v>0</v>
      </c>
      <c r="T32">
        <v>1060</v>
      </c>
      <c r="V32" t="s">
        <v>87</v>
      </c>
      <c r="W32" t="s">
        <v>254</v>
      </c>
      <c r="AF32" t="s">
        <v>102</v>
      </c>
      <c r="AH32" t="s">
        <v>255</v>
      </c>
      <c r="AI32" t="s">
        <v>251</v>
      </c>
    </row>
    <row r="33" spans="1:36">
      <c r="A33" t="s">
        <v>256</v>
      </c>
      <c r="B33" t="s">
        <v>257</v>
      </c>
      <c r="C33">
        <v>3</v>
      </c>
      <c r="D33" t="s">
        <v>190</v>
      </c>
      <c r="E33" t="s">
        <v>79</v>
      </c>
      <c r="F33" t="s">
        <v>79</v>
      </c>
      <c r="J33" t="s">
        <v>191</v>
      </c>
      <c r="O33" t="s">
        <v>243</v>
      </c>
      <c r="P33">
        <v>0</v>
      </c>
      <c r="Q33" t="s">
        <v>86</v>
      </c>
      <c r="R33">
        <v>0</v>
      </c>
      <c r="S33">
        <v>0</v>
      </c>
      <c r="T33">
        <v>1060</v>
      </c>
      <c r="V33" t="s">
        <v>87</v>
      </c>
      <c r="W33" t="s">
        <v>258</v>
      </c>
      <c r="AF33" t="s">
        <v>102</v>
      </c>
      <c r="AH33" t="s">
        <v>259</v>
      </c>
      <c r="AI33" t="s">
        <v>251</v>
      </c>
    </row>
    <row r="34" spans="1:36">
      <c r="A34" t="s">
        <v>260</v>
      </c>
      <c r="B34" t="s">
        <v>261</v>
      </c>
      <c r="C34">
        <v>3</v>
      </c>
      <c r="D34" t="s">
        <v>133</v>
      </c>
      <c r="E34" t="s">
        <v>79</v>
      </c>
      <c r="F34" t="s">
        <v>79</v>
      </c>
      <c r="G34" t="s">
        <v>80</v>
      </c>
      <c r="H34" t="s">
        <v>81</v>
      </c>
      <c r="I34" t="s">
        <v>82</v>
      </c>
      <c r="J34" t="s">
        <v>175</v>
      </c>
      <c r="K34" t="s">
        <v>176</v>
      </c>
      <c r="L34">
        <v>1</v>
      </c>
      <c r="O34" t="s">
        <v>177</v>
      </c>
      <c r="P34">
        <v>0</v>
      </c>
      <c r="Q34" t="s">
        <v>86</v>
      </c>
      <c r="R34">
        <v>0</v>
      </c>
      <c r="S34">
        <v>0</v>
      </c>
      <c r="T34">
        <v>3950</v>
      </c>
      <c r="V34" t="s">
        <v>87</v>
      </c>
      <c r="W34" t="s">
        <v>178</v>
      </c>
      <c r="AB34" t="s">
        <v>179</v>
      </c>
      <c r="AC34" t="s">
        <v>90</v>
      </c>
      <c r="AD34">
        <v>6</v>
      </c>
      <c r="AE34" t="s">
        <v>91</v>
      </c>
      <c r="AF34" t="s">
        <v>102</v>
      </c>
      <c r="AH34">
        <v>3014003103</v>
      </c>
      <c r="AI34">
        <v>3014</v>
      </c>
      <c r="AJ34" t="s">
        <v>180</v>
      </c>
    </row>
    <row r="35" spans="1:36">
      <c r="A35" t="s">
        <v>262</v>
      </c>
      <c r="B35" t="s">
        <v>263</v>
      </c>
      <c r="C35">
        <v>3</v>
      </c>
      <c r="D35" t="s">
        <v>190</v>
      </c>
      <c r="E35" t="s">
        <v>79</v>
      </c>
      <c r="F35" t="s">
        <v>79</v>
      </c>
      <c r="J35" t="s">
        <v>191</v>
      </c>
      <c r="O35" t="s">
        <v>243</v>
      </c>
      <c r="P35">
        <v>0</v>
      </c>
      <c r="Q35" t="s">
        <v>86</v>
      </c>
      <c r="R35">
        <v>0</v>
      </c>
      <c r="S35">
        <v>0</v>
      </c>
      <c r="T35">
        <v>1060</v>
      </c>
      <c r="V35">
        <v>6</v>
      </c>
      <c r="W35" t="s">
        <v>264</v>
      </c>
      <c r="AF35" t="s">
        <v>102</v>
      </c>
      <c r="AH35" t="s">
        <v>265</v>
      </c>
      <c r="AI35" t="s">
        <v>266</v>
      </c>
    </row>
    <row r="36" spans="1:36">
      <c r="A36" t="s">
        <v>267</v>
      </c>
      <c r="B36" t="s">
        <v>268</v>
      </c>
      <c r="C36">
        <v>4</v>
      </c>
      <c r="D36" t="s">
        <v>78</v>
      </c>
      <c r="E36" t="s">
        <v>79</v>
      </c>
      <c r="F36" t="s">
        <v>79</v>
      </c>
      <c r="G36" t="s">
        <v>80</v>
      </c>
      <c r="H36" t="s">
        <v>81</v>
      </c>
      <c r="I36" t="s">
        <v>82</v>
      </c>
      <c r="J36" t="s">
        <v>153</v>
      </c>
      <c r="K36" t="s">
        <v>269</v>
      </c>
      <c r="L36">
        <v>95</v>
      </c>
      <c r="N36" t="s">
        <v>270</v>
      </c>
      <c r="O36" t="s">
        <v>156</v>
      </c>
      <c r="P36">
        <v>0</v>
      </c>
      <c r="Q36" t="s">
        <v>86</v>
      </c>
      <c r="R36">
        <v>0</v>
      </c>
      <c r="S36">
        <v>0</v>
      </c>
      <c r="T36">
        <v>9500</v>
      </c>
      <c r="V36" t="s">
        <v>157</v>
      </c>
      <c r="W36" t="s">
        <v>271</v>
      </c>
      <c r="AB36" t="s">
        <v>216</v>
      </c>
      <c r="AC36" t="s">
        <v>90</v>
      </c>
      <c r="AD36" t="s">
        <v>159</v>
      </c>
      <c r="AE36" t="s">
        <v>160</v>
      </c>
      <c r="AF36" t="s">
        <v>102</v>
      </c>
      <c r="AH36">
        <v>7000028607</v>
      </c>
      <c r="AI36">
        <v>7000</v>
      </c>
      <c r="AJ36" t="s">
        <v>272</v>
      </c>
    </row>
    <row r="37" spans="1:36">
      <c r="A37" t="s">
        <v>273</v>
      </c>
      <c r="B37" t="s">
        <v>274</v>
      </c>
      <c r="C37">
        <v>3</v>
      </c>
      <c r="D37" t="s">
        <v>183</v>
      </c>
      <c r="E37" t="s">
        <v>79</v>
      </c>
      <c r="F37" t="s">
        <v>79</v>
      </c>
      <c r="G37" t="s">
        <v>80</v>
      </c>
      <c r="H37" t="s">
        <v>81</v>
      </c>
      <c r="I37" t="s">
        <v>82</v>
      </c>
      <c r="J37" t="s">
        <v>95</v>
      </c>
      <c r="K37" t="s">
        <v>184</v>
      </c>
      <c r="L37">
        <v>98</v>
      </c>
      <c r="N37" t="s">
        <v>185</v>
      </c>
      <c r="O37" t="s">
        <v>98</v>
      </c>
      <c r="P37">
        <v>0</v>
      </c>
      <c r="Q37" t="s">
        <v>86</v>
      </c>
      <c r="R37">
        <v>0</v>
      </c>
      <c r="S37">
        <v>0</v>
      </c>
      <c r="T37">
        <v>3800</v>
      </c>
      <c r="U37">
        <v>96310</v>
      </c>
      <c r="V37" t="s">
        <v>87</v>
      </c>
      <c r="W37" t="s">
        <v>204</v>
      </c>
      <c r="AB37" t="s">
        <v>205</v>
      </c>
      <c r="AC37" t="s">
        <v>90</v>
      </c>
      <c r="AD37">
        <v>6</v>
      </c>
      <c r="AE37" t="s">
        <v>101</v>
      </c>
      <c r="AF37" t="s">
        <v>102</v>
      </c>
      <c r="AH37">
        <v>2333092030</v>
      </c>
      <c r="AI37">
        <v>2333</v>
      </c>
      <c r="AJ37" t="s">
        <v>206</v>
      </c>
    </row>
    <row r="38" spans="1:36">
      <c r="A38" t="s">
        <v>275</v>
      </c>
      <c r="B38" t="s">
        <v>276</v>
      </c>
      <c r="C38">
        <v>3</v>
      </c>
      <c r="D38" t="s">
        <v>78</v>
      </c>
      <c r="E38" t="s">
        <v>79</v>
      </c>
      <c r="F38" t="s">
        <v>125</v>
      </c>
      <c r="G38" t="s">
        <v>80</v>
      </c>
      <c r="H38" t="s">
        <v>81</v>
      </c>
      <c r="I38" t="s">
        <v>82</v>
      </c>
      <c r="P38">
        <v>0</v>
      </c>
      <c r="Q38" t="s">
        <v>86</v>
      </c>
      <c r="R38">
        <v>0</v>
      </c>
      <c r="S38">
        <v>0</v>
      </c>
      <c r="T38">
        <v>8000</v>
      </c>
      <c r="V38" t="s">
        <v>87</v>
      </c>
      <c r="W38" t="s">
        <v>277</v>
      </c>
      <c r="AB38" t="s">
        <v>278</v>
      </c>
      <c r="AC38" t="s">
        <v>90</v>
      </c>
      <c r="AD38">
        <v>6</v>
      </c>
      <c r="AH38">
        <v>9130100021</v>
      </c>
      <c r="AI38">
        <v>9130</v>
      </c>
      <c r="AJ38" t="s">
        <v>279</v>
      </c>
    </row>
    <row r="39" spans="1:36">
      <c r="A39" t="s">
        <v>280</v>
      </c>
      <c r="B39" t="s">
        <v>281</v>
      </c>
      <c r="C39">
        <v>3</v>
      </c>
      <c r="D39" t="s">
        <v>174</v>
      </c>
      <c r="E39" t="s">
        <v>125</v>
      </c>
      <c r="F39" t="s">
        <v>79</v>
      </c>
      <c r="G39" t="s">
        <v>80</v>
      </c>
      <c r="H39" t="s">
        <v>81</v>
      </c>
      <c r="I39" t="s">
        <v>82</v>
      </c>
      <c r="J39" t="s">
        <v>95</v>
      </c>
      <c r="K39" t="s">
        <v>184</v>
      </c>
      <c r="L39">
        <v>98</v>
      </c>
      <c r="N39" t="s">
        <v>185</v>
      </c>
      <c r="O39" t="s">
        <v>98</v>
      </c>
      <c r="P39">
        <v>0</v>
      </c>
      <c r="Q39" t="s">
        <v>86</v>
      </c>
      <c r="R39">
        <v>0</v>
      </c>
      <c r="S39">
        <v>0</v>
      </c>
      <c r="T39">
        <v>600</v>
      </c>
      <c r="V39" t="s">
        <v>87</v>
      </c>
      <c r="W39" t="s">
        <v>204</v>
      </c>
      <c r="AB39" t="s">
        <v>100</v>
      </c>
      <c r="AC39" t="s">
        <v>90</v>
      </c>
      <c r="AD39">
        <v>4</v>
      </c>
      <c r="AE39" t="s">
        <v>165</v>
      </c>
      <c r="AF39" t="s">
        <v>102</v>
      </c>
      <c r="AH39">
        <v>2333092009</v>
      </c>
      <c r="AI39">
        <v>2333</v>
      </c>
      <c r="AJ39" t="s">
        <v>206</v>
      </c>
    </row>
    <row r="40" spans="1:36">
      <c r="A40" t="s">
        <v>282</v>
      </c>
      <c r="B40" t="s">
        <v>283</v>
      </c>
      <c r="C40">
        <v>3</v>
      </c>
      <c r="D40" t="s">
        <v>133</v>
      </c>
      <c r="E40" t="s">
        <v>79</v>
      </c>
      <c r="F40" t="s">
        <v>79</v>
      </c>
      <c r="G40" t="s">
        <v>80</v>
      </c>
      <c r="H40" t="s">
        <v>81</v>
      </c>
      <c r="I40" t="s">
        <v>82</v>
      </c>
      <c r="J40" t="s">
        <v>223</v>
      </c>
      <c r="K40" t="s">
        <v>284</v>
      </c>
      <c r="L40" t="s">
        <v>84</v>
      </c>
      <c r="O40" t="s">
        <v>85</v>
      </c>
      <c r="P40">
        <v>0</v>
      </c>
      <c r="Q40" t="s">
        <v>86</v>
      </c>
      <c r="R40">
        <v>0</v>
      </c>
      <c r="S40">
        <v>0</v>
      </c>
      <c r="T40">
        <v>1180</v>
      </c>
      <c r="V40" t="s">
        <v>87</v>
      </c>
      <c r="W40" t="s">
        <v>285</v>
      </c>
      <c r="AB40" t="s">
        <v>286</v>
      </c>
      <c r="AC40" t="s">
        <v>90</v>
      </c>
      <c r="AD40">
        <v>6</v>
      </c>
      <c r="AE40" t="s">
        <v>91</v>
      </c>
      <c r="AF40" t="s">
        <v>92</v>
      </c>
      <c r="AH40">
        <v>9510001112</v>
      </c>
      <c r="AI40">
        <v>9510</v>
      </c>
      <c r="AJ40" t="s">
        <v>287</v>
      </c>
    </row>
    <row r="41" spans="1:36">
      <c r="A41" t="s">
        <v>288</v>
      </c>
      <c r="B41" t="s">
        <v>289</v>
      </c>
      <c r="C41">
        <v>3</v>
      </c>
      <c r="D41" t="s">
        <v>78</v>
      </c>
      <c r="E41" t="s">
        <v>79</v>
      </c>
      <c r="F41" t="s">
        <v>125</v>
      </c>
      <c r="G41" t="s">
        <v>80</v>
      </c>
      <c r="H41" t="s">
        <v>81</v>
      </c>
      <c r="I41" t="s">
        <v>82</v>
      </c>
      <c r="P41">
        <v>0</v>
      </c>
      <c r="Q41" t="s">
        <v>86</v>
      </c>
      <c r="R41">
        <v>0</v>
      </c>
      <c r="S41">
        <v>0</v>
      </c>
      <c r="T41">
        <v>9500</v>
      </c>
      <c r="V41" t="s">
        <v>87</v>
      </c>
      <c r="W41" t="s">
        <v>290</v>
      </c>
      <c r="AB41" t="s">
        <v>291</v>
      </c>
      <c r="AC41" t="s">
        <v>90</v>
      </c>
      <c r="AD41">
        <v>6</v>
      </c>
      <c r="AH41">
        <v>3710007022</v>
      </c>
      <c r="AI41">
        <v>3710</v>
      </c>
      <c r="AJ41" t="s">
        <v>292</v>
      </c>
    </row>
    <row r="42" spans="1:36">
      <c r="A42" t="s">
        <v>293</v>
      </c>
      <c r="B42" t="s">
        <v>294</v>
      </c>
      <c r="C42">
        <v>3</v>
      </c>
      <c r="D42" t="s">
        <v>78</v>
      </c>
      <c r="E42" t="s">
        <v>79</v>
      </c>
      <c r="F42" t="s">
        <v>79</v>
      </c>
      <c r="G42" t="s">
        <v>80</v>
      </c>
      <c r="H42" t="s">
        <v>81</v>
      </c>
      <c r="I42" t="s">
        <v>82</v>
      </c>
      <c r="J42" t="s">
        <v>295</v>
      </c>
      <c r="K42" t="s">
        <v>295</v>
      </c>
      <c r="L42" s="1">
        <v>45328</v>
      </c>
      <c r="N42" t="s">
        <v>108</v>
      </c>
      <c r="O42" t="s">
        <v>85</v>
      </c>
      <c r="P42">
        <v>0</v>
      </c>
      <c r="Q42" t="s">
        <v>86</v>
      </c>
      <c r="R42">
        <v>0</v>
      </c>
      <c r="S42">
        <v>0</v>
      </c>
      <c r="T42">
        <v>9900</v>
      </c>
      <c r="V42" t="s">
        <v>87</v>
      </c>
      <c r="W42" t="s">
        <v>296</v>
      </c>
      <c r="AB42">
        <v>9999</v>
      </c>
      <c r="AC42" t="s">
        <v>90</v>
      </c>
      <c r="AD42">
        <v>6</v>
      </c>
      <c r="AE42" t="s">
        <v>160</v>
      </c>
      <c r="AF42" t="s">
        <v>92</v>
      </c>
      <c r="AH42">
        <v>9230001046</v>
      </c>
      <c r="AI42">
        <v>9230</v>
      </c>
      <c r="AJ42" t="s">
        <v>295</v>
      </c>
    </row>
    <row r="43" spans="1:36">
      <c r="A43" t="s">
        <v>297</v>
      </c>
      <c r="B43" t="s">
        <v>298</v>
      </c>
      <c r="C43">
        <v>3</v>
      </c>
      <c r="D43" t="s">
        <v>174</v>
      </c>
      <c r="E43" t="s">
        <v>79</v>
      </c>
      <c r="F43" t="s">
        <v>79</v>
      </c>
      <c r="G43" t="s">
        <v>80</v>
      </c>
      <c r="H43" t="s">
        <v>81</v>
      </c>
      <c r="I43" t="s">
        <v>82</v>
      </c>
      <c r="J43" t="s">
        <v>95</v>
      </c>
      <c r="K43" t="s">
        <v>184</v>
      </c>
      <c r="L43">
        <v>98</v>
      </c>
      <c r="N43" t="s">
        <v>185</v>
      </c>
      <c r="O43" t="s">
        <v>98</v>
      </c>
      <c r="P43">
        <v>0</v>
      </c>
      <c r="Q43" t="s">
        <v>86</v>
      </c>
      <c r="R43">
        <v>0</v>
      </c>
      <c r="S43">
        <v>0</v>
      </c>
      <c r="T43">
        <v>600</v>
      </c>
      <c r="U43">
        <v>96306</v>
      </c>
      <c r="V43" t="s">
        <v>87</v>
      </c>
      <c r="W43" t="s">
        <v>204</v>
      </c>
      <c r="AB43" t="s">
        <v>205</v>
      </c>
      <c r="AC43" t="s">
        <v>90</v>
      </c>
      <c r="AD43">
        <v>6</v>
      </c>
      <c r="AE43" t="s">
        <v>101</v>
      </c>
      <c r="AF43" t="s">
        <v>102</v>
      </c>
      <c r="AH43">
        <v>2333092008</v>
      </c>
      <c r="AI43">
        <v>2333</v>
      </c>
      <c r="AJ43" t="s">
        <v>206</v>
      </c>
    </row>
    <row r="44" spans="1:36">
      <c r="A44" t="s">
        <v>299</v>
      </c>
      <c r="B44" t="s">
        <v>300</v>
      </c>
      <c r="C44">
        <v>3</v>
      </c>
      <c r="D44" t="s">
        <v>78</v>
      </c>
      <c r="E44" t="s">
        <v>79</v>
      </c>
      <c r="F44" t="s">
        <v>79</v>
      </c>
      <c r="G44" t="s">
        <v>80</v>
      </c>
      <c r="H44" t="s">
        <v>81</v>
      </c>
      <c r="I44" t="s">
        <v>82</v>
      </c>
      <c r="J44" t="s">
        <v>301</v>
      </c>
      <c r="K44" t="s">
        <v>302</v>
      </c>
      <c r="L44">
        <v>4</v>
      </c>
      <c r="O44" t="s">
        <v>301</v>
      </c>
      <c r="P44">
        <v>0</v>
      </c>
      <c r="Q44" t="s">
        <v>86</v>
      </c>
      <c r="R44">
        <v>0</v>
      </c>
      <c r="S44">
        <v>0</v>
      </c>
      <c r="T44">
        <v>9500</v>
      </c>
      <c r="V44" t="s">
        <v>87</v>
      </c>
      <c r="W44" t="s">
        <v>303</v>
      </c>
      <c r="AB44" t="s">
        <v>304</v>
      </c>
      <c r="AC44" t="s">
        <v>305</v>
      </c>
      <c r="AD44">
        <v>6</v>
      </c>
      <c r="AE44" t="s">
        <v>91</v>
      </c>
      <c r="AF44" t="s">
        <v>102</v>
      </c>
      <c r="AH44">
        <v>3364002072</v>
      </c>
      <c r="AI44">
        <v>3364</v>
      </c>
      <c r="AJ44" t="s">
        <v>306</v>
      </c>
    </row>
    <row r="45" spans="1:36">
      <c r="A45" t="s">
        <v>307</v>
      </c>
      <c r="B45" t="s">
        <v>308</v>
      </c>
      <c r="C45">
        <v>3</v>
      </c>
      <c r="D45" t="s">
        <v>183</v>
      </c>
      <c r="E45" t="s">
        <v>79</v>
      </c>
      <c r="F45" t="s">
        <v>125</v>
      </c>
      <c r="G45" t="s">
        <v>80</v>
      </c>
      <c r="H45" t="s">
        <v>81</v>
      </c>
      <c r="I45" t="s">
        <v>82</v>
      </c>
      <c r="P45">
        <v>0</v>
      </c>
      <c r="Q45" t="s">
        <v>86</v>
      </c>
      <c r="R45">
        <v>0</v>
      </c>
      <c r="S45">
        <v>0</v>
      </c>
      <c r="T45">
        <v>3800</v>
      </c>
      <c r="V45" t="s">
        <v>87</v>
      </c>
      <c r="W45" t="s">
        <v>309</v>
      </c>
      <c r="AB45" t="s">
        <v>310</v>
      </c>
      <c r="AC45" t="s">
        <v>90</v>
      </c>
      <c r="AD45">
        <v>6</v>
      </c>
      <c r="AH45">
        <v>4171002509</v>
      </c>
      <c r="AI45">
        <v>4171</v>
      </c>
      <c r="AJ45" t="s">
        <v>311</v>
      </c>
    </row>
    <row r="46" spans="1:36">
      <c r="A46" t="s">
        <v>312</v>
      </c>
      <c r="B46" t="s">
        <v>313</v>
      </c>
      <c r="C46">
        <v>3</v>
      </c>
      <c r="D46" t="s">
        <v>78</v>
      </c>
      <c r="E46" t="s">
        <v>79</v>
      </c>
      <c r="F46" t="s">
        <v>79</v>
      </c>
      <c r="G46" t="s">
        <v>80</v>
      </c>
      <c r="H46" t="s">
        <v>81</v>
      </c>
      <c r="I46" t="s">
        <v>82</v>
      </c>
      <c r="J46" t="s">
        <v>301</v>
      </c>
      <c r="K46" t="s">
        <v>302</v>
      </c>
      <c r="L46">
        <v>4</v>
      </c>
      <c r="O46" t="s">
        <v>301</v>
      </c>
      <c r="P46">
        <v>0</v>
      </c>
      <c r="Q46" t="s">
        <v>86</v>
      </c>
      <c r="R46">
        <v>0</v>
      </c>
      <c r="S46">
        <v>0</v>
      </c>
      <c r="T46">
        <v>9500</v>
      </c>
      <c r="V46" t="s">
        <v>87</v>
      </c>
      <c r="W46" t="s">
        <v>303</v>
      </c>
      <c r="AB46" t="s">
        <v>314</v>
      </c>
      <c r="AC46" t="s">
        <v>90</v>
      </c>
      <c r="AD46">
        <v>6</v>
      </c>
      <c r="AE46" t="s">
        <v>91</v>
      </c>
      <c r="AF46" t="s">
        <v>102</v>
      </c>
      <c r="AH46">
        <v>3364002085</v>
      </c>
      <c r="AI46">
        <v>3364</v>
      </c>
      <c r="AJ46" t="s">
        <v>306</v>
      </c>
    </row>
    <row r="47" spans="1:36">
      <c r="A47" t="s">
        <v>315</v>
      </c>
      <c r="B47" t="s">
        <v>316</v>
      </c>
      <c r="C47">
        <v>4</v>
      </c>
      <c r="D47" t="s">
        <v>78</v>
      </c>
      <c r="E47" t="s">
        <v>125</v>
      </c>
      <c r="F47" t="s">
        <v>125</v>
      </c>
      <c r="G47" t="s">
        <v>80</v>
      </c>
      <c r="H47" t="s">
        <v>81</v>
      </c>
      <c r="I47" t="s">
        <v>82</v>
      </c>
      <c r="P47">
        <v>0</v>
      </c>
      <c r="Q47" t="s">
        <v>86</v>
      </c>
      <c r="R47">
        <v>0</v>
      </c>
      <c r="S47">
        <v>0</v>
      </c>
      <c r="T47">
        <v>9500</v>
      </c>
      <c r="U47">
        <v>963491100</v>
      </c>
      <c r="V47" t="s">
        <v>87</v>
      </c>
      <c r="W47" t="s">
        <v>317</v>
      </c>
      <c r="AB47" t="s">
        <v>198</v>
      </c>
      <c r="AC47" t="s">
        <v>90</v>
      </c>
      <c r="AD47">
        <v>4</v>
      </c>
      <c r="AH47">
        <v>3401000707</v>
      </c>
      <c r="AI47">
        <v>3401</v>
      </c>
      <c r="AJ47" t="s">
        <v>318</v>
      </c>
    </row>
    <row r="48" spans="1:36">
      <c r="A48" t="s">
        <v>319</v>
      </c>
      <c r="B48" t="s">
        <v>320</v>
      </c>
      <c r="C48">
        <v>3</v>
      </c>
      <c r="D48" t="s">
        <v>133</v>
      </c>
      <c r="E48" t="s">
        <v>79</v>
      </c>
      <c r="F48" t="s">
        <v>125</v>
      </c>
      <c r="G48" t="s">
        <v>80</v>
      </c>
      <c r="H48" t="s">
        <v>81</v>
      </c>
      <c r="I48" t="s">
        <v>82</v>
      </c>
      <c r="P48">
        <v>0</v>
      </c>
      <c r="Q48" t="s">
        <v>86</v>
      </c>
      <c r="R48">
        <v>0</v>
      </c>
      <c r="S48">
        <v>0</v>
      </c>
      <c r="T48">
        <v>3950</v>
      </c>
      <c r="V48" t="s">
        <v>87</v>
      </c>
      <c r="W48" t="s">
        <v>197</v>
      </c>
      <c r="AB48">
        <v>9999</v>
      </c>
      <c r="AC48" t="s">
        <v>90</v>
      </c>
      <c r="AH48">
        <v>5790045550</v>
      </c>
      <c r="AI48">
        <v>5790</v>
      </c>
      <c r="AJ48" t="s">
        <v>199</v>
      </c>
    </row>
    <row r="49" spans="1:36">
      <c r="A49" t="s">
        <v>321</v>
      </c>
      <c r="B49" t="s">
        <v>322</v>
      </c>
      <c r="C49">
        <v>4</v>
      </c>
      <c r="D49" t="s">
        <v>183</v>
      </c>
      <c r="E49" t="s">
        <v>125</v>
      </c>
      <c r="F49" t="s">
        <v>79</v>
      </c>
      <c r="G49" t="s">
        <v>80</v>
      </c>
      <c r="H49" t="s">
        <v>81</v>
      </c>
      <c r="I49" t="s">
        <v>82</v>
      </c>
      <c r="J49" t="s">
        <v>191</v>
      </c>
      <c r="K49" t="s">
        <v>192</v>
      </c>
      <c r="L49">
        <v>1</v>
      </c>
      <c r="P49">
        <v>0</v>
      </c>
      <c r="Q49" t="s">
        <v>86</v>
      </c>
      <c r="R49">
        <v>0</v>
      </c>
      <c r="S49">
        <v>0</v>
      </c>
      <c r="T49">
        <v>3800</v>
      </c>
      <c r="V49">
        <v>5</v>
      </c>
      <c r="W49" t="s">
        <v>323</v>
      </c>
      <c r="AB49">
        <v>2700</v>
      </c>
      <c r="AC49" t="s">
        <v>90</v>
      </c>
      <c r="AD49">
        <v>4</v>
      </c>
      <c r="AE49" t="s">
        <v>101</v>
      </c>
      <c r="AF49" t="s">
        <v>102</v>
      </c>
      <c r="AH49">
        <v>8000001200</v>
      </c>
      <c r="AI49">
        <v>8000</v>
      </c>
      <c r="AJ49" t="s">
        <v>324</v>
      </c>
    </row>
    <row r="50" spans="1:36">
      <c r="A50" t="s">
        <v>325</v>
      </c>
      <c r="B50" t="s">
        <v>326</v>
      </c>
      <c r="C50" t="s">
        <v>139</v>
      </c>
      <c r="D50" t="s">
        <v>140</v>
      </c>
      <c r="E50" t="s">
        <v>79</v>
      </c>
      <c r="F50" t="s">
        <v>125</v>
      </c>
      <c r="G50" t="s">
        <v>80</v>
      </c>
      <c r="H50" t="s">
        <v>81</v>
      </c>
      <c r="P50">
        <v>0</v>
      </c>
      <c r="Q50" t="s">
        <v>86</v>
      </c>
      <c r="R50">
        <v>0</v>
      </c>
      <c r="S50">
        <v>0</v>
      </c>
      <c r="T50">
        <v>9500</v>
      </c>
      <c r="V50" t="s">
        <v>327</v>
      </c>
    </row>
    <row r="51" spans="1:36">
      <c r="A51" t="s">
        <v>328</v>
      </c>
      <c r="B51" t="s">
        <v>329</v>
      </c>
      <c r="C51">
        <v>3</v>
      </c>
      <c r="D51" t="s">
        <v>174</v>
      </c>
      <c r="E51" t="s">
        <v>79</v>
      </c>
      <c r="F51" t="s">
        <v>79</v>
      </c>
      <c r="G51" t="s">
        <v>80</v>
      </c>
      <c r="H51" t="s">
        <v>81</v>
      </c>
      <c r="I51" t="s">
        <v>82</v>
      </c>
      <c r="J51" t="s">
        <v>106</v>
      </c>
      <c r="K51" t="s">
        <v>107</v>
      </c>
      <c r="L51" s="1">
        <v>45328</v>
      </c>
      <c r="N51" t="s">
        <v>108</v>
      </c>
      <c r="O51" t="s">
        <v>98</v>
      </c>
      <c r="P51">
        <v>0</v>
      </c>
      <c r="Q51" t="s">
        <v>86</v>
      </c>
      <c r="R51">
        <v>0</v>
      </c>
      <c r="S51">
        <v>0</v>
      </c>
      <c r="T51">
        <v>4885</v>
      </c>
      <c r="U51">
        <v>963195241</v>
      </c>
      <c r="V51" t="s">
        <v>87</v>
      </c>
      <c r="W51" t="s">
        <v>330</v>
      </c>
      <c r="AB51" t="s">
        <v>147</v>
      </c>
      <c r="AC51" t="s">
        <v>90</v>
      </c>
      <c r="AD51">
        <v>6</v>
      </c>
      <c r="AE51" t="s">
        <v>101</v>
      </c>
      <c r="AF51" t="s">
        <v>102</v>
      </c>
      <c r="AH51">
        <v>2477000907</v>
      </c>
      <c r="AI51">
        <v>2477</v>
      </c>
      <c r="AJ51" t="s">
        <v>331</v>
      </c>
    </row>
    <row r="52" spans="1:36">
      <c r="A52" t="s">
        <v>332</v>
      </c>
      <c r="B52" t="s">
        <v>333</v>
      </c>
      <c r="C52">
        <v>3</v>
      </c>
      <c r="D52" t="s">
        <v>133</v>
      </c>
      <c r="E52" t="s">
        <v>79</v>
      </c>
      <c r="F52" t="s">
        <v>79</v>
      </c>
      <c r="G52" t="s">
        <v>80</v>
      </c>
      <c r="H52" t="s">
        <v>81</v>
      </c>
      <c r="I52" t="s">
        <v>82</v>
      </c>
      <c r="J52" t="s">
        <v>106</v>
      </c>
      <c r="K52" t="s">
        <v>107</v>
      </c>
      <c r="L52" s="1">
        <v>45328</v>
      </c>
      <c r="N52" t="s">
        <v>108</v>
      </c>
      <c r="O52" t="s">
        <v>98</v>
      </c>
      <c r="P52">
        <v>0</v>
      </c>
      <c r="Q52" t="s">
        <v>86</v>
      </c>
      <c r="R52">
        <v>0</v>
      </c>
      <c r="S52">
        <v>0</v>
      </c>
      <c r="T52">
        <v>3950</v>
      </c>
      <c r="U52">
        <v>987700000</v>
      </c>
      <c r="V52" t="s">
        <v>87</v>
      </c>
      <c r="W52" t="s">
        <v>330</v>
      </c>
      <c r="AB52" t="s">
        <v>147</v>
      </c>
      <c r="AC52" t="s">
        <v>90</v>
      </c>
      <c r="AD52">
        <v>6</v>
      </c>
      <c r="AE52" t="s">
        <v>101</v>
      </c>
      <c r="AF52" t="s">
        <v>102</v>
      </c>
      <c r="AH52">
        <v>2477000906</v>
      </c>
      <c r="AI52">
        <v>2477</v>
      </c>
      <c r="AJ52" t="s">
        <v>331</v>
      </c>
    </row>
    <row r="53" spans="1:36">
      <c r="A53" t="s">
        <v>334</v>
      </c>
      <c r="B53" t="s">
        <v>335</v>
      </c>
      <c r="C53" t="s">
        <v>139</v>
      </c>
      <c r="D53" t="s">
        <v>140</v>
      </c>
      <c r="E53" t="s">
        <v>79</v>
      </c>
      <c r="F53" t="s">
        <v>125</v>
      </c>
      <c r="G53" t="s">
        <v>80</v>
      </c>
      <c r="H53" t="s">
        <v>81</v>
      </c>
      <c r="P53">
        <v>0</v>
      </c>
      <c r="Q53" t="s">
        <v>86</v>
      </c>
      <c r="R53">
        <v>0</v>
      </c>
      <c r="S53">
        <v>0</v>
      </c>
      <c r="T53">
        <v>9500</v>
      </c>
      <c r="U53">
        <v>963491100</v>
      </c>
      <c r="V53" t="s">
        <v>327</v>
      </c>
    </row>
    <row r="54" spans="1:36">
      <c r="A54" t="s">
        <v>336</v>
      </c>
      <c r="B54" t="s">
        <v>337</v>
      </c>
      <c r="C54">
        <v>1</v>
      </c>
      <c r="D54" t="s">
        <v>338</v>
      </c>
      <c r="E54" t="s">
        <v>79</v>
      </c>
      <c r="F54" t="s">
        <v>125</v>
      </c>
      <c r="G54" t="s">
        <v>80</v>
      </c>
      <c r="H54" t="s">
        <v>81</v>
      </c>
      <c r="P54">
        <v>0</v>
      </c>
      <c r="Q54" t="s">
        <v>86</v>
      </c>
      <c r="R54">
        <v>0</v>
      </c>
      <c r="S54">
        <v>0</v>
      </c>
      <c r="T54">
        <v>9500</v>
      </c>
      <c r="V54" t="s">
        <v>327</v>
      </c>
      <c r="AH54">
        <v>2748975</v>
      </c>
      <c r="AI54">
        <v>2748</v>
      </c>
    </row>
    <row r="55" spans="1:36">
      <c r="A55" t="s">
        <v>339</v>
      </c>
      <c r="B55" t="s">
        <v>340</v>
      </c>
      <c r="C55">
        <v>3</v>
      </c>
      <c r="D55" t="s">
        <v>78</v>
      </c>
      <c r="E55" t="s">
        <v>79</v>
      </c>
      <c r="F55" t="s">
        <v>79</v>
      </c>
      <c r="G55" t="s">
        <v>80</v>
      </c>
      <c r="H55" t="s">
        <v>81</v>
      </c>
      <c r="I55" t="s">
        <v>82</v>
      </c>
      <c r="J55" t="s">
        <v>341</v>
      </c>
      <c r="K55" t="s">
        <v>342</v>
      </c>
      <c r="L55" t="s">
        <v>343</v>
      </c>
      <c r="O55" t="s">
        <v>177</v>
      </c>
      <c r="P55">
        <v>0</v>
      </c>
      <c r="Q55" t="s">
        <v>86</v>
      </c>
      <c r="R55">
        <v>0</v>
      </c>
      <c r="S55">
        <v>0</v>
      </c>
      <c r="T55">
        <v>9500</v>
      </c>
      <c r="U55">
        <v>963492500</v>
      </c>
      <c r="V55" t="s">
        <v>87</v>
      </c>
      <c r="W55" t="s">
        <v>344</v>
      </c>
      <c r="AB55" t="s">
        <v>291</v>
      </c>
      <c r="AC55" t="s">
        <v>90</v>
      </c>
      <c r="AD55">
        <v>6</v>
      </c>
      <c r="AE55" t="s">
        <v>91</v>
      </c>
      <c r="AF55" t="s">
        <v>102</v>
      </c>
      <c r="AH55">
        <v>3710001650</v>
      </c>
      <c r="AI55">
        <v>3710</v>
      </c>
      <c r="AJ55" t="s">
        <v>292</v>
      </c>
    </row>
    <row r="56" spans="1:36">
      <c r="A56" t="s">
        <v>345</v>
      </c>
      <c r="B56" t="s">
        <v>346</v>
      </c>
      <c r="C56" t="s">
        <v>139</v>
      </c>
      <c r="D56" t="s">
        <v>140</v>
      </c>
      <c r="E56" t="s">
        <v>79</v>
      </c>
      <c r="F56" t="s">
        <v>125</v>
      </c>
      <c r="G56" t="s">
        <v>80</v>
      </c>
      <c r="H56" t="s">
        <v>81</v>
      </c>
      <c r="P56">
        <v>0</v>
      </c>
      <c r="Q56" t="s">
        <v>86</v>
      </c>
      <c r="R56">
        <v>0</v>
      </c>
      <c r="S56">
        <v>0</v>
      </c>
      <c r="T56">
        <v>600</v>
      </c>
      <c r="U56">
        <v>963061209</v>
      </c>
      <c r="V56" t="s">
        <v>327</v>
      </c>
    </row>
    <row r="57" spans="1:36">
      <c r="A57" t="s">
        <v>347</v>
      </c>
      <c r="B57" t="s">
        <v>348</v>
      </c>
      <c r="C57">
        <v>3</v>
      </c>
      <c r="D57" t="s">
        <v>174</v>
      </c>
      <c r="E57" t="s">
        <v>79</v>
      </c>
      <c r="F57" t="s">
        <v>79</v>
      </c>
      <c r="G57" t="s">
        <v>80</v>
      </c>
      <c r="H57" t="s">
        <v>81</v>
      </c>
      <c r="I57" t="s">
        <v>82</v>
      </c>
      <c r="J57" t="s">
        <v>95</v>
      </c>
      <c r="K57" t="s">
        <v>184</v>
      </c>
      <c r="L57">
        <v>98</v>
      </c>
      <c r="N57" t="s">
        <v>185</v>
      </c>
      <c r="O57" t="s">
        <v>98</v>
      </c>
      <c r="P57">
        <v>0</v>
      </c>
      <c r="Q57" t="s">
        <v>86</v>
      </c>
      <c r="R57">
        <v>0</v>
      </c>
      <c r="S57">
        <v>0</v>
      </c>
      <c r="T57">
        <v>4885</v>
      </c>
      <c r="U57">
        <v>96319</v>
      </c>
      <c r="V57">
        <v>4</v>
      </c>
      <c r="W57" t="s">
        <v>317</v>
      </c>
      <c r="AB57" t="s">
        <v>100</v>
      </c>
      <c r="AC57" t="s">
        <v>90</v>
      </c>
      <c r="AD57">
        <v>6</v>
      </c>
      <c r="AE57" t="s">
        <v>101</v>
      </c>
      <c r="AF57" t="s">
        <v>102</v>
      </c>
      <c r="AH57">
        <v>2350000100</v>
      </c>
      <c r="AI57">
        <v>2350</v>
      </c>
      <c r="AJ57" t="s">
        <v>349</v>
      </c>
    </row>
    <row r="58" spans="1:36">
      <c r="A58" t="s">
        <v>350</v>
      </c>
      <c r="B58" t="s">
        <v>351</v>
      </c>
      <c r="C58" t="s">
        <v>139</v>
      </c>
      <c r="D58" t="s">
        <v>350</v>
      </c>
      <c r="E58" t="s">
        <v>79</v>
      </c>
      <c r="F58" t="s">
        <v>125</v>
      </c>
      <c r="G58" t="s">
        <v>80</v>
      </c>
      <c r="H58" t="s">
        <v>81</v>
      </c>
      <c r="P58">
        <v>0</v>
      </c>
      <c r="Q58" t="s">
        <v>86</v>
      </c>
      <c r="R58">
        <v>0</v>
      </c>
      <c r="S58">
        <v>0</v>
      </c>
      <c r="T58">
        <v>5075</v>
      </c>
      <c r="V58" t="s">
        <v>327</v>
      </c>
    </row>
    <row r="59" spans="1:36">
      <c r="A59" t="s">
        <v>352</v>
      </c>
      <c r="B59" t="s">
        <v>353</v>
      </c>
      <c r="C59">
        <v>3</v>
      </c>
      <c r="D59" t="s">
        <v>78</v>
      </c>
      <c r="E59" t="s">
        <v>79</v>
      </c>
      <c r="F59" t="s">
        <v>79</v>
      </c>
      <c r="G59" t="s">
        <v>80</v>
      </c>
      <c r="H59" t="s">
        <v>81</v>
      </c>
      <c r="I59" t="s">
        <v>82</v>
      </c>
      <c r="J59" t="s">
        <v>95</v>
      </c>
      <c r="K59" t="s">
        <v>96</v>
      </c>
      <c r="L59">
        <v>97</v>
      </c>
      <c r="N59" t="s">
        <v>97</v>
      </c>
      <c r="O59" t="s">
        <v>98</v>
      </c>
      <c r="P59">
        <v>0</v>
      </c>
      <c r="Q59" t="s">
        <v>86</v>
      </c>
      <c r="R59">
        <v>0</v>
      </c>
      <c r="S59">
        <v>0</v>
      </c>
      <c r="T59">
        <v>9500</v>
      </c>
      <c r="U59">
        <v>963490053</v>
      </c>
      <c r="V59">
        <v>4</v>
      </c>
      <c r="W59" t="s">
        <v>354</v>
      </c>
      <c r="AB59" t="s">
        <v>100</v>
      </c>
      <c r="AC59" t="s">
        <v>90</v>
      </c>
      <c r="AD59">
        <v>6</v>
      </c>
      <c r="AE59" t="s">
        <v>101</v>
      </c>
      <c r="AF59" t="s">
        <v>102</v>
      </c>
      <c r="AH59">
        <v>6086000700</v>
      </c>
      <c r="AI59">
        <v>6086</v>
      </c>
      <c r="AJ59" t="s">
        <v>355</v>
      </c>
    </row>
    <row r="60" spans="1:36">
      <c r="A60" t="s">
        <v>356</v>
      </c>
      <c r="B60" t="s">
        <v>357</v>
      </c>
      <c r="C60">
        <v>3</v>
      </c>
      <c r="D60" t="s">
        <v>174</v>
      </c>
      <c r="E60" t="s">
        <v>79</v>
      </c>
      <c r="F60" t="s">
        <v>79</v>
      </c>
      <c r="G60" t="s">
        <v>80</v>
      </c>
      <c r="H60" t="s">
        <v>81</v>
      </c>
      <c r="I60" t="s">
        <v>82</v>
      </c>
      <c r="J60" t="s">
        <v>95</v>
      </c>
      <c r="K60" t="s">
        <v>184</v>
      </c>
      <c r="L60" s="1">
        <v>45328</v>
      </c>
      <c r="N60" t="s">
        <v>185</v>
      </c>
      <c r="O60" t="s">
        <v>98</v>
      </c>
      <c r="P60">
        <v>0</v>
      </c>
      <c r="Q60" t="s">
        <v>86</v>
      </c>
      <c r="R60">
        <v>0</v>
      </c>
      <c r="S60">
        <v>0</v>
      </c>
      <c r="T60">
        <v>4885</v>
      </c>
      <c r="U60">
        <v>963195056</v>
      </c>
      <c r="V60" t="s">
        <v>87</v>
      </c>
      <c r="W60" t="s">
        <v>347</v>
      </c>
      <c r="AB60" t="s">
        <v>100</v>
      </c>
      <c r="AC60" t="s">
        <v>90</v>
      </c>
      <c r="AD60">
        <v>6</v>
      </c>
      <c r="AE60" t="s">
        <v>101</v>
      </c>
      <c r="AF60" t="s">
        <v>102</v>
      </c>
      <c r="AH60">
        <v>2350000148</v>
      </c>
      <c r="AI60">
        <v>2350</v>
      </c>
      <c r="AJ60" t="s">
        <v>349</v>
      </c>
    </row>
    <row r="61" spans="1:36">
      <c r="A61" t="s">
        <v>358</v>
      </c>
      <c r="B61" t="s">
        <v>359</v>
      </c>
      <c r="C61">
        <v>3</v>
      </c>
      <c r="D61" t="s">
        <v>78</v>
      </c>
      <c r="E61" t="s">
        <v>79</v>
      </c>
      <c r="F61" t="s">
        <v>125</v>
      </c>
      <c r="G61" t="s">
        <v>80</v>
      </c>
      <c r="H61" t="s">
        <v>81</v>
      </c>
      <c r="P61">
        <v>0</v>
      </c>
      <c r="Q61" t="s">
        <v>86</v>
      </c>
      <c r="R61">
        <v>0</v>
      </c>
      <c r="S61">
        <v>0</v>
      </c>
      <c r="T61">
        <v>9510</v>
      </c>
      <c r="V61" t="s">
        <v>327</v>
      </c>
    </row>
    <row r="62" spans="1:36">
      <c r="A62" t="s">
        <v>360</v>
      </c>
      <c r="B62" t="s">
        <v>361</v>
      </c>
      <c r="C62">
        <v>3</v>
      </c>
      <c r="D62" t="s">
        <v>133</v>
      </c>
      <c r="E62" t="s">
        <v>79</v>
      </c>
      <c r="F62" t="s">
        <v>79</v>
      </c>
      <c r="G62" t="s">
        <v>80</v>
      </c>
      <c r="H62" t="s">
        <v>81</v>
      </c>
      <c r="I62" t="s">
        <v>82</v>
      </c>
      <c r="J62" t="s">
        <v>362</v>
      </c>
      <c r="K62" t="s">
        <v>363</v>
      </c>
      <c r="L62">
        <v>1</v>
      </c>
      <c r="O62" t="s">
        <v>156</v>
      </c>
      <c r="P62">
        <v>0</v>
      </c>
      <c r="Q62" t="s">
        <v>86</v>
      </c>
      <c r="R62">
        <v>0</v>
      </c>
      <c r="S62">
        <v>0</v>
      </c>
      <c r="T62">
        <v>3950</v>
      </c>
      <c r="U62">
        <v>963701700</v>
      </c>
      <c r="V62" t="s">
        <v>87</v>
      </c>
      <c r="W62" t="s">
        <v>364</v>
      </c>
      <c r="AB62" t="s">
        <v>365</v>
      </c>
      <c r="AC62" t="s">
        <v>90</v>
      </c>
      <c r="AD62">
        <v>6</v>
      </c>
      <c r="AE62" t="s">
        <v>91</v>
      </c>
      <c r="AF62" t="s">
        <v>102</v>
      </c>
      <c r="AH62">
        <v>2000005766</v>
      </c>
      <c r="AI62">
        <v>2000</v>
      </c>
      <c r="AJ62" t="s">
        <v>366</v>
      </c>
    </row>
    <row r="63" spans="1:36">
      <c r="A63" t="s">
        <v>367</v>
      </c>
      <c r="B63" t="s">
        <v>368</v>
      </c>
      <c r="C63" t="s">
        <v>139</v>
      </c>
      <c r="D63" t="s">
        <v>140</v>
      </c>
      <c r="E63" t="s">
        <v>79</v>
      </c>
      <c r="F63" t="s">
        <v>125</v>
      </c>
      <c r="G63" t="s">
        <v>80</v>
      </c>
      <c r="H63" t="s">
        <v>81</v>
      </c>
      <c r="P63">
        <v>0</v>
      </c>
      <c r="Q63" t="s">
        <v>86</v>
      </c>
      <c r="R63">
        <v>0</v>
      </c>
      <c r="S63">
        <v>0</v>
      </c>
      <c r="T63">
        <v>9999</v>
      </c>
      <c r="V63" t="s">
        <v>327</v>
      </c>
    </row>
    <row r="64" spans="1:36">
      <c r="A64" t="s">
        <v>369</v>
      </c>
      <c r="B64" t="s">
        <v>370</v>
      </c>
      <c r="C64">
        <v>3</v>
      </c>
      <c r="D64" t="s">
        <v>174</v>
      </c>
      <c r="E64" t="s">
        <v>79</v>
      </c>
      <c r="F64" t="s">
        <v>79</v>
      </c>
      <c r="G64" t="s">
        <v>80</v>
      </c>
      <c r="H64" t="s">
        <v>81</v>
      </c>
      <c r="I64" t="s">
        <v>82</v>
      </c>
      <c r="J64" t="s">
        <v>223</v>
      </c>
      <c r="K64" t="s">
        <v>224</v>
      </c>
      <c r="L64" t="s">
        <v>84</v>
      </c>
      <c r="O64" t="s">
        <v>85</v>
      </c>
      <c r="P64">
        <v>0</v>
      </c>
      <c r="Q64" t="s">
        <v>86</v>
      </c>
      <c r="R64">
        <v>0</v>
      </c>
      <c r="S64">
        <v>0</v>
      </c>
      <c r="T64">
        <v>4885</v>
      </c>
      <c r="V64" t="s">
        <v>87</v>
      </c>
      <c r="W64" t="s">
        <v>225</v>
      </c>
      <c r="AB64" t="s">
        <v>226</v>
      </c>
      <c r="AC64" t="s">
        <v>90</v>
      </c>
      <c r="AD64">
        <v>6</v>
      </c>
      <c r="AE64" t="s">
        <v>91</v>
      </c>
      <c r="AF64" t="s">
        <v>92</v>
      </c>
      <c r="AH64">
        <v>9515000204</v>
      </c>
      <c r="AI64">
        <v>9515</v>
      </c>
      <c r="AJ64" t="s">
        <v>227</v>
      </c>
    </row>
    <row r="65" spans="1:36">
      <c r="A65" t="s">
        <v>371</v>
      </c>
      <c r="B65" t="s">
        <v>372</v>
      </c>
      <c r="C65">
        <v>3</v>
      </c>
      <c r="D65" t="s">
        <v>183</v>
      </c>
      <c r="E65" t="s">
        <v>79</v>
      </c>
      <c r="F65" t="s">
        <v>79</v>
      </c>
      <c r="G65" t="s">
        <v>80</v>
      </c>
      <c r="H65" t="s">
        <v>81</v>
      </c>
      <c r="I65" t="s">
        <v>82</v>
      </c>
      <c r="J65" t="s">
        <v>223</v>
      </c>
      <c r="K65" t="s">
        <v>224</v>
      </c>
      <c r="L65" t="s">
        <v>84</v>
      </c>
      <c r="O65" t="s">
        <v>85</v>
      </c>
      <c r="P65">
        <v>0</v>
      </c>
      <c r="Q65" t="s">
        <v>86</v>
      </c>
      <c r="R65">
        <v>0</v>
      </c>
      <c r="S65">
        <v>0</v>
      </c>
      <c r="T65">
        <v>3800</v>
      </c>
      <c r="V65" t="s">
        <v>87</v>
      </c>
      <c r="W65" t="s">
        <v>225</v>
      </c>
      <c r="AB65" t="s">
        <v>226</v>
      </c>
      <c r="AC65" t="s">
        <v>90</v>
      </c>
      <c r="AD65">
        <v>6</v>
      </c>
      <c r="AE65" t="s">
        <v>91</v>
      </c>
      <c r="AF65" t="s">
        <v>92</v>
      </c>
      <c r="AH65">
        <v>9515000203</v>
      </c>
      <c r="AI65">
        <v>9515</v>
      </c>
      <c r="AJ65" t="s">
        <v>227</v>
      </c>
    </row>
    <row r="66" spans="1:36">
      <c r="A66" t="s">
        <v>373</v>
      </c>
      <c r="B66" t="s">
        <v>374</v>
      </c>
      <c r="C66">
        <v>3</v>
      </c>
      <c r="D66" t="s">
        <v>78</v>
      </c>
      <c r="E66" t="s">
        <v>79</v>
      </c>
      <c r="F66" t="s">
        <v>125</v>
      </c>
      <c r="G66" t="s">
        <v>80</v>
      </c>
      <c r="H66" t="s">
        <v>81</v>
      </c>
      <c r="I66" t="s">
        <v>82</v>
      </c>
      <c r="P66">
        <v>0</v>
      </c>
      <c r="Q66" t="s">
        <v>86</v>
      </c>
      <c r="R66">
        <v>0</v>
      </c>
      <c r="S66">
        <v>0</v>
      </c>
      <c r="T66">
        <v>8000</v>
      </c>
      <c r="U66">
        <v>963491100</v>
      </c>
      <c r="V66" t="s">
        <v>87</v>
      </c>
      <c r="W66" t="s">
        <v>375</v>
      </c>
      <c r="AB66" t="s">
        <v>226</v>
      </c>
      <c r="AC66" t="s">
        <v>90</v>
      </c>
      <c r="AD66">
        <v>6</v>
      </c>
      <c r="AH66">
        <v>9515000548</v>
      </c>
      <c r="AI66">
        <v>9515</v>
      </c>
      <c r="AJ66" t="s">
        <v>227</v>
      </c>
    </row>
    <row r="67" spans="1:36">
      <c r="A67" t="s">
        <v>376</v>
      </c>
      <c r="B67" t="s">
        <v>377</v>
      </c>
      <c r="C67">
        <v>3</v>
      </c>
      <c r="D67" t="s">
        <v>78</v>
      </c>
      <c r="E67" t="s">
        <v>79</v>
      </c>
      <c r="F67" t="s">
        <v>79</v>
      </c>
      <c r="G67" t="s">
        <v>80</v>
      </c>
      <c r="H67" t="s">
        <v>81</v>
      </c>
      <c r="I67" t="s">
        <v>82</v>
      </c>
      <c r="J67" t="s">
        <v>95</v>
      </c>
      <c r="K67" t="s">
        <v>96</v>
      </c>
      <c r="L67">
        <v>97</v>
      </c>
      <c r="N67" t="s">
        <v>97</v>
      </c>
      <c r="O67" t="s">
        <v>98</v>
      </c>
      <c r="P67">
        <v>0</v>
      </c>
      <c r="Q67" t="s">
        <v>86</v>
      </c>
      <c r="R67">
        <v>0</v>
      </c>
      <c r="S67">
        <v>0</v>
      </c>
      <c r="T67">
        <v>9500</v>
      </c>
      <c r="U67">
        <v>96349</v>
      </c>
      <c r="V67">
        <v>5</v>
      </c>
      <c r="W67" t="s">
        <v>378</v>
      </c>
      <c r="AB67" t="s">
        <v>100</v>
      </c>
      <c r="AC67" t="s">
        <v>90</v>
      </c>
      <c r="AD67">
        <v>6</v>
      </c>
      <c r="AE67" t="s">
        <v>101</v>
      </c>
      <c r="AF67" t="s">
        <v>102</v>
      </c>
      <c r="AH67">
        <v>4640000200</v>
      </c>
      <c r="AI67">
        <v>4640</v>
      </c>
      <c r="AJ67" t="s">
        <v>379</v>
      </c>
    </row>
    <row r="68" spans="1:36">
      <c r="A68" t="s">
        <v>380</v>
      </c>
      <c r="B68" t="s">
        <v>381</v>
      </c>
      <c r="C68">
        <v>3</v>
      </c>
      <c r="D68" t="s">
        <v>133</v>
      </c>
      <c r="E68" t="s">
        <v>79</v>
      </c>
      <c r="F68" t="s">
        <v>125</v>
      </c>
      <c r="G68" t="s">
        <v>80</v>
      </c>
      <c r="H68" t="s">
        <v>81</v>
      </c>
      <c r="P68">
        <v>0</v>
      </c>
      <c r="Q68" t="s">
        <v>86</v>
      </c>
      <c r="R68">
        <v>0</v>
      </c>
      <c r="S68">
        <v>0</v>
      </c>
      <c r="T68">
        <v>5615</v>
      </c>
      <c r="U68">
        <v>963701100</v>
      </c>
      <c r="V68" t="s">
        <v>327</v>
      </c>
    </row>
    <row r="69" spans="1:36">
      <c r="A69" t="s">
        <v>382</v>
      </c>
      <c r="B69" t="s">
        <v>383</v>
      </c>
      <c r="C69">
        <v>3</v>
      </c>
      <c r="D69" t="s">
        <v>78</v>
      </c>
      <c r="E69" t="s">
        <v>79</v>
      </c>
      <c r="F69" t="s">
        <v>79</v>
      </c>
      <c r="G69" t="s">
        <v>80</v>
      </c>
      <c r="H69" t="s">
        <v>81</v>
      </c>
      <c r="I69" t="s">
        <v>82</v>
      </c>
      <c r="J69" t="s">
        <v>95</v>
      </c>
      <c r="K69" t="s">
        <v>384</v>
      </c>
      <c r="L69">
        <v>98</v>
      </c>
      <c r="M69" t="s">
        <v>385</v>
      </c>
      <c r="O69" t="s">
        <v>98</v>
      </c>
      <c r="P69">
        <v>0</v>
      </c>
      <c r="Q69" t="s">
        <v>86</v>
      </c>
      <c r="R69">
        <v>0</v>
      </c>
      <c r="S69">
        <v>0</v>
      </c>
      <c r="T69">
        <v>9500</v>
      </c>
      <c r="V69">
        <v>4</v>
      </c>
      <c r="W69" t="s">
        <v>317</v>
      </c>
      <c r="AB69" t="s">
        <v>100</v>
      </c>
      <c r="AC69" t="s">
        <v>90</v>
      </c>
      <c r="AD69">
        <v>6</v>
      </c>
      <c r="AE69" t="s">
        <v>101</v>
      </c>
      <c r="AF69" t="s">
        <v>102</v>
      </c>
      <c r="AH69">
        <v>4866001500</v>
      </c>
      <c r="AI69">
        <v>4866</v>
      </c>
      <c r="AJ69" t="s">
        <v>386</v>
      </c>
    </row>
    <row r="70" spans="1:36">
      <c r="A70" t="s">
        <v>387</v>
      </c>
      <c r="B70" t="s">
        <v>388</v>
      </c>
      <c r="C70">
        <v>3</v>
      </c>
      <c r="D70" t="s">
        <v>78</v>
      </c>
      <c r="E70" t="s">
        <v>79</v>
      </c>
      <c r="F70" t="s">
        <v>79</v>
      </c>
      <c r="G70" t="s">
        <v>80</v>
      </c>
      <c r="H70" t="s">
        <v>81</v>
      </c>
      <c r="I70" t="s">
        <v>82</v>
      </c>
      <c r="J70" t="s">
        <v>95</v>
      </c>
      <c r="K70" t="s">
        <v>389</v>
      </c>
      <c r="L70">
        <v>4</v>
      </c>
      <c r="M70" t="s">
        <v>385</v>
      </c>
      <c r="O70" t="s">
        <v>98</v>
      </c>
      <c r="P70">
        <v>0</v>
      </c>
      <c r="Q70" t="s">
        <v>86</v>
      </c>
      <c r="R70">
        <v>0</v>
      </c>
      <c r="S70">
        <v>0</v>
      </c>
      <c r="T70">
        <v>9500</v>
      </c>
      <c r="U70">
        <v>963491100</v>
      </c>
      <c r="V70">
        <v>4</v>
      </c>
      <c r="W70" t="s">
        <v>390</v>
      </c>
      <c r="AB70" t="s">
        <v>391</v>
      </c>
      <c r="AC70" t="s">
        <v>90</v>
      </c>
      <c r="AD70">
        <v>6</v>
      </c>
      <c r="AE70" t="s">
        <v>101</v>
      </c>
      <c r="AF70" t="s">
        <v>102</v>
      </c>
      <c r="AH70">
        <v>6035004100</v>
      </c>
      <c r="AI70">
        <v>6035</v>
      </c>
      <c r="AJ70" t="s">
        <v>392</v>
      </c>
    </row>
    <row r="71" spans="1:36">
      <c r="A71" t="s">
        <v>393</v>
      </c>
      <c r="B71" t="s">
        <v>394</v>
      </c>
      <c r="C71">
        <v>3</v>
      </c>
      <c r="D71" t="s">
        <v>133</v>
      </c>
      <c r="E71" t="s">
        <v>79</v>
      </c>
      <c r="F71" t="s">
        <v>79</v>
      </c>
      <c r="G71" t="s">
        <v>80</v>
      </c>
      <c r="H71" t="s">
        <v>81</v>
      </c>
      <c r="I71" t="s">
        <v>82</v>
      </c>
      <c r="J71" t="s">
        <v>95</v>
      </c>
      <c r="K71" t="s">
        <v>389</v>
      </c>
      <c r="L71">
        <v>4</v>
      </c>
      <c r="M71" t="s">
        <v>385</v>
      </c>
      <c r="O71" t="s">
        <v>98</v>
      </c>
      <c r="P71">
        <v>0</v>
      </c>
      <c r="Q71" t="s">
        <v>86</v>
      </c>
      <c r="R71">
        <v>0</v>
      </c>
      <c r="S71">
        <v>0</v>
      </c>
      <c r="T71">
        <v>3950</v>
      </c>
      <c r="U71">
        <v>963700054</v>
      </c>
      <c r="V71">
        <v>4</v>
      </c>
      <c r="W71" t="s">
        <v>390</v>
      </c>
      <c r="AB71" t="s">
        <v>391</v>
      </c>
      <c r="AC71" t="s">
        <v>90</v>
      </c>
      <c r="AD71">
        <v>6</v>
      </c>
      <c r="AE71" t="s">
        <v>101</v>
      </c>
      <c r="AF71" t="s">
        <v>102</v>
      </c>
      <c r="AH71">
        <v>6035003100</v>
      </c>
      <c r="AI71">
        <v>6035</v>
      </c>
      <c r="AJ71" t="s">
        <v>392</v>
      </c>
    </row>
    <row r="72" spans="1:36">
      <c r="A72" t="s">
        <v>395</v>
      </c>
      <c r="B72" t="s">
        <v>396</v>
      </c>
      <c r="C72">
        <v>4</v>
      </c>
      <c r="D72" t="s">
        <v>140</v>
      </c>
      <c r="E72" t="s">
        <v>79</v>
      </c>
      <c r="F72" t="s">
        <v>125</v>
      </c>
      <c r="G72" t="s">
        <v>80</v>
      </c>
      <c r="H72" t="s">
        <v>81</v>
      </c>
      <c r="P72">
        <v>0</v>
      </c>
      <c r="Q72" t="s">
        <v>86</v>
      </c>
      <c r="R72">
        <v>0</v>
      </c>
      <c r="S72">
        <v>0</v>
      </c>
      <c r="T72">
        <v>9500</v>
      </c>
      <c r="U72">
        <v>963491900</v>
      </c>
      <c r="V72" t="s">
        <v>327</v>
      </c>
      <c r="AH72">
        <v>8242940</v>
      </c>
      <c r="AI72">
        <v>8242</v>
      </c>
    </row>
    <row r="73" spans="1:36">
      <c r="A73" t="s">
        <v>397</v>
      </c>
      <c r="B73" t="s">
        <v>398</v>
      </c>
      <c r="C73" t="s">
        <v>139</v>
      </c>
      <c r="D73" t="s">
        <v>140</v>
      </c>
      <c r="E73" t="s">
        <v>79</v>
      </c>
      <c r="F73" t="s">
        <v>125</v>
      </c>
      <c r="G73" t="s">
        <v>80</v>
      </c>
      <c r="H73" t="s">
        <v>81</v>
      </c>
      <c r="I73" t="s">
        <v>82</v>
      </c>
      <c r="P73">
        <v>0</v>
      </c>
      <c r="Q73" t="s">
        <v>86</v>
      </c>
      <c r="R73">
        <v>0</v>
      </c>
      <c r="S73">
        <v>0</v>
      </c>
      <c r="T73">
        <v>600</v>
      </c>
      <c r="V73" t="s">
        <v>87</v>
      </c>
      <c r="W73" t="s">
        <v>204</v>
      </c>
      <c r="AB73" t="s">
        <v>100</v>
      </c>
      <c r="AC73" t="s">
        <v>90</v>
      </c>
      <c r="AH73">
        <v>2333092021</v>
      </c>
      <c r="AI73">
        <v>2333</v>
      </c>
      <c r="AJ73" t="s">
        <v>206</v>
      </c>
    </row>
    <row r="74" spans="1:36">
      <c r="A74" t="s">
        <v>338</v>
      </c>
      <c r="B74" t="s">
        <v>399</v>
      </c>
      <c r="C74">
        <v>4</v>
      </c>
      <c r="D74" t="s">
        <v>78</v>
      </c>
      <c r="E74" t="s">
        <v>79</v>
      </c>
      <c r="F74" t="s">
        <v>125</v>
      </c>
      <c r="G74" t="s">
        <v>80</v>
      </c>
      <c r="H74" t="s">
        <v>81</v>
      </c>
      <c r="P74">
        <v>0</v>
      </c>
      <c r="Q74" t="s">
        <v>86</v>
      </c>
      <c r="R74">
        <v>0</v>
      </c>
      <c r="S74">
        <v>0</v>
      </c>
      <c r="T74">
        <v>9999</v>
      </c>
      <c r="U74">
        <v>987620000</v>
      </c>
      <c r="V74" t="s">
        <v>327</v>
      </c>
      <c r="AH74">
        <v>3435950</v>
      </c>
      <c r="AI74">
        <v>3435</v>
      </c>
      <c r="AJ74" t="s">
        <v>143</v>
      </c>
    </row>
    <row r="75" spans="1:36">
      <c r="A75" t="s">
        <v>400</v>
      </c>
      <c r="B75" t="s">
        <v>401</v>
      </c>
      <c r="C75" t="s">
        <v>139</v>
      </c>
      <c r="D75" t="s">
        <v>140</v>
      </c>
      <c r="E75" t="s">
        <v>79</v>
      </c>
      <c r="F75" t="s">
        <v>125</v>
      </c>
      <c r="G75" t="s">
        <v>80</v>
      </c>
      <c r="H75" t="s">
        <v>81</v>
      </c>
      <c r="P75">
        <v>0</v>
      </c>
      <c r="Q75" t="s">
        <v>86</v>
      </c>
      <c r="R75">
        <v>0</v>
      </c>
      <c r="S75">
        <v>0</v>
      </c>
      <c r="T75">
        <v>9999</v>
      </c>
      <c r="U75">
        <v>987620000</v>
      </c>
      <c r="V75" t="s">
        <v>327</v>
      </c>
      <c r="AH75">
        <v>4576900</v>
      </c>
      <c r="AI75">
        <v>4576</v>
      </c>
    </row>
    <row r="76" spans="1:36">
      <c r="A76" t="s">
        <v>402</v>
      </c>
      <c r="B76" t="s">
        <v>403</v>
      </c>
      <c r="C76">
        <v>3</v>
      </c>
      <c r="D76" t="s">
        <v>130</v>
      </c>
      <c r="E76" t="s">
        <v>79</v>
      </c>
      <c r="F76" t="s">
        <v>79</v>
      </c>
      <c r="G76" t="s">
        <v>80</v>
      </c>
      <c r="H76" t="s">
        <v>81</v>
      </c>
      <c r="I76" t="s">
        <v>82</v>
      </c>
      <c r="J76" t="s">
        <v>95</v>
      </c>
      <c r="K76" t="s">
        <v>389</v>
      </c>
      <c r="L76">
        <v>4</v>
      </c>
      <c r="M76" t="s">
        <v>385</v>
      </c>
      <c r="O76" t="s">
        <v>98</v>
      </c>
      <c r="P76">
        <v>0</v>
      </c>
      <c r="Q76" t="s">
        <v>86</v>
      </c>
      <c r="R76">
        <v>0</v>
      </c>
      <c r="S76">
        <v>0</v>
      </c>
      <c r="T76">
        <v>7100</v>
      </c>
      <c r="U76">
        <v>96322</v>
      </c>
      <c r="V76" t="s">
        <v>87</v>
      </c>
      <c r="W76" t="s">
        <v>390</v>
      </c>
      <c r="AB76" t="s">
        <v>391</v>
      </c>
      <c r="AC76" t="s">
        <v>90</v>
      </c>
      <c r="AD76">
        <v>6</v>
      </c>
      <c r="AE76" t="s">
        <v>101</v>
      </c>
      <c r="AF76" t="s">
        <v>102</v>
      </c>
      <c r="AH76">
        <v>6035001705</v>
      </c>
      <c r="AI76">
        <v>6035</v>
      </c>
      <c r="AJ76" t="s">
        <v>392</v>
      </c>
    </row>
    <row r="77" spans="1:36">
      <c r="A77" t="s">
        <v>404</v>
      </c>
      <c r="B77" t="s">
        <v>405</v>
      </c>
      <c r="C77">
        <v>3</v>
      </c>
      <c r="D77" t="s">
        <v>78</v>
      </c>
      <c r="E77" t="s">
        <v>79</v>
      </c>
      <c r="F77" t="s">
        <v>79</v>
      </c>
      <c r="G77" t="s">
        <v>80</v>
      </c>
      <c r="H77" t="s">
        <v>81</v>
      </c>
      <c r="I77" t="s">
        <v>82</v>
      </c>
      <c r="J77" t="s">
        <v>301</v>
      </c>
      <c r="K77" t="s">
        <v>406</v>
      </c>
      <c r="L77">
        <v>4</v>
      </c>
      <c r="O77" t="s">
        <v>301</v>
      </c>
      <c r="P77">
        <v>0</v>
      </c>
      <c r="Q77" t="s">
        <v>86</v>
      </c>
      <c r="R77">
        <v>0</v>
      </c>
      <c r="S77">
        <v>0</v>
      </c>
      <c r="T77">
        <v>9500</v>
      </c>
      <c r="U77">
        <v>963490011</v>
      </c>
      <c r="V77">
        <v>3</v>
      </c>
      <c r="W77" t="s">
        <v>303</v>
      </c>
      <c r="AB77" t="s">
        <v>304</v>
      </c>
      <c r="AC77" t="s">
        <v>305</v>
      </c>
      <c r="AD77">
        <v>6</v>
      </c>
      <c r="AE77" t="s">
        <v>91</v>
      </c>
      <c r="AF77" t="s">
        <v>102</v>
      </c>
      <c r="AH77">
        <v>6173080000</v>
      </c>
      <c r="AI77">
        <v>6173</v>
      </c>
      <c r="AJ77" t="s">
        <v>407</v>
      </c>
    </row>
    <row r="78" spans="1:36">
      <c r="A78" t="s">
        <v>408</v>
      </c>
      <c r="B78" t="s">
        <v>409</v>
      </c>
      <c r="C78">
        <v>4</v>
      </c>
      <c r="D78" t="s">
        <v>78</v>
      </c>
      <c r="E78" t="s">
        <v>79</v>
      </c>
      <c r="F78" t="s">
        <v>125</v>
      </c>
      <c r="G78" t="s">
        <v>80</v>
      </c>
      <c r="H78" t="s">
        <v>81</v>
      </c>
      <c r="P78">
        <v>0</v>
      </c>
      <c r="Q78" t="s">
        <v>86</v>
      </c>
      <c r="R78">
        <v>0</v>
      </c>
      <c r="S78">
        <v>0</v>
      </c>
      <c r="T78">
        <v>3540</v>
      </c>
      <c r="V78" t="s">
        <v>327</v>
      </c>
    </row>
    <row r="79" spans="1:36">
      <c r="A79" t="s">
        <v>141</v>
      </c>
      <c r="B79" t="s">
        <v>410</v>
      </c>
      <c r="C79">
        <v>3</v>
      </c>
      <c r="D79" t="s">
        <v>190</v>
      </c>
      <c r="E79" t="s">
        <v>79</v>
      </c>
      <c r="F79" t="s">
        <v>79</v>
      </c>
      <c r="G79" t="s">
        <v>80</v>
      </c>
      <c r="H79" t="s">
        <v>81</v>
      </c>
      <c r="I79" t="s">
        <v>82</v>
      </c>
      <c r="J79" t="s">
        <v>411</v>
      </c>
      <c r="K79" t="s">
        <v>412</v>
      </c>
      <c r="L79">
        <v>1</v>
      </c>
      <c r="O79" t="s">
        <v>411</v>
      </c>
      <c r="P79">
        <v>0</v>
      </c>
      <c r="Q79" t="s">
        <v>86</v>
      </c>
      <c r="R79">
        <v>0</v>
      </c>
      <c r="S79">
        <v>0</v>
      </c>
      <c r="T79">
        <v>1180</v>
      </c>
      <c r="U79">
        <v>96362</v>
      </c>
      <c r="V79">
        <v>4</v>
      </c>
      <c r="W79" t="s">
        <v>413</v>
      </c>
      <c r="AB79" t="s">
        <v>142</v>
      </c>
      <c r="AC79" t="s">
        <v>90</v>
      </c>
      <c r="AD79">
        <v>6</v>
      </c>
      <c r="AE79" t="s">
        <v>91</v>
      </c>
      <c r="AF79" t="s">
        <v>102</v>
      </c>
      <c r="AH79">
        <v>3435007500</v>
      </c>
      <c r="AI79">
        <v>3435</v>
      </c>
      <c r="AJ79" t="s">
        <v>143</v>
      </c>
    </row>
    <row r="80" spans="1:36">
      <c r="A80" t="s">
        <v>414</v>
      </c>
      <c r="B80" t="s">
        <v>415</v>
      </c>
      <c r="C80" t="s">
        <v>139</v>
      </c>
      <c r="D80" t="s">
        <v>78</v>
      </c>
      <c r="E80" t="s">
        <v>79</v>
      </c>
      <c r="F80" t="s">
        <v>125</v>
      </c>
      <c r="G80" t="s">
        <v>80</v>
      </c>
      <c r="H80" t="s">
        <v>81</v>
      </c>
      <c r="P80">
        <v>0</v>
      </c>
      <c r="Q80" t="s">
        <v>86</v>
      </c>
      <c r="R80">
        <v>0</v>
      </c>
      <c r="S80">
        <v>0</v>
      </c>
      <c r="T80">
        <v>4040</v>
      </c>
      <c r="V80" t="s">
        <v>327</v>
      </c>
    </row>
    <row r="81" spans="1:36">
      <c r="A81" t="s">
        <v>416</v>
      </c>
      <c r="B81" t="s">
        <v>417</v>
      </c>
      <c r="C81">
        <v>3</v>
      </c>
      <c r="D81" t="s">
        <v>78</v>
      </c>
      <c r="E81" t="s">
        <v>79</v>
      </c>
      <c r="F81" t="s">
        <v>125</v>
      </c>
      <c r="G81" t="s">
        <v>80</v>
      </c>
      <c r="H81" t="s">
        <v>81</v>
      </c>
      <c r="P81">
        <v>0</v>
      </c>
      <c r="Q81" t="s">
        <v>86</v>
      </c>
      <c r="R81">
        <v>0</v>
      </c>
      <c r="S81">
        <v>0</v>
      </c>
      <c r="T81">
        <v>9500</v>
      </c>
      <c r="U81">
        <v>963491700</v>
      </c>
      <c r="V81" t="s">
        <v>327</v>
      </c>
      <c r="AH81">
        <v>4737925</v>
      </c>
      <c r="AI81">
        <v>4737</v>
      </c>
    </row>
    <row r="82" spans="1:36">
      <c r="A82" t="s">
        <v>309</v>
      </c>
      <c r="B82" t="s">
        <v>418</v>
      </c>
      <c r="C82">
        <v>3</v>
      </c>
      <c r="D82" t="s">
        <v>190</v>
      </c>
      <c r="E82" t="s">
        <v>79</v>
      </c>
      <c r="F82" t="s">
        <v>79</v>
      </c>
      <c r="G82" t="s">
        <v>80</v>
      </c>
      <c r="H82" t="s">
        <v>81</v>
      </c>
      <c r="I82" t="s">
        <v>82</v>
      </c>
      <c r="P82">
        <v>0</v>
      </c>
      <c r="Q82" t="s">
        <v>86</v>
      </c>
      <c r="R82">
        <v>0</v>
      </c>
      <c r="S82">
        <v>0</v>
      </c>
      <c r="T82">
        <v>1180</v>
      </c>
      <c r="U82">
        <v>963621600</v>
      </c>
      <c r="V82">
        <v>4</v>
      </c>
      <c r="W82" t="s">
        <v>413</v>
      </c>
      <c r="AB82" t="s">
        <v>310</v>
      </c>
      <c r="AC82" t="s">
        <v>90</v>
      </c>
      <c r="AD82">
        <v>6</v>
      </c>
      <c r="AH82">
        <v>4171002500</v>
      </c>
      <c r="AI82">
        <v>4171</v>
      </c>
      <c r="AJ82" t="s">
        <v>311</v>
      </c>
    </row>
    <row r="83" spans="1:36">
      <c r="A83" t="s">
        <v>419</v>
      </c>
      <c r="B83" t="s">
        <v>420</v>
      </c>
      <c r="C83" t="s">
        <v>139</v>
      </c>
      <c r="D83" t="s">
        <v>140</v>
      </c>
      <c r="E83" t="s">
        <v>79</v>
      </c>
      <c r="F83" t="s">
        <v>125</v>
      </c>
      <c r="G83" t="s">
        <v>80</v>
      </c>
      <c r="H83" t="s">
        <v>81</v>
      </c>
      <c r="P83">
        <v>0</v>
      </c>
      <c r="Q83" t="s">
        <v>86</v>
      </c>
      <c r="R83">
        <v>0</v>
      </c>
      <c r="S83">
        <v>0</v>
      </c>
      <c r="T83">
        <v>9999</v>
      </c>
      <c r="V83" t="s">
        <v>327</v>
      </c>
    </row>
    <row r="84" spans="1:36">
      <c r="A84" t="s">
        <v>421</v>
      </c>
      <c r="B84" t="s">
        <v>422</v>
      </c>
      <c r="C84">
        <v>4</v>
      </c>
      <c r="D84" t="s">
        <v>78</v>
      </c>
      <c r="E84" t="s">
        <v>79</v>
      </c>
      <c r="F84" t="s">
        <v>125</v>
      </c>
      <c r="G84" t="s">
        <v>80</v>
      </c>
      <c r="H84" t="s">
        <v>81</v>
      </c>
      <c r="P84">
        <v>0</v>
      </c>
      <c r="Q84" t="s">
        <v>86</v>
      </c>
      <c r="R84">
        <v>0</v>
      </c>
      <c r="S84">
        <v>0</v>
      </c>
      <c r="T84">
        <v>4040</v>
      </c>
      <c r="U84">
        <v>963131802</v>
      </c>
      <c r="V84" t="s">
        <v>327</v>
      </c>
      <c r="AH84">
        <v>5771725</v>
      </c>
      <c r="AI84">
        <v>5771</v>
      </c>
    </row>
    <row r="85" spans="1:36">
      <c r="A85" t="s">
        <v>423</v>
      </c>
      <c r="B85" t="s">
        <v>424</v>
      </c>
      <c r="C85">
        <v>0</v>
      </c>
      <c r="D85" t="s">
        <v>423</v>
      </c>
      <c r="E85" t="s">
        <v>79</v>
      </c>
      <c r="F85" t="s">
        <v>125</v>
      </c>
      <c r="G85" t="s">
        <v>80</v>
      </c>
      <c r="H85" t="s">
        <v>81</v>
      </c>
      <c r="I85" t="s">
        <v>82</v>
      </c>
      <c r="P85">
        <v>0</v>
      </c>
      <c r="Q85" t="s">
        <v>86</v>
      </c>
      <c r="R85">
        <v>0</v>
      </c>
      <c r="S85">
        <v>0</v>
      </c>
      <c r="T85">
        <v>5075</v>
      </c>
      <c r="U85">
        <v>963761608</v>
      </c>
      <c r="V85" t="s">
        <v>327</v>
      </c>
      <c r="AH85">
        <v>5771390</v>
      </c>
      <c r="AI85">
        <v>5771</v>
      </c>
    </row>
    <row r="86" spans="1:36">
      <c r="A86" t="s">
        <v>330</v>
      </c>
      <c r="B86" t="s">
        <v>425</v>
      </c>
      <c r="C86">
        <v>3</v>
      </c>
      <c r="D86" t="s">
        <v>78</v>
      </c>
      <c r="E86" t="s">
        <v>79</v>
      </c>
      <c r="F86" t="s">
        <v>79</v>
      </c>
      <c r="G86" t="s">
        <v>80</v>
      </c>
      <c r="H86" t="s">
        <v>81</v>
      </c>
      <c r="I86" t="s">
        <v>82</v>
      </c>
      <c r="J86" t="s">
        <v>106</v>
      </c>
      <c r="K86" t="s">
        <v>107</v>
      </c>
      <c r="L86" s="1">
        <v>45328</v>
      </c>
      <c r="N86" t="s">
        <v>108</v>
      </c>
      <c r="O86" t="s">
        <v>98</v>
      </c>
      <c r="P86">
        <v>0</v>
      </c>
      <c r="Q86" t="s">
        <v>86</v>
      </c>
      <c r="R86">
        <v>0</v>
      </c>
      <c r="S86">
        <v>0</v>
      </c>
      <c r="T86">
        <v>9500</v>
      </c>
      <c r="U86">
        <v>963491800</v>
      </c>
      <c r="V86">
        <v>4</v>
      </c>
      <c r="W86" t="s">
        <v>426</v>
      </c>
      <c r="AB86" t="s">
        <v>147</v>
      </c>
      <c r="AC86" t="s">
        <v>90</v>
      </c>
      <c r="AD86">
        <v>6</v>
      </c>
      <c r="AE86" t="s">
        <v>101</v>
      </c>
      <c r="AF86" t="s">
        <v>102</v>
      </c>
      <c r="AH86">
        <v>2477000900</v>
      </c>
      <c r="AI86">
        <v>2477</v>
      </c>
      <c r="AJ86" t="s">
        <v>331</v>
      </c>
    </row>
    <row r="87" spans="1:36">
      <c r="A87" t="s">
        <v>427</v>
      </c>
      <c r="B87" t="s">
        <v>428</v>
      </c>
      <c r="C87">
        <v>3</v>
      </c>
      <c r="D87" t="s">
        <v>78</v>
      </c>
      <c r="E87" t="s">
        <v>79</v>
      </c>
      <c r="F87" t="s">
        <v>79</v>
      </c>
      <c r="G87" t="s">
        <v>80</v>
      </c>
      <c r="H87" t="s">
        <v>81</v>
      </c>
      <c r="I87" t="s">
        <v>82</v>
      </c>
      <c r="J87" t="s">
        <v>106</v>
      </c>
      <c r="K87" t="s">
        <v>429</v>
      </c>
      <c r="L87">
        <v>97</v>
      </c>
      <c r="N87" t="s">
        <v>97</v>
      </c>
      <c r="O87" t="s">
        <v>98</v>
      </c>
      <c r="P87">
        <v>0</v>
      </c>
      <c r="Q87" t="s">
        <v>86</v>
      </c>
      <c r="R87">
        <v>0</v>
      </c>
      <c r="S87">
        <v>0</v>
      </c>
      <c r="T87">
        <v>9500</v>
      </c>
      <c r="V87" t="s">
        <v>87</v>
      </c>
      <c r="W87" t="s">
        <v>430</v>
      </c>
      <c r="AB87" t="s">
        <v>431</v>
      </c>
      <c r="AC87" t="s">
        <v>90</v>
      </c>
      <c r="AD87">
        <v>6</v>
      </c>
      <c r="AE87" t="s">
        <v>101</v>
      </c>
      <c r="AF87" t="s">
        <v>102</v>
      </c>
      <c r="AH87">
        <v>6087101012</v>
      </c>
      <c r="AI87">
        <v>6087</v>
      </c>
      <c r="AJ87" t="s">
        <v>432</v>
      </c>
    </row>
    <row r="88" spans="1:36">
      <c r="A88" t="s">
        <v>433</v>
      </c>
      <c r="B88" t="s">
        <v>434</v>
      </c>
      <c r="C88">
        <v>3</v>
      </c>
      <c r="D88" t="s">
        <v>78</v>
      </c>
      <c r="E88" t="s">
        <v>79</v>
      </c>
      <c r="F88" t="s">
        <v>125</v>
      </c>
      <c r="G88" t="s">
        <v>80</v>
      </c>
      <c r="H88" t="s">
        <v>81</v>
      </c>
      <c r="I88" t="s">
        <v>82</v>
      </c>
      <c r="P88">
        <v>0</v>
      </c>
      <c r="Q88" t="s">
        <v>86</v>
      </c>
      <c r="R88">
        <v>0</v>
      </c>
      <c r="S88">
        <v>0</v>
      </c>
      <c r="T88">
        <v>9500</v>
      </c>
      <c r="V88" t="s">
        <v>87</v>
      </c>
      <c r="W88" t="s">
        <v>435</v>
      </c>
      <c r="AB88" t="s">
        <v>198</v>
      </c>
      <c r="AC88" t="s">
        <v>90</v>
      </c>
      <c r="AH88">
        <v>3677001020</v>
      </c>
      <c r="AI88">
        <v>3677</v>
      </c>
      <c r="AJ88" t="s">
        <v>436</v>
      </c>
    </row>
    <row r="89" spans="1:36">
      <c r="A89" t="s">
        <v>437</v>
      </c>
      <c r="B89" t="s">
        <v>438</v>
      </c>
      <c r="C89">
        <v>3</v>
      </c>
      <c r="D89" t="s">
        <v>78</v>
      </c>
      <c r="E89" t="s">
        <v>79</v>
      </c>
      <c r="F89" t="s">
        <v>79</v>
      </c>
      <c r="G89" t="s">
        <v>80</v>
      </c>
      <c r="H89" t="s">
        <v>81</v>
      </c>
      <c r="I89" t="s">
        <v>82</v>
      </c>
      <c r="J89" t="s">
        <v>301</v>
      </c>
      <c r="K89" t="s">
        <v>406</v>
      </c>
      <c r="L89">
        <v>4</v>
      </c>
      <c r="O89" t="s">
        <v>301</v>
      </c>
      <c r="P89">
        <v>0</v>
      </c>
      <c r="Q89" t="s">
        <v>86</v>
      </c>
      <c r="R89">
        <v>0</v>
      </c>
      <c r="S89">
        <v>0</v>
      </c>
      <c r="T89">
        <v>9500</v>
      </c>
      <c r="V89" t="s">
        <v>87</v>
      </c>
      <c r="W89" t="s">
        <v>404</v>
      </c>
      <c r="AB89" t="s">
        <v>314</v>
      </c>
      <c r="AC89" t="s">
        <v>90</v>
      </c>
      <c r="AD89">
        <v>6</v>
      </c>
      <c r="AE89" t="s">
        <v>91</v>
      </c>
      <c r="AF89" t="s">
        <v>102</v>
      </c>
      <c r="AH89">
        <v>6173080024</v>
      </c>
      <c r="AI89">
        <v>6173</v>
      </c>
      <c r="AJ89" t="s">
        <v>407</v>
      </c>
    </row>
    <row r="90" spans="1:36">
      <c r="A90" t="s">
        <v>439</v>
      </c>
      <c r="B90" t="s">
        <v>440</v>
      </c>
      <c r="C90">
        <v>3</v>
      </c>
      <c r="D90" t="s">
        <v>78</v>
      </c>
      <c r="E90" t="s">
        <v>79</v>
      </c>
      <c r="F90" t="s">
        <v>79</v>
      </c>
      <c r="G90" t="s">
        <v>80</v>
      </c>
      <c r="H90" t="s">
        <v>81</v>
      </c>
      <c r="I90" t="s">
        <v>82</v>
      </c>
      <c r="J90" t="s">
        <v>83</v>
      </c>
      <c r="K90" t="s">
        <v>83</v>
      </c>
      <c r="L90" t="s">
        <v>84</v>
      </c>
      <c r="O90" t="s">
        <v>85</v>
      </c>
      <c r="P90">
        <v>0</v>
      </c>
      <c r="Q90" t="s">
        <v>86</v>
      </c>
      <c r="R90">
        <v>0</v>
      </c>
      <c r="S90">
        <v>0</v>
      </c>
      <c r="T90">
        <v>9500</v>
      </c>
      <c r="V90" t="s">
        <v>87</v>
      </c>
      <c r="W90" t="s">
        <v>88</v>
      </c>
      <c r="AB90" t="s">
        <v>441</v>
      </c>
      <c r="AC90" t="s">
        <v>442</v>
      </c>
      <c r="AD90">
        <v>6</v>
      </c>
      <c r="AE90" t="s">
        <v>91</v>
      </c>
      <c r="AF90" t="s">
        <v>92</v>
      </c>
      <c r="AH90">
        <v>9570008323</v>
      </c>
      <c r="AI90">
        <v>9570</v>
      </c>
      <c r="AJ90" t="s">
        <v>83</v>
      </c>
    </row>
    <row r="91" spans="1:36">
      <c r="A91" t="s">
        <v>443</v>
      </c>
      <c r="B91" t="s">
        <v>444</v>
      </c>
      <c r="C91">
        <v>4</v>
      </c>
      <c r="D91" t="s">
        <v>140</v>
      </c>
      <c r="E91" t="s">
        <v>79</v>
      </c>
      <c r="F91" t="s">
        <v>125</v>
      </c>
      <c r="G91" t="s">
        <v>80</v>
      </c>
      <c r="H91" t="s">
        <v>81</v>
      </c>
      <c r="P91">
        <v>0</v>
      </c>
      <c r="Q91" t="s">
        <v>86</v>
      </c>
      <c r="R91">
        <v>0</v>
      </c>
      <c r="S91">
        <v>0</v>
      </c>
      <c r="T91">
        <v>6400</v>
      </c>
      <c r="V91" t="s">
        <v>327</v>
      </c>
    </row>
    <row r="92" spans="1:36">
      <c r="A92" t="s">
        <v>445</v>
      </c>
      <c r="B92" t="s">
        <v>446</v>
      </c>
      <c r="C92" t="s">
        <v>139</v>
      </c>
      <c r="D92" t="s">
        <v>445</v>
      </c>
      <c r="E92" t="s">
        <v>79</v>
      </c>
      <c r="F92" t="s">
        <v>125</v>
      </c>
      <c r="G92" t="s">
        <v>80</v>
      </c>
      <c r="H92" t="s">
        <v>81</v>
      </c>
      <c r="P92">
        <v>0</v>
      </c>
      <c r="Q92" t="s">
        <v>86</v>
      </c>
      <c r="R92">
        <v>0</v>
      </c>
      <c r="S92">
        <v>0</v>
      </c>
      <c r="T92">
        <v>4040</v>
      </c>
      <c r="V92" t="s">
        <v>327</v>
      </c>
    </row>
    <row r="93" spans="1:36">
      <c r="A93" t="s">
        <v>447</v>
      </c>
      <c r="B93" t="s">
        <v>448</v>
      </c>
      <c r="C93" t="s">
        <v>139</v>
      </c>
      <c r="D93" t="s">
        <v>140</v>
      </c>
      <c r="E93" t="s">
        <v>79</v>
      </c>
      <c r="F93" t="s">
        <v>125</v>
      </c>
      <c r="G93" t="s">
        <v>80</v>
      </c>
      <c r="H93" t="s">
        <v>81</v>
      </c>
      <c r="I93" t="s">
        <v>82</v>
      </c>
      <c r="P93">
        <v>0</v>
      </c>
      <c r="Q93" t="s">
        <v>86</v>
      </c>
      <c r="R93">
        <v>0</v>
      </c>
      <c r="S93">
        <v>0</v>
      </c>
      <c r="T93">
        <v>9500</v>
      </c>
      <c r="U93">
        <v>963491100</v>
      </c>
      <c r="V93" t="s">
        <v>327</v>
      </c>
      <c r="AB93">
        <v>9999</v>
      </c>
      <c r="AC93" t="s">
        <v>90</v>
      </c>
      <c r="AH93">
        <v>9230001040</v>
      </c>
      <c r="AI93">
        <v>9230</v>
      </c>
      <c r="AJ93" t="s">
        <v>295</v>
      </c>
    </row>
    <row r="94" spans="1:36">
      <c r="A94" t="s">
        <v>449</v>
      </c>
      <c r="B94" t="s">
        <v>450</v>
      </c>
      <c r="C94">
        <v>3</v>
      </c>
      <c r="D94" t="s">
        <v>133</v>
      </c>
      <c r="E94" t="s">
        <v>79</v>
      </c>
      <c r="F94" t="s">
        <v>79</v>
      </c>
      <c r="G94" t="s">
        <v>80</v>
      </c>
      <c r="H94" t="s">
        <v>81</v>
      </c>
      <c r="I94" t="s">
        <v>82</v>
      </c>
      <c r="J94" t="s">
        <v>106</v>
      </c>
      <c r="K94" t="s">
        <v>107</v>
      </c>
      <c r="L94" s="1">
        <v>45328</v>
      </c>
      <c r="N94" t="s">
        <v>108</v>
      </c>
      <c r="O94" t="s">
        <v>98</v>
      </c>
      <c r="P94">
        <v>0</v>
      </c>
      <c r="Q94" t="s">
        <v>86</v>
      </c>
      <c r="R94">
        <v>0</v>
      </c>
      <c r="S94">
        <v>0</v>
      </c>
      <c r="T94">
        <v>3950</v>
      </c>
      <c r="U94">
        <v>963705000</v>
      </c>
      <c r="V94" t="s">
        <v>87</v>
      </c>
      <c r="W94" t="s">
        <v>330</v>
      </c>
      <c r="AB94" t="s">
        <v>147</v>
      </c>
      <c r="AC94" t="s">
        <v>90</v>
      </c>
      <c r="AD94">
        <v>6</v>
      </c>
      <c r="AE94" t="s">
        <v>101</v>
      </c>
      <c r="AF94" t="s">
        <v>102</v>
      </c>
      <c r="AH94">
        <v>2477000902</v>
      </c>
      <c r="AI94">
        <v>2477</v>
      </c>
      <c r="AJ94" t="s">
        <v>331</v>
      </c>
    </row>
    <row r="95" spans="1:36">
      <c r="A95" t="s">
        <v>451</v>
      </c>
      <c r="B95" t="s">
        <v>452</v>
      </c>
      <c r="C95">
        <v>3</v>
      </c>
      <c r="D95" t="s">
        <v>174</v>
      </c>
      <c r="E95" t="s">
        <v>79</v>
      </c>
      <c r="F95" t="s">
        <v>79</v>
      </c>
      <c r="G95" t="s">
        <v>80</v>
      </c>
      <c r="H95" t="s">
        <v>81</v>
      </c>
      <c r="I95" t="s">
        <v>82</v>
      </c>
      <c r="J95" t="s">
        <v>106</v>
      </c>
      <c r="K95" t="s">
        <v>107</v>
      </c>
      <c r="L95" s="1">
        <v>45328</v>
      </c>
      <c r="N95" t="s">
        <v>108</v>
      </c>
      <c r="O95" t="s">
        <v>98</v>
      </c>
      <c r="P95">
        <v>0</v>
      </c>
      <c r="Q95" t="s">
        <v>86</v>
      </c>
      <c r="R95">
        <v>0</v>
      </c>
      <c r="S95">
        <v>0</v>
      </c>
      <c r="T95">
        <v>600</v>
      </c>
      <c r="U95">
        <v>963061260</v>
      </c>
      <c r="V95" t="s">
        <v>87</v>
      </c>
      <c r="W95" t="s">
        <v>330</v>
      </c>
      <c r="AB95" t="s">
        <v>453</v>
      </c>
      <c r="AC95" t="s">
        <v>90</v>
      </c>
      <c r="AD95">
        <v>6</v>
      </c>
      <c r="AE95" t="s">
        <v>101</v>
      </c>
      <c r="AF95" t="s">
        <v>102</v>
      </c>
      <c r="AH95">
        <v>2477000903</v>
      </c>
      <c r="AI95">
        <v>2477</v>
      </c>
      <c r="AJ95" t="s">
        <v>331</v>
      </c>
    </row>
    <row r="96" spans="1:36">
      <c r="A96" t="s">
        <v>454</v>
      </c>
      <c r="B96" t="s">
        <v>455</v>
      </c>
      <c r="C96" t="s">
        <v>139</v>
      </c>
      <c r="D96" t="s">
        <v>454</v>
      </c>
      <c r="E96" t="s">
        <v>79</v>
      </c>
      <c r="F96" t="s">
        <v>125</v>
      </c>
      <c r="G96" t="s">
        <v>80</v>
      </c>
      <c r="H96" t="s">
        <v>81</v>
      </c>
      <c r="P96">
        <v>0</v>
      </c>
      <c r="Q96" t="s">
        <v>86</v>
      </c>
      <c r="R96">
        <v>0</v>
      </c>
      <c r="S96">
        <v>0</v>
      </c>
      <c r="T96">
        <v>9500</v>
      </c>
      <c r="V96" t="s">
        <v>327</v>
      </c>
    </row>
    <row r="97" spans="1:36">
      <c r="A97" t="s">
        <v>456</v>
      </c>
      <c r="B97" t="s">
        <v>457</v>
      </c>
      <c r="C97" t="s">
        <v>139</v>
      </c>
      <c r="D97" t="s">
        <v>456</v>
      </c>
      <c r="E97" t="s">
        <v>79</v>
      </c>
      <c r="F97" t="s">
        <v>125</v>
      </c>
      <c r="G97" t="s">
        <v>80</v>
      </c>
      <c r="H97" t="s">
        <v>81</v>
      </c>
      <c r="P97">
        <v>0</v>
      </c>
      <c r="Q97" t="s">
        <v>86</v>
      </c>
      <c r="R97">
        <v>0</v>
      </c>
      <c r="S97">
        <v>0</v>
      </c>
      <c r="T97">
        <v>7100</v>
      </c>
      <c r="V97" t="s">
        <v>327</v>
      </c>
    </row>
    <row r="98" spans="1:36">
      <c r="A98" t="s">
        <v>458</v>
      </c>
      <c r="B98" t="s">
        <v>459</v>
      </c>
      <c r="C98">
        <v>4</v>
      </c>
      <c r="D98" t="s">
        <v>140</v>
      </c>
      <c r="E98" t="s">
        <v>79</v>
      </c>
      <c r="F98" t="s">
        <v>125</v>
      </c>
      <c r="G98" t="s">
        <v>80</v>
      </c>
      <c r="H98" t="s">
        <v>81</v>
      </c>
      <c r="P98">
        <v>0</v>
      </c>
      <c r="Q98" t="s">
        <v>86</v>
      </c>
      <c r="R98">
        <v>0</v>
      </c>
      <c r="S98">
        <v>0</v>
      </c>
      <c r="T98">
        <v>9500</v>
      </c>
      <c r="U98">
        <v>963491100</v>
      </c>
      <c r="V98" t="s">
        <v>327</v>
      </c>
    </row>
    <row r="99" spans="1:36">
      <c r="A99" t="s">
        <v>460</v>
      </c>
      <c r="B99" t="s">
        <v>461</v>
      </c>
      <c r="C99">
        <v>4</v>
      </c>
      <c r="D99" t="s">
        <v>78</v>
      </c>
      <c r="E99" t="s">
        <v>79</v>
      </c>
      <c r="F99" t="s">
        <v>125</v>
      </c>
      <c r="G99" t="s">
        <v>80</v>
      </c>
      <c r="H99" t="s">
        <v>81</v>
      </c>
      <c r="P99">
        <v>0</v>
      </c>
      <c r="Q99" t="s">
        <v>86</v>
      </c>
      <c r="R99">
        <v>0</v>
      </c>
      <c r="S99">
        <v>0</v>
      </c>
      <c r="T99">
        <v>8100</v>
      </c>
      <c r="U99">
        <v>963491800</v>
      </c>
      <c r="V99" t="s">
        <v>327</v>
      </c>
    </row>
    <row r="100" spans="1:36">
      <c r="A100" t="s">
        <v>462</v>
      </c>
      <c r="B100" t="s">
        <v>463</v>
      </c>
      <c r="C100">
        <v>4</v>
      </c>
      <c r="D100" t="s">
        <v>78</v>
      </c>
      <c r="E100" t="s">
        <v>79</v>
      </c>
      <c r="F100" t="s">
        <v>125</v>
      </c>
      <c r="G100" t="s">
        <v>80</v>
      </c>
      <c r="H100" t="s">
        <v>81</v>
      </c>
      <c r="P100">
        <v>0</v>
      </c>
      <c r="Q100" t="s">
        <v>86</v>
      </c>
      <c r="R100">
        <v>0</v>
      </c>
      <c r="S100">
        <v>0</v>
      </c>
      <c r="T100">
        <v>4040</v>
      </c>
      <c r="U100">
        <v>963491800</v>
      </c>
      <c r="V100" t="s">
        <v>327</v>
      </c>
    </row>
    <row r="101" spans="1:36">
      <c r="A101" t="s">
        <v>464</v>
      </c>
      <c r="B101" t="s">
        <v>465</v>
      </c>
      <c r="C101">
        <v>3</v>
      </c>
      <c r="D101" t="s">
        <v>174</v>
      </c>
      <c r="E101" t="s">
        <v>79</v>
      </c>
      <c r="F101" t="s">
        <v>79</v>
      </c>
      <c r="G101" t="s">
        <v>80</v>
      </c>
      <c r="H101" t="s">
        <v>81</v>
      </c>
      <c r="I101" t="s">
        <v>82</v>
      </c>
      <c r="J101" t="s">
        <v>411</v>
      </c>
      <c r="K101" t="s">
        <v>412</v>
      </c>
      <c r="L101">
        <v>1</v>
      </c>
      <c r="O101" t="s">
        <v>411</v>
      </c>
      <c r="P101">
        <v>0</v>
      </c>
      <c r="Q101" t="s">
        <v>86</v>
      </c>
      <c r="R101">
        <v>0</v>
      </c>
      <c r="S101">
        <v>0</v>
      </c>
      <c r="T101">
        <v>600</v>
      </c>
      <c r="U101">
        <v>96306</v>
      </c>
      <c r="V101" t="s">
        <v>87</v>
      </c>
      <c r="W101" t="s">
        <v>466</v>
      </c>
      <c r="AB101" t="s">
        <v>142</v>
      </c>
      <c r="AC101" t="s">
        <v>90</v>
      </c>
      <c r="AD101">
        <v>6</v>
      </c>
      <c r="AE101" t="s">
        <v>91</v>
      </c>
      <c r="AF101" t="s">
        <v>102</v>
      </c>
      <c r="AH101">
        <v>3435098001</v>
      </c>
      <c r="AI101">
        <v>3435</v>
      </c>
      <c r="AJ101" t="s">
        <v>143</v>
      </c>
    </row>
    <row r="102" spans="1:36">
      <c r="A102" t="s">
        <v>467</v>
      </c>
      <c r="B102" t="s">
        <v>468</v>
      </c>
      <c r="C102">
        <v>4</v>
      </c>
      <c r="D102" t="s">
        <v>183</v>
      </c>
      <c r="E102" t="s">
        <v>79</v>
      </c>
      <c r="F102" t="s">
        <v>79</v>
      </c>
      <c r="G102" t="s">
        <v>80</v>
      </c>
      <c r="H102" t="s">
        <v>81</v>
      </c>
      <c r="I102" t="s">
        <v>82</v>
      </c>
      <c r="J102" t="s">
        <v>411</v>
      </c>
      <c r="K102" t="s">
        <v>412</v>
      </c>
      <c r="L102">
        <v>1</v>
      </c>
      <c r="O102" t="s">
        <v>411</v>
      </c>
      <c r="P102">
        <v>0</v>
      </c>
      <c r="Q102" t="s">
        <v>86</v>
      </c>
      <c r="R102">
        <v>0</v>
      </c>
      <c r="S102">
        <v>0</v>
      </c>
      <c r="T102">
        <v>3800</v>
      </c>
      <c r="U102">
        <v>96310</v>
      </c>
      <c r="V102" t="s">
        <v>87</v>
      </c>
      <c r="W102" t="s">
        <v>466</v>
      </c>
      <c r="AB102" t="s">
        <v>142</v>
      </c>
      <c r="AC102" t="s">
        <v>90</v>
      </c>
      <c r="AD102">
        <v>6</v>
      </c>
      <c r="AE102" t="s">
        <v>91</v>
      </c>
      <c r="AF102" t="s">
        <v>102</v>
      </c>
      <c r="AH102">
        <v>3435098009</v>
      </c>
      <c r="AI102">
        <v>3435</v>
      </c>
      <c r="AJ102" t="s">
        <v>143</v>
      </c>
    </row>
    <row r="103" spans="1:36">
      <c r="A103" t="s">
        <v>469</v>
      </c>
      <c r="B103" t="s">
        <v>470</v>
      </c>
      <c r="C103">
        <v>3</v>
      </c>
      <c r="D103" t="s">
        <v>130</v>
      </c>
      <c r="E103" t="s">
        <v>79</v>
      </c>
      <c r="F103" t="s">
        <v>79</v>
      </c>
      <c r="G103" t="s">
        <v>80</v>
      </c>
      <c r="H103" t="s">
        <v>81</v>
      </c>
      <c r="I103" t="s">
        <v>82</v>
      </c>
      <c r="J103" t="s">
        <v>411</v>
      </c>
      <c r="K103" t="s">
        <v>412</v>
      </c>
      <c r="L103">
        <v>1</v>
      </c>
      <c r="O103" t="s">
        <v>411</v>
      </c>
      <c r="P103">
        <v>0</v>
      </c>
      <c r="Q103" t="s">
        <v>86</v>
      </c>
      <c r="R103">
        <v>0</v>
      </c>
      <c r="S103">
        <v>0</v>
      </c>
      <c r="T103">
        <v>7100</v>
      </c>
      <c r="U103">
        <v>96322</v>
      </c>
      <c r="V103" t="s">
        <v>87</v>
      </c>
      <c r="W103" t="s">
        <v>466</v>
      </c>
      <c r="AB103" t="s">
        <v>142</v>
      </c>
      <c r="AC103" t="s">
        <v>90</v>
      </c>
      <c r="AD103">
        <v>6</v>
      </c>
      <c r="AE103" t="s">
        <v>91</v>
      </c>
      <c r="AF103" t="s">
        <v>102</v>
      </c>
      <c r="AH103">
        <v>3435098019</v>
      </c>
      <c r="AI103">
        <v>3435</v>
      </c>
      <c r="AJ103" t="s">
        <v>143</v>
      </c>
    </row>
    <row r="104" spans="1:36">
      <c r="A104" t="s">
        <v>471</v>
      </c>
      <c r="B104" t="s">
        <v>472</v>
      </c>
      <c r="C104">
        <v>1</v>
      </c>
      <c r="D104" t="s">
        <v>140</v>
      </c>
      <c r="E104" t="s">
        <v>79</v>
      </c>
      <c r="F104" t="s">
        <v>125</v>
      </c>
      <c r="G104" t="s">
        <v>80</v>
      </c>
      <c r="H104" t="s">
        <v>81</v>
      </c>
      <c r="P104">
        <v>0</v>
      </c>
      <c r="Q104" t="s">
        <v>86</v>
      </c>
      <c r="R104">
        <v>0</v>
      </c>
      <c r="S104">
        <v>0</v>
      </c>
      <c r="T104">
        <v>9500</v>
      </c>
      <c r="U104">
        <v>987622920</v>
      </c>
      <c r="V104" t="s">
        <v>327</v>
      </c>
      <c r="AH104">
        <v>4626950</v>
      </c>
      <c r="AI104">
        <v>4626</v>
      </c>
    </row>
    <row r="105" spans="1:36">
      <c r="A105" t="s">
        <v>473</v>
      </c>
      <c r="B105" t="s">
        <v>474</v>
      </c>
      <c r="C105">
        <v>3</v>
      </c>
      <c r="D105" t="s">
        <v>78</v>
      </c>
      <c r="E105" t="s">
        <v>79</v>
      </c>
      <c r="F105" t="s">
        <v>79</v>
      </c>
      <c r="G105" t="s">
        <v>80</v>
      </c>
      <c r="H105" t="s">
        <v>81</v>
      </c>
      <c r="I105" t="s">
        <v>82</v>
      </c>
      <c r="P105">
        <v>0</v>
      </c>
      <c r="Q105" t="s">
        <v>86</v>
      </c>
      <c r="R105">
        <v>0</v>
      </c>
      <c r="S105">
        <v>0</v>
      </c>
      <c r="T105">
        <v>8000</v>
      </c>
      <c r="U105">
        <v>963491100</v>
      </c>
      <c r="V105" t="s">
        <v>87</v>
      </c>
      <c r="W105" t="s">
        <v>475</v>
      </c>
      <c r="AB105" t="s">
        <v>226</v>
      </c>
      <c r="AC105" t="s">
        <v>90</v>
      </c>
      <c r="AD105">
        <v>6</v>
      </c>
      <c r="AH105">
        <v>9515000121</v>
      </c>
      <c r="AI105">
        <v>9515</v>
      </c>
      <c r="AJ105" t="s">
        <v>227</v>
      </c>
    </row>
    <row r="106" spans="1:36">
      <c r="A106" t="s">
        <v>476</v>
      </c>
      <c r="B106" t="s">
        <v>477</v>
      </c>
      <c r="C106">
        <v>3</v>
      </c>
      <c r="D106" t="s">
        <v>130</v>
      </c>
      <c r="E106" t="s">
        <v>79</v>
      </c>
      <c r="F106" t="s">
        <v>79</v>
      </c>
      <c r="G106" t="s">
        <v>80</v>
      </c>
      <c r="H106" t="s">
        <v>81</v>
      </c>
      <c r="I106" t="s">
        <v>82</v>
      </c>
      <c r="J106" t="s">
        <v>223</v>
      </c>
      <c r="K106" t="s">
        <v>224</v>
      </c>
      <c r="L106" t="s">
        <v>84</v>
      </c>
      <c r="O106" t="s">
        <v>85</v>
      </c>
      <c r="P106">
        <v>0</v>
      </c>
      <c r="Q106" t="s">
        <v>86</v>
      </c>
      <c r="R106">
        <v>0</v>
      </c>
      <c r="S106">
        <v>0</v>
      </c>
      <c r="T106">
        <v>7100</v>
      </c>
      <c r="U106">
        <v>963221100</v>
      </c>
      <c r="V106" t="s">
        <v>87</v>
      </c>
      <c r="W106" t="s">
        <v>225</v>
      </c>
      <c r="AB106" t="s">
        <v>226</v>
      </c>
      <c r="AC106" t="s">
        <v>90</v>
      </c>
      <c r="AD106">
        <v>6</v>
      </c>
      <c r="AE106" t="s">
        <v>91</v>
      </c>
      <c r="AF106" t="s">
        <v>92</v>
      </c>
      <c r="AH106">
        <v>9515000205</v>
      </c>
      <c r="AI106">
        <v>9515</v>
      </c>
      <c r="AJ106" t="s">
        <v>227</v>
      </c>
    </row>
    <row r="107" spans="1:36">
      <c r="A107" t="s">
        <v>478</v>
      </c>
      <c r="B107" t="s">
        <v>479</v>
      </c>
      <c r="C107" t="s">
        <v>139</v>
      </c>
      <c r="D107" t="s">
        <v>78</v>
      </c>
      <c r="E107" t="s">
        <v>79</v>
      </c>
      <c r="F107" t="s">
        <v>125</v>
      </c>
      <c r="G107" t="s">
        <v>80</v>
      </c>
      <c r="H107" t="s">
        <v>81</v>
      </c>
      <c r="P107">
        <v>0</v>
      </c>
      <c r="Q107" t="s">
        <v>86</v>
      </c>
      <c r="R107">
        <v>0</v>
      </c>
      <c r="S107">
        <v>0</v>
      </c>
      <c r="T107">
        <v>4040</v>
      </c>
      <c r="U107">
        <v>963491800</v>
      </c>
      <c r="V107" t="s">
        <v>327</v>
      </c>
    </row>
    <row r="108" spans="1:36">
      <c r="A108" t="s">
        <v>480</v>
      </c>
      <c r="B108" t="s">
        <v>481</v>
      </c>
      <c r="C108">
        <v>4</v>
      </c>
      <c r="D108" t="s">
        <v>78</v>
      </c>
      <c r="E108" t="s">
        <v>79</v>
      </c>
      <c r="F108" t="s">
        <v>125</v>
      </c>
      <c r="G108" t="s">
        <v>80</v>
      </c>
      <c r="H108" t="s">
        <v>81</v>
      </c>
      <c r="P108">
        <v>0</v>
      </c>
      <c r="Q108" t="s">
        <v>86</v>
      </c>
      <c r="R108">
        <v>0</v>
      </c>
      <c r="S108">
        <v>0</v>
      </c>
      <c r="T108">
        <v>4040</v>
      </c>
      <c r="U108">
        <v>963761608</v>
      </c>
      <c r="V108" t="s">
        <v>327</v>
      </c>
    </row>
    <row r="109" spans="1:36">
      <c r="A109" t="s">
        <v>482</v>
      </c>
      <c r="B109" t="s">
        <v>483</v>
      </c>
      <c r="C109">
        <v>4</v>
      </c>
      <c r="D109" t="s">
        <v>423</v>
      </c>
      <c r="E109" t="s">
        <v>79</v>
      </c>
      <c r="F109" t="s">
        <v>125</v>
      </c>
      <c r="G109" t="s">
        <v>80</v>
      </c>
      <c r="H109" t="s">
        <v>81</v>
      </c>
      <c r="P109">
        <v>0</v>
      </c>
      <c r="Q109" t="s">
        <v>86</v>
      </c>
      <c r="R109">
        <v>0</v>
      </c>
      <c r="S109">
        <v>0</v>
      </c>
      <c r="T109">
        <v>6400</v>
      </c>
      <c r="V109" t="s">
        <v>327</v>
      </c>
    </row>
    <row r="110" spans="1:36">
      <c r="A110" t="s">
        <v>484</v>
      </c>
      <c r="B110" t="s">
        <v>485</v>
      </c>
      <c r="C110">
        <v>4</v>
      </c>
      <c r="D110" t="s">
        <v>174</v>
      </c>
      <c r="E110" t="s">
        <v>125</v>
      </c>
      <c r="F110" t="s">
        <v>125</v>
      </c>
      <c r="G110" t="s">
        <v>80</v>
      </c>
      <c r="H110" t="s">
        <v>81</v>
      </c>
      <c r="I110" t="s">
        <v>82</v>
      </c>
      <c r="P110">
        <v>0</v>
      </c>
      <c r="Q110" t="s">
        <v>86</v>
      </c>
      <c r="R110">
        <v>0</v>
      </c>
      <c r="S110">
        <v>0</v>
      </c>
      <c r="T110">
        <v>4885</v>
      </c>
      <c r="U110">
        <v>963061209</v>
      </c>
      <c r="V110" t="s">
        <v>87</v>
      </c>
      <c r="W110" t="s">
        <v>486</v>
      </c>
      <c r="AB110" t="s">
        <v>198</v>
      </c>
      <c r="AC110" t="s">
        <v>90</v>
      </c>
      <c r="AH110">
        <v>5790006085</v>
      </c>
      <c r="AI110">
        <v>5790</v>
      </c>
      <c r="AJ110" t="s">
        <v>199</v>
      </c>
    </row>
    <row r="111" spans="1:36">
      <c r="A111" t="s">
        <v>487</v>
      </c>
      <c r="B111" t="s">
        <v>488</v>
      </c>
      <c r="C111" t="s">
        <v>139</v>
      </c>
      <c r="D111" t="s">
        <v>489</v>
      </c>
      <c r="E111" t="s">
        <v>125</v>
      </c>
      <c r="F111" t="s">
        <v>125</v>
      </c>
      <c r="G111" t="s">
        <v>80</v>
      </c>
      <c r="H111" t="s">
        <v>81</v>
      </c>
      <c r="P111">
        <v>0</v>
      </c>
      <c r="Q111" t="s">
        <v>86</v>
      </c>
      <c r="R111">
        <v>0</v>
      </c>
      <c r="S111">
        <v>0</v>
      </c>
      <c r="T111">
        <v>4885</v>
      </c>
      <c r="U111">
        <v>963191500</v>
      </c>
      <c r="V111" t="s">
        <v>327</v>
      </c>
    </row>
    <row r="112" spans="1:36">
      <c r="A112" t="s">
        <v>490</v>
      </c>
      <c r="B112" t="s">
        <v>491</v>
      </c>
      <c r="C112">
        <v>4</v>
      </c>
      <c r="D112" t="s">
        <v>183</v>
      </c>
      <c r="E112" t="s">
        <v>79</v>
      </c>
      <c r="F112" t="s">
        <v>125</v>
      </c>
      <c r="G112" t="s">
        <v>80</v>
      </c>
      <c r="H112" t="s">
        <v>81</v>
      </c>
      <c r="P112">
        <v>0</v>
      </c>
      <c r="Q112" t="s">
        <v>86</v>
      </c>
      <c r="R112">
        <v>0</v>
      </c>
      <c r="S112">
        <v>0</v>
      </c>
      <c r="T112">
        <v>3800</v>
      </c>
      <c r="V112" t="s">
        <v>327</v>
      </c>
    </row>
    <row r="113" spans="1:36">
      <c r="A113" t="s">
        <v>492</v>
      </c>
      <c r="B113" t="s">
        <v>493</v>
      </c>
      <c r="C113">
        <v>4</v>
      </c>
      <c r="D113" t="s">
        <v>78</v>
      </c>
      <c r="E113" t="s">
        <v>79</v>
      </c>
      <c r="F113" t="s">
        <v>125</v>
      </c>
      <c r="G113" t="s">
        <v>80</v>
      </c>
      <c r="H113" t="s">
        <v>81</v>
      </c>
      <c r="P113">
        <v>0</v>
      </c>
      <c r="Q113" t="s">
        <v>86</v>
      </c>
      <c r="R113">
        <v>0</v>
      </c>
      <c r="S113">
        <v>0</v>
      </c>
      <c r="T113">
        <v>7100</v>
      </c>
      <c r="U113">
        <v>963221100</v>
      </c>
      <c r="V113" t="s">
        <v>327</v>
      </c>
    </row>
    <row r="114" spans="1:36">
      <c r="A114" t="s">
        <v>494</v>
      </c>
      <c r="B114" t="s">
        <v>495</v>
      </c>
      <c r="C114">
        <v>3</v>
      </c>
      <c r="D114" t="s">
        <v>174</v>
      </c>
      <c r="E114" t="s">
        <v>79</v>
      </c>
      <c r="F114" t="s">
        <v>125</v>
      </c>
      <c r="G114" t="s">
        <v>80</v>
      </c>
      <c r="H114" t="s">
        <v>81</v>
      </c>
      <c r="I114" t="s">
        <v>82</v>
      </c>
      <c r="P114">
        <v>0</v>
      </c>
      <c r="Q114" t="s">
        <v>86</v>
      </c>
      <c r="R114">
        <v>0</v>
      </c>
      <c r="S114">
        <v>0</v>
      </c>
      <c r="T114">
        <v>4885</v>
      </c>
      <c r="U114">
        <v>963195000</v>
      </c>
      <c r="V114" t="s">
        <v>87</v>
      </c>
      <c r="W114" t="s">
        <v>347</v>
      </c>
      <c r="AB114" t="s">
        <v>100</v>
      </c>
      <c r="AC114" t="s">
        <v>90</v>
      </c>
      <c r="AD114">
        <v>6</v>
      </c>
      <c r="AH114">
        <v>2350000122</v>
      </c>
      <c r="AI114">
        <v>2350</v>
      </c>
      <c r="AJ114" t="s">
        <v>349</v>
      </c>
    </row>
    <row r="115" spans="1:36">
      <c r="A115" t="s">
        <v>496</v>
      </c>
      <c r="B115" t="s">
        <v>497</v>
      </c>
      <c r="C115" t="s">
        <v>139</v>
      </c>
      <c r="D115" t="s">
        <v>140</v>
      </c>
      <c r="E115" t="s">
        <v>79</v>
      </c>
      <c r="F115" t="s">
        <v>125</v>
      </c>
      <c r="G115" t="s">
        <v>80</v>
      </c>
      <c r="H115" t="s">
        <v>81</v>
      </c>
      <c r="P115">
        <v>0</v>
      </c>
      <c r="Q115" t="s">
        <v>86</v>
      </c>
      <c r="R115">
        <v>0</v>
      </c>
      <c r="S115">
        <v>0</v>
      </c>
      <c r="T115">
        <v>8000</v>
      </c>
      <c r="V115" t="s">
        <v>327</v>
      </c>
    </row>
    <row r="116" spans="1:36">
      <c r="A116" t="s">
        <v>498</v>
      </c>
      <c r="B116" t="s">
        <v>499</v>
      </c>
      <c r="C116">
        <v>3</v>
      </c>
      <c r="D116" t="s">
        <v>78</v>
      </c>
      <c r="E116" t="s">
        <v>79</v>
      </c>
      <c r="F116" t="s">
        <v>79</v>
      </c>
      <c r="G116" t="s">
        <v>80</v>
      </c>
      <c r="H116" t="s">
        <v>81</v>
      </c>
      <c r="I116" t="s">
        <v>82</v>
      </c>
      <c r="J116" t="s">
        <v>500</v>
      </c>
      <c r="K116" t="s">
        <v>501</v>
      </c>
      <c r="L116">
        <v>1</v>
      </c>
      <c r="O116" t="s">
        <v>502</v>
      </c>
      <c r="P116">
        <v>0</v>
      </c>
      <c r="Q116" t="s">
        <v>86</v>
      </c>
      <c r="R116">
        <v>0</v>
      </c>
      <c r="S116">
        <v>0</v>
      </c>
      <c r="T116">
        <v>8000</v>
      </c>
      <c r="U116">
        <v>963385002</v>
      </c>
      <c r="V116">
        <v>3</v>
      </c>
      <c r="W116" t="s">
        <v>503</v>
      </c>
      <c r="AB116">
        <v>6060</v>
      </c>
      <c r="AC116" t="s">
        <v>90</v>
      </c>
      <c r="AD116">
        <v>6</v>
      </c>
      <c r="AE116" t="s">
        <v>91</v>
      </c>
      <c r="AF116" t="s">
        <v>102</v>
      </c>
      <c r="AH116">
        <v>5580061700</v>
      </c>
      <c r="AI116">
        <v>5580</v>
      </c>
      <c r="AJ116" t="s">
        <v>504</v>
      </c>
    </row>
    <row r="117" spans="1:36">
      <c r="A117" t="s">
        <v>505</v>
      </c>
      <c r="B117" t="s">
        <v>506</v>
      </c>
      <c r="C117" t="s">
        <v>139</v>
      </c>
      <c r="D117" t="s">
        <v>507</v>
      </c>
      <c r="E117" t="s">
        <v>79</v>
      </c>
      <c r="F117" t="s">
        <v>125</v>
      </c>
      <c r="G117" t="s">
        <v>80</v>
      </c>
      <c r="H117" t="s">
        <v>81</v>
      </c>
      <c r="P117">
        <v>0</v>
      </c>
      <c r="Q117" t="s">
        <v>86</v>
      </c>
      <c r="R117">
        <v>0</v>
      </c>
      <c r="S117">
        <v>0</v>
      </c>
      <c r="T117">
        <v>9500</v>
      </c>
      <c r="V117" t="s">
        <v>327</v>
      </c>
    </row>
    <row r="118" spans="1:36">
      <c r="A118" t="s">
        <v>508</v>
      </c>
      <c r="B118" t="s">
        <v>509</v>
      </c>
      <c r="C118">
        <v>4</v>
      </c>
      <c r="D118" t="s">
        <v>78</v>
      </c>
      <c r="E118" t="s">
        <v>79</v>
      </c>
      <c r="F118" t="s">
        <v>125</v>
      </c>
      <c r="G118" t="s">
        <v>80</v>
      </c>
      <c r="H118" t="s">
        <v>81</v>
      </c>
      <c r="I118" t="s">
        <v>82</v>
      </c>
      <c r="P118">
        <v>0</v>
      </c>
      <c r="Q118" t="s">
        <v>86</v>
      </c>
      <c r="R118">
        <v>0</v>
      </c>
      <c r="S118">
        <v>0</v>
      </c>
      <c r="T118">
        <v>9500</v>
      </c>
      <c r="U118">
        <v>963490003</v>
      </c>
      <c r="V118" t="s">
        <v>327</v>
      </c>
      <c r="AH118">
        <v>2866900</v>
      </c>
      <c r="AI118">
        <v>2866</v>
      </c>
    </row>
    <row r="119" spans="1:36">
      <c r="A119" t="s">
        <v>510</v>
      </c>
      <c r="B119" t="s">
        <v>511</v>
      </c>
      <c r="C119">
        <v>3</v>
      </c>
      <c r="D119" t="s">
        <v>78</v>
      </c>
      <c r="E119" t="s">
        <v>79</v>
      </c>
      <c r="F119" t="s">
        <v>79</v>
      </c>
      <c r="G119" t="s">
        <v>80</v>
      </c>
      <c r="H119" t="s">
        <v>81</v>
      </c>
      <c r="I119" t="s">
        <v>82</v>
      </c>
      <c r="J119" t="s">
        <v>119</v>
      </c>
      <c r="K119" t="s">
        <v>81</v>
      </c>
      <c r="L119">
        <v>4</v>
      </c>
      <c r="O119" t="s">
        <v>119</v>
      </c>
      <c r="P119">
        <v>0</v>
      </c>
      <c r="Q119" t="s">
        <v>86</v>
      </c>
      <c r="R119">
        <v>0</v>
      </c>
      <c r="S119">
        <v>0</v>
      </c>
      <c r="T119">
        <v>9500</v>
      </c>
      <c r="V119" t="s">
        <v>87</v>
      </c>
      <c r="W119" t="s">
        <v>80</v>
      </c>
      <c r="AB119" t="s">
        <v>116</v>
      </c>
      <c r="AC119" t="s">
        <v>90</v>
      </c>
      <c r="AD119">
        <v>6</v>
      </c>
      <c r="AE119" t="s">
        <v>91</v>
      </c>
      <c r="AF119" t="s">
        <v>102</v>
      </c>
      <c r="AH119">
        <v>2037013208</v>
      </c>
      <c r="AI119">
        <v>2037</v>
      </c>
      <c r="AJ119" t="s">
        <v>122</v>
      </c>
    </row>
    <row r="120" spans="1:36">
      <c r="A120" t="s">
        <v>512</v>
      </c>
      <c r="B120" t="s">
        <v>513</v>
      </c>
      <c r="C120">
        <v>3</v>
      </c>
      <c r="D120" t="s">
        <v>78</v>
      </c>
      <c r="E120" t="s">
        <v>79</v>
      </c>
      <c r="F120" t="s">
        <v>79</v>
      </c>
      <c r="G120" t="s">
        <v>80</v>
      </c>
      <c r="H120" t="s">
        <v>81</v>
      </c>
      <c r="I120" t="s">
        <v>82</v>
      </c>
      <c r="J120" t="s">
        <v>175</v>
      </c>
      <c r="K120" t="s">
        <v>514</v>
      </c>
      <c r="L120" t="s">
        <v>84</v>
      </c>
      <c r="O120" t="s">
        <v>177</v>
      </c>
      <c r="P120">
        <v>0</v>
      </c>
      <c r="Q120" t="s">
        <v>86</v>
      </c>
      <c r="R120">
        <v>0</v>
      </c>
      <c r="S120">
        <v>0</v>
      </c>
      <c r="T120">
        <v>8000</v>
      </c>
      <c r="V120">
        <v>3</v>
      </c>
      <c r="W120" t="s">
        <v>515</v>
      </c>
      <c r="AB120" t="s">
        <v>516</v>
      </c>
      <c r="AC120" t="s">
        <v>90</v>
      </c>
      <c r="AD120">
        <v>6</v>
      </c>
      <c r="AE120" t="s">
        <v>91</v>
      </c>
      <c r="AF120" t="s">
        <v>102</v>
      </c>
      <c r="AH120">
        <v>9110500000</v>
      </c>
      <c r="AI120">
        <v>9110</v>
      </c>
      <c r="AJ120" t="s">
        <v>514</v>
      </c>
    </row>
    <row r="121" spans="1:36">
      <c r="A121" t="s">
        <v>517</v>
      </c>
      <c r="B121" t="s">
        <v>518</v>
      </c>
      <c r="C121">
        <v>3</v>
      </c>
      <c r="D121" t="s">
        <v>78</v>
      </c>
      <c r="E121" t="s">
        <v>79</v>
      </c>
      <c r="F121" t="s">
        <v>79</v>
      </c>
      <c r="G121" t="s">
        <v>80</v>
      </c>
      <c r="H121" t="s">
        <v>81</v>
      </c>
      <c r="I121" t="s">
        <v>82</v>
      </c>
      <c r="J121" t="s">
        <v>95</v>
      </c>
      <c r="K121" t="s">
        <v>389</v>
      </c>
      <c r="L121">
        <v>96</v>
      </c>
      <c r="M121" t="s">
        <v>385</v>
      </c>
      <c r="O121" t="s">
        <v>98</v>
      </c>
      <c r="P121">
        <v>0</v>
      </c>
      <c r="Q121" t="s">
        <v>86</v>
      </c>
      <c r="R121">
        <v>0</v>
      </c>
      <c r="S121">
        <v>0</v>
      </c>
      <c r="T121">
        <v>9500</v>
      </c>
      <c r="U121">
        <v>963491400</v>
      </c>
      <c r="V121">
        <v>3</v>
      </c>
      <c r="W121" t="s">
        <v>519</v>
      </c>
      <c r="AB121" t="s">
        <v>520</v>
      </c>
      <c r="AC121" t="s">
        <v>90</v>
      </c>
      <c r="AD121">
        <v>6</v>
      </c>
      <c r="AE121" t="s">
        <v>101</v>
      </c>
      <c r="AF121" t="s">
        <v>102</v>
      </c>
      <c r="AH121">
        <v>3065000800</v>
      </c>
      <c r="AI121">
        <v>3065</v>
      </c>
      <c r="AJ121" t="s">
        <v>521</v>
      </c>
    </row>
    <row r="122" spans="1:36">
      <c r="A122" t="s">
        <v>522</v>
      </c>
      <c r="B122" t="s">
        <v>523</v>
      </c>
      <c r="C122" t="s">
        <v>139</v>
      </c>
      <c r="D122" t="s">
        <v>140</v>
      </c>
      <c r="E122" t="s">
        <v>79</v>
      </c>
      <c r="F122" t="s">
        <v>125</v>
      </c>
      <c r="G122" t="s">
        <v>80</v>
      </c>
      <c r="H122" t="s">
        <v>81</v>
      </c>
      <c r="P122">
        <v>0</v>
      </c>
      <c r="Q122" t="s">
        <v>86</v>
      </c>
      <c r="R122">
        <v>0</v>
      </c>
      <c r="S122">
        <v>0</v>
      </c>
      <c r="T122">
        <v>9999</v>
      </c>
      <c r="U122">
        <v>987700000</v>
      </c>
      <c r="V122" t="s">
        <v>327</v>
      </c>
      <c r="AH122">
        <v>3128500</v>
      </c>
      <c r="AI122">
        <v>3128</v>
      </c>
    </row>
    <row r="123" spans="1:36">
      <c r="A123" t="s">
        <v>524</v>
      </c>
      <c r="B123" t="s">
        <v>525</v>
      </c>
      <c r="C123">
        <v>1</v>
      </c>
      <c r="D123" t="s">
        <v>78</v>
      </c>
      <c r="E123" t="s">
        <v>79</v>
      </c>
      <c r="F123" t="s">
        <v>125</v>
      </c>
      <c r="G123" t="s">
        <v>80</v>
      </c>
      <c r="H123" t="s">
        <v>81</v>
      </c>
      <c r="P123">
        <v>0</v>
      </c>
      <c r="Q123" t="s">
        <v>86</v>
      </c>
      <c r="R123">
        <v>0</v>
      </c>
      <c r="S123">
        <v>0</v>
      </c>
      <c r="T123">
        <v>9999</v>
      </c>
      <c r="V123" t="s">
        <v>327</v>
      </c>
      <c r="AH123">
        <v>6205900</v>
      </c>
      <c r="AI123">
        <v>6205</v>
      </c>
    </row>
    <row r="124" spans="1:36">
      <c r="A124" t="s">
        <v>526</v>
      </c>
      <c r="B124" t="s">
        <v>527</v>
      </c>
      <c r="C124">
        <v>1</v>
      </c>
      <c r="D124" t="s">
        <v>489</v>
      </c>
      <c r="E124" t="s">
        <v>79</v>
      </c>
      <c r="F124" t="s">
        <v>125</v>
      </c>
      <c r="G124" t="s">
        <v>80</v>
      </c>
      <c r="H124" t="s">
        <v>81</v>
      </c>
      <c r="P124">
        <v>0</v>
      </c>
      <c r="Q124" t="s">
        <v>86</v>
      </c>
      <c r="R124">
        <v>0</v>
      </c>
      <c r="S124">
        <v>0</v>
      </c>
      <c r="T124">
        <v>9999</v>
      </c>
      <c r="U124">
        <v>965020000</v>
      </c>
      <c r="V124" t="s">
        <v>327</v>
      </c>
      <c r="AH124">
        <v>5771388</v>
      </c>
      <c r="AI124">
        <v>5771</v>
      </c>
    </row>
    <row r="125" spans="1:36">
      <c r="A125" t="s">
        <v>528</v>
      </c>
      <c r="B125" t="s">
        <v>529</v>
      </c>
      <c r="C125">
        <v>1</v>
      </c>
      <c r="D125" t="s">
        <v>140</v>
      </c>
      <c r="E125" t="s">
        <v>79</v>
      </c>
      <c r="F125" t="s">
        <v>125</v>
      </c>
      <c r="G125" t="s">
        <v>80</v>
      </c>
      <c r="H125" t="s">
        <v>81</v>
      </c>
      <c r="P125">
        <v>0</v>
      </c>
      <c r="Q125" t="s">
        <v>86</v>
      </c>
      <c r="R125">
        <v>0</v>
      </c>
      <c r="S125">
        <v>0</v>
      </c>
      <c r="T125">
        <v>9999</v>
      </c>
      <c r="V125" t="s">
        <v>327</v>
      </c>
      <c r="AH125">
        <v>3118925</v>
      </c>
      <c r="AI125">
        <v>3118</v>
      </c>
    </row>
    <row r="126" spans="1:36">
      <c r="A126" t="s">
        <v>530</v>
      </c>
      <c r="B126" t="s">
        <v>531</v>
      </c>
      <c r="C126">
        <v>3</v>
      </c>
      <c r="D126" t="s">
        <v>78</v>
      </c>
      <c r="E126" t="s">
        <v>79</v>
      </c>
      <c r="F126" t="s">
        <v>79</v>
      </c>
      <c r="G126" t="s">
        <v>80</v>
      </c>
      <c r="H126" t="s">
        <v>81</v>
      </c>
      <c r="I126" t="s">
        <v>82</v>
      </c>
      <c r="J126" t="s">
        <v>301</v>
      </c>
      <c r="K126" t="s">
        <v>406</v>
      </c>
      <c r="L126">
        <v>4</v>
      </c>
      <c r="O126" t="s">
        <v>301</v>
      </c>
      <c r="P126">
        <v>0</v>
      </c>
      <c r="Q126" t="s">
        <v>86</v>
      </c>
      <c r="R126">
        <v>0</v>
      </c>
      <c r="S126">
        <v>0</v>
      </c>
      <c r="T126">
        <v>9510</v>
      </c>
      <c r="V126" t="s">
        <v>87</v>
      </c>
      <c r="W126" t="s">
        <v>404</v>
      </c>
      <c r="AB126" t="s">
        <v>304</v>
      </c>
      <c r="AC126" t="s">
        <v>305</v>
      </c>
      <c r="AD126">
        <v>6</v>
      </c>
      <c r="AE126" t="s">
        <v>91</v>
      </c>
      <c r="AF126" t="s">
        <v>102</v>
      </c>
      <c r="AH126">
        <v>6173080020</v>
      </c>
      <c r="AI126">
        <v>6173</v>
      </c>
      <c r="AJ126" t="s">
        <v>407</v>
      </c>
    </row>
    <row r="127" spans="1:36">
      <c r="A127" t="s">
        <v>532</v>
      </c>
      <c r="B127" t="s">
        <v>533</v>
      </c>
      <c r="C127">
        <v>1</v>
      </c>
      <c r="D127" t="s">
        <v>140</v>
      </c>
      <c r="E127" t="s">
        <v>79</v>
      </c>
      <c r="F127" t="s">
        <v>125</v>
      </c>
      <c r="G127" t="s">
        <v>80</v>
      </c>
      <c r="H127" t="s">
        <v>81</v>
      </c>
      <c r="P127">
        <v>0</v>
      </c>
      <c r="Q127" t="s">
        <v>86</v>
      </c>
      <c r="R127">
        <v>0</v>
      </c>
      <c r="S127">
        <v>0</v>
      </c>
      <c r="T127">
        <v>9999</v>
      </c>
      <c r="U127">
        <v>963492300</v>
      </c>
      <c r="V127" t="s">
        <v>327</v>
      </c>
      <c r="AH127">
        <v>2443830</v>
      </c>
      <c r="AI127">
        <v>2443</v>
      </c>
      <c r="AJ127" t="s">
        <v>534</v>
      </c>
    </row>
    <row r="128" spans="1:36">
      <c r="A128" t="s">
        <v>535</v>
      </c>
      <c r="B128" t="s">
        <v>536</v>
      </c>
      <c r="C128">
        <v>4</v>
      </c>
      <c r="D128" t="s">
        <v>140</v>
      </c>
      <c r="E128" t="s">
        <v>79</v>
      </c>
      <c r="F128" t="s">
        <v>125</v>
      </c>
      <c r="G128" t="s">
        <v>80</v>
      </c>
      <c r="H128" t="s">
        <v>81</v>
      </c>
      <c r="P128">
        <v>0</v>
      </c>
      <c r="Q128" t="s">
        <v>86</v>
      </c>
      <c r="R128">
        <v>0</v>
      </c>
      <c r="S128">
        <v>0</v>
      </c>
      <c r="T128">
        <v>9999</v>
      </c>
      <c r="U128">
        <v>987610000</v>
      </c>
      <c r="V128" t="s">
        <v>327</v>
      </c>
      <c r="AH128">
        <v>2444000</v>
      </c>
      <c r="AI128">
        <v>2444</v>
      </c>
    </row>
    <row r="129" spans="1:36">
      <c r="A129" t="s">
        <v>537</v>
      </c>
      <c r="B129" t="s">
        <v>538</v>
      </c>
      <c r="C129">
        <v>4</v>
      </c>
      <c r="D129" t="s">
        <v>130</v>
      </c>
      <c r="E129" t="s">
        <v>79</v>
      </c>
      <c r="F129" t="s">
        <v>79</v>
      </c>
      <c r="G129" t="s">
        <v>80</v>
      </c>
      <c r="H129" t="s">
        <v>81</v>
      </c>
      <c r="I129" t="s">
        <v>82</v>
      </c>
      <c r="J129" t="s">
        <v>301</v>
      </c>
      <c r="P129">
        <v>0</v>
      </c>
      <c r="Q129" t="s">
        <v>86</v>
      </c>
      <c r="R129">
        <v>0</v>
      </c>
      <c r="S129">
        <v>0</v>
      </c>
      <c r="T129">
        <v>7100</v>
      </c>
      <c r="V129" t="s">
        <v>87</v>
      </c>
      <c r="W129" t="s">
        <v>303</v>
      </c>
      <c r="AD129">
        <v>6</v>
      </c>
      <c r="AE129" t="s">
        <v>91</v>
      </c>
      <c r="AF129" t="s">
        <v>102</v>
      </c>
    </row>
    <row r="130" spans="1:36">
      <c r="A130" t="s">
        <v>539</v>
      </c>
      <c r="B130" t="s">
        <v>540</v>
      </c>
      <c r="C130" t="s">
        <v>139</v>
      </c>
      <c r="D130" t="s">
        <v>140</v>
      </c>
      <c r="E130" t="s">
        <v>79</v>
      </c>
      <c r="F130" t="s">
        <v>125</v>
      </c>
      <c r="G130" t="s">
        <v>80</v>
      </c>
      <c r="H130" t="s">
        <v>81</v>
      </c>
      <c r="P130">
        <v>0</v>
      </c>
      <c r="Q130" t="s">
        <v>86</v>
      </c>
      <c r="R130">
        <v>0</v>
      </c>
      <c r="S130">
        <v>0</v>
      </c>
      <c r="T130">
        <v>9500</v>
      </c>
      <c r="V130" t="s">
        <v>327</v>
      </c>
    </row>
    <row r="131" spans="1:36">
      <c r="A131" t="s">
        <v>541</v>
      </c>
      <c r="B131" t="s">
        <v>542</v>
      </c>
      <c r="C131">
        <v>3</v>
      </c>
      <c r="D131" t="s">
        <v>78</v>
      </c>
      <c r="E131" t="s">
        <v>79</v>
      </c>
      <c r="F131" t="s">
        <v>125</v>
      </c>
      <c r="G131" t="s">
        <v>80</v>
      </c>
      <c r="H131" t="s">
        <v>81</v>
      </c>
      <c r="I131" t="s">
        <v>82</v>
      </c>
      <c r="P131">
        <v>0</v>
      </c>
      <c r="Q131" t="s">
        <v>86</v>
      </c>
      <c r="R131">
        <v>0</v>
      </c>
      <c r="S131">
        <v>0</v>
      </c>
      <c r="T131">
        <v>9500</v>
      </c>
      <c r="V131">
        <v>4</v>
      </c>
      <c r="W131" t="s">
        <v>120</v>
      </c>
      <c r="AB131">
        <v>7474</v>
      </c>
      <c r="AC131" t="s">
        <v>305</v>
      </c>
      <c r="AD131">
        <v>6</v>
      </c>
      <c r="AH131">
        <v>2037014200</v>
      </c>
      <c r="AI131">
        <v>2037</v>
      </c>
      <c r="AJ131" t="s">
        <v>122</v>
      </c>
    </row>
    <row r="132" spans="1:36">
      <c r="A132" t="s">
        <v>543</v>
      </c>
      <c r="B132" t="s">
        <v>544</v>
      </c>
      <c r="C132">
        <v>1</v>
      </c>
      <c r="D132" t="s">
        <v>140</v>
      </c>
      <c r="E132" t="s">
        <v>79</v>
      </c>
      <c r="F132" t="s">
        <v>125</v>
      </c>
      <c r="G132" t="s">
        <v>80</v>
      </c>
      <c r="H132" t="s">
        <v>81</v>
      </c>
      <c r="P132">
        <v>0</v>
      </c>
      <c r="Q132" t="s">
        <v>86</v>
      </c>
      <c r="R132">
        <v>0</v>
      </c>
      <c r="S132">
        <v>0</v>
      </c>
      <c r="T132">
        <v>9999</v>
      </c>
      <c r="U132">
        <v>962100000</v>
      </c>
      <c r="V132" t="s">
        <v>327</v>
      </c>
      <c r="AH132">
        <v>4275500</v>
      </c>
      <c r="AI132">
        <v>4275</v>
      </c>
    </row>
    <row r="133" spans="1:36">
      <c r="A133" t="s">
        <v>545</v>
      </c>
      <c r="B133" t="s">
        <v>546</v>
      </c>
      <c r="C133" t="s">
        <v>139</v>
      </c>
      <c r="D133" t="s">
        <v>545</v>
      </c>
      <c r="E133" t="s">
        <v>79</v>
      </c>
      <c r="F133" t="s">
        <v>125</v>
      </c>
      <c r="G133" t="s">
        <v>80</v>
      </c>
      <c r="H133" t="s">
        <v>81</v>
      </c>
      <c r="P133">
        <v>0</v>
      </c>
      <c r="Q133" t="s">
        <v>86</v>
      </c>
      <c r="R133">
        <v>0</v>
      </c>
      <c r="S133">
        <v>0</v>
      </c>
      <c r="T133">
        <v>9999</v>
      </c>
      <c r="U133">
        <v>987700000</v>
      </c>
      <c r="V133" t="s">
        <v>327</v>
      </c>
      <c r="AH133">
        <v>2476570</v>
      </c>
      <c r="AI133">
        <v>2476</v>
      </c>
    </row>
    <row r="134" spans="1:36">
      <c r="A134" t="s">
        <v>547</v>
      </c>
      <c r="B134" t="s">
        <v>548</v>
      </c>
      <c r="C134">
        <v>3</v>
      </c>
      <c r="D134" t="s">
        <v>78</v>
      </c>
      <c r="E134" t="s">
        <v>79</v>
      </c>
      <c r="F134" t="s">
        <v>79</v>
      </c>
      <c r="G134" t="s">
        <v>80</v>
      </c>
      <c r="H134" t="s">
        <v>81</v>
      </c>
      <c r="I134" t="s">
        <v>82</v>
      </c>
      <c r="J134" t="s">
        <v>549</v>
      </c>
      <c r="K134" t="s">
        <v>549</v>
      </c>
      <c r="L134" t="s">
        <v>84</v>
      </c>
      <c r="O134" t="s">
        <v>85</v>
      </c>
      <c r="P134">
        <v>0</v>
      </c>
      <c r="Q134" t="s">
        <v>86</v>
      </c>
      <c r="R134">
        <v>0</v>
      </c>
      <c r="S134">
        <v>0</v>
      </c>
      <c r="T134">
        <v>9510</v>
      </c>
      <c r="U134">
        <v>963285000</v>
      </c>
      <c r="V134" t="s">
        <v>87</v>
      </c>
      <c r="W134" t="s">
        <v>550</v>
      </c>
      <c r="AB134" t="s">
        <v>551</v>
      </c>
      <c r="AC134" t="s">
        <v>90</v>
      </c>
      <c r="AD134">
        <v>6</v>
      </c>
      <c r="AE134" t="s">
        <v>91</v>
      </c>
      <c r="AF134" t="s">
        <v>92</v>
      </c>
      <c r="AH134">
        <v>9220006035</v>
      </c>
      <c r="AI134">
        <v>9220</v>
      </c>
      <c r="AJ134" t="s">
        <v>549</v>
      </c>
    </row>
    <row r="135" spans="1:36">
      <c r="A135" t="s">
        <v>552</v>
      </c>
      <c r="B135" t="s">
        <v>553</v>
      </c>
      <c r="C135">
        <v>3</v>
      </c>
      <c r="D135" t="s">
        <v>190</v>
      </c>
      <c r="E135" t="s">
        <v>79</v>
      </c>
      <c r="F135" t="s">
        <v>79</v>
      </c>
      <c r="G135" t="s">
        <v>80</v>
      </c>
      <c r="H135" t="s">
        <v>81</v>
      </c>
      <c r="I135" t="s">
        <v>82</v>
      </c>
      <c r="J135" t="s">
        <v>554</v>
      </c>
      <c r="K135" t="s">
        <v>555</v>
      </c>
      <c r="L135">
        <v>98</v>
      </c>
      <c r="N135" t="s">
        <v>185</v>
      </c>
      <c r="O135" t="s">
        <v>554</v>
      </c>
      <c r="P135">
        <v>0</v>
      </c>
      <c r="Q135" t="s">
        <v>86</v>
      </c>
      <c r="R135">
        <v>0</v>
      </c>
      <c r="S135">
        <v>0</v>
      </c>
      <c r="T135">
        <v>2600</v>
      </c>
      <c r="V135" t="s">
        <v>87</v>
      </c>
      <c r="W135" t="s">
        <v>556</v>
      </c>
      <c r="AB135" t="s">
        <v>205</v>
      </c>
      <c r="AC135" t="s">
        <v>90</v>
      </c>
      <c r="AD135">
        <v>6</v>
      </c>
      <c r="AE135" t="s">
        <v>160</v>
      </c>
      <c r="AF135" t="s">
        <v>102</v>
      </c>
      <c r="AH135">
        <v>3359008016</v>
      </c>
      <c r="AI135">
        <v>3359</v>
      </c>
      <c r="AJ135" t="s">
        <v>557</v>
      </c>
    </row>
    <row r="136" spans="1:36">
      <c r="A136" t="s">
        <v>558</v>
      </c>
      <c r="B136" t="s">
        <v>559</v>
      </c>
      <c r="C136">
        <v>3</v>
      </c>
      <c r="D136" t="s">
        <v>78</v>
      </c>
      <c r="E136" t="s">
        <v>79</v>
      </c>
      <c r="F136" t="s">
        <v>79</v>
      </c>
      <c r="G136" t="s">
        <v>80</v>
      </c>
      <c r="H136" t="s">
        <v>81</v>
      </c>
      <c r="I136" t="s">
        <v>82</v>
      </c>
      <c r="J136" t="s">
        <v>95</v>
      </c>
      <c r="K136" t="s">
        <v>96</v>
      </c>
      <c r="L136">
        <v>97</v>
      </c>
      <c r="N136" t="s">
        <v>97</v>
      </c>
      <c r="O136" t="s">
        <v>98</v>
      </c>
      <c r="P136">
        <v>0</v>
      </c>
      <c r="Q136" t="s">
        <v>86</v>
      </c>
      <c r="R136">
        <v>0</v>
      </c>
      <c r="S136">
        <v>0</v>
      </c>
      <c r="T136">
        <v>9500</v>
      </c>
      <c r="V136" t="s">
        <v>87</v>
      </c>
      <c r="W136" t="s">
        <v>352</v>
      </c>
      <c r="AB136" t="s">
        <v>100</v>
      </c>
      <c r="AC136" t="s">
        <v>90</v>
      </c>
      <c r="AD136">
        <v>6</v>
      </c>
      <c r="AE136" t="s">
        <v>101</v>
      </c>
      <c r="AF136" t="s">
        <v>102</v>
      </c>
      <c r="AH136">
        <v>6086000709</v>
      </c>
      <c r="AI136">
        <v>6086</v>
      </c>
      <c r="AJ136" t="s">
        <v>355</v>
      </c>
    </row>
    <row r="137" spans="1:36">
      <c r="A137" t="s">
        <v>560</v>
      </c>
      <c r="B137" t="s">
        <v>561</v>
      </c>
      <c r="C137">
        <v>3</v>
      </c>
      <c r="D137" t="s">
        <v>78</v>
      </c>
      <c r="E137" t="s">
        <v>125</v>
      </c>
      <c r="F137" t="s">
        <v>79</v>
      </c>
      <c r="G137" t="s">
        <v>80</v>
      </c>
      <c r="H137" t="s">
        <v>81</v>
      </c>
      <c r="I137" t="s">
        <v>82</v>
      </c>
      <c r="J137" t="s">
        <v>106</v>
      </c>
      <c r="K137" t="s">
        <v>107</v>
      </c>
      <c r="L137" s="1">
        <v>45328</v>
      </c>
      <c r="N137" t="s">
        <v>108</v>
      </c>
      <c r="O137" t="s">
        <v>98</v>
      </c>
      <c r="P137">
        <v>0</v>
      </c>
      <c r="Q137" t="s">
        <v>86</v>
      </c>
      <c r="R137">
        <v>0</v>
      </c>
      <c r="S137">
        <v>0</v>
      </c>
      <c r="T137">
        <v>9500</v>
      </c>
      <c r="V137" t="s">
        <v>87</v>
      </c>
      <c r="W137" t="s">
        <v>562</v>
      </c>
      <c r="AB137" t="s">
        <v>110</v>
      </c>
      <c r="AC137" t="s">
        <v>90</v>
      </c>
      <c r="AD137">
        <v>4</v>
      </c>
      <c r="AE137" t="s">
        <v>165</v>
      </c>
      <c r="AF137" t="s">
        <v>102</v>
      </c>
      <c r="AH137">
        <v>3483003302</v>
      </c>
      <c r="AI137">
        <v>3483</v>
      </c>
      <c r="AJ137" t="s">
        <v>563</v>
      </c>
    </row>
    <row r="138" spans="1:36">
      <c r="A138" t="s">
        <v>564</v>
      </c>
      <c r="B138" t="s">
        <v>565</v>
      </c>
      <c r="C138">
        <v>3</v>
      </c>
      <c r="D138" t="s">
        <v>78</v>
      </c>
      <c r="E138" t="s">
        <v>79</v>
      </c>
      <c r="F138" t="s">
        <v>79</v>
      </c>
      <c r="G138" t="s">
        <v>80</v>
      </c>
      <c r="H138" t="s">
        <v>81</v>
      </c>
      <c r="I138" t="s">
        <v>82</v>
      </c>
      <c r="J138" t="s">
        <v>223</v>
      </c>
      <c r="K138" t="s">
        <v>566</v>
      </c>
      <c r="L138">
        <v>97</v>
      </c>
      <c r="N138" t="s">
        <v>97</v>
      </c>
      <c r="O138" t="s">
        <v>85</v>
      </c>
      <c r="P138">
        <v>0</v>
      </c>
      <c r="Q138" t="s">
        <v>86</v>
      </c>
      <c r="R138">
        <v>0</v>
      </c>
      <c r="S138">
        <v>0</v>
      </c>
      <c r="T138">
        <v>9500</v>
      </c>
      <c r="V138" t="s">
        <v>87</v>
      </c>
      <c r="W138" t="s">
        <v>567</v>
      </c>
      <c r="AB138" t="s">
        <v>568</v>
      </c>
      <c r="AC138" t="s">
        <v>90</v>
      </c>
      <c r="AD138">
        <v>6</v>
      </c>
      <c r="AE138" t="s">
        <v>160</v>
      </c>
      <c r="AF138" t="s">
        <v>92</v>
      </c>
      <c r="AH138">
        <v>9910000115</v>
      </c>
      <c r="AI138">
        <v>9910</v>
      </c>
      <c r="AJ138" t="s">
        <v>569</v>
      </c>
    </row>
    <row r="139" spans="1:36">
      <c r="A139" t="s">
        <v>570</v>
      </c>
      <c r="B139" t="s">
        <v>571</v>
      </c>
      <c r="C139">
        <v>3</v>
      </c>
      <c r="D139" t="s">
        <v>190</v>
      </c>
      <c r="E139" t="s">
        <v>79</v>
      </c>
      <c r="F139" t="s">
        <v>79</v>
      </c>
      <c r="J139" t="s">
        <v>191</v>
      </c>
      <c r="O139" t="s">
        <v>243</v>
      </c>
      <c r="P139">
        <v>0</v>
      </c>
      <c r="Q139" t="s">
        <v>86</v>
      </c>
      <c r="R139">
        <v>0</v>
      </c>
      <c r="S139">
        <v>0</v>
      </c>
      <c r="T139">
        <v>1065</v>
      </c>
      <c r="U139">
        <v>966037121</v>
      </c>
      <c r="V139" t="s">
        <v>87</v>
      </c>
      <c r="W139" t="s">
        <v>572</v>
      </c>
      <c r="AF139" t="s">
        <v>102</v>
      </c>
      <c r="AH139" t="s">
        <v>573</v>
      </c>
      <c r="AI139" t="s">
        <v>574</v>
      </c>
    </row>
    <row r="140" spans="1:36">
      <c r="A140" t="s">
        <v>575</v>
      </c>
      <c r="B140" t="s">
        <v>576</v>
      </c>
      <c r="C140">
        <v>4</v>
      </c>
      <c r="D140" t="s">
        <v>130</v>
      </c>
      <c r="E140" t="s">
        <v>79</v>
      </c>
      <c r="F140" t="s">
        <v>125</v>
      </c>
      <c r="P140">
        <v>0</v>
      </c>
      <c r="Q140" t="s">
        <v>86</v>
      </c>
      <c r="R140">
        <v>0</v>
      </c>
      <c r="S140">
        <v>0</v>
      </c>
      <c r="T140">
        <v>7100</v>
      </c>
      <c r="U140">
        <v>963221100</v>
      </c>
      <c r="V140" t="s">
        <v>327</v>
      </c>
      <c r="AI140" t="s">
        <v>577</v>
      </c>
    </row>
    <row r="141" spans="1:36">
      <c r="A141" t="s">
        <v>183</v>
      </c>
      <c r="B141" t="s">
        <v>578</v>
      </c>
      <c r="C141">
        <v>0</v>
      </c>
      <c r="D141" t="s">
        <v>183</v>
      </c>
      <c r="E141" t="s">
        <v>79</v>
      </c>
      <c r="F141" t="s">
        <v>79</v>
      </c>
      <c r="J141" t="s">
        <v>191</v>
      </c>
      <c r="O141" t="s">
        <v>243</v>
      </c>
      <c r="P141">
        <v>2829</v>
      </c>
      <c r="Q141" t="s">
        <v>86</v>
      </c>
      <c r="R141">
        <v>0</v>
      </c>
      <c r="S141">
        <v>0</v>
      </c>
      <c r="T141">
        <v>3800</v>
      </c>
      <c r="U141">
        <v>963101871</v>
      </c>
      <c r="V141" t="s">
        <v>327</v>
      </c>
      <c r="AA141" t="s">
        <v>125</v>
      </c>
      <c r="AF141" t="s">
        <v>102</v>
      </c>
      <c r="AH141">
        <v>8139430</v>
      </c>
      <c r="AI141" t="s">
        <v>579</v>
      </c>
    </row>
    <row r="142" spans="1:36">
      <c r="A142" t="s">
        <v>580</v>
      </c>
      <c r="B142" t="s">
        <v>581</v>
      </c>
      <c r="C142">
        <v>3</v>
      </c>
      <c r="D142" t="s">
        <v>78</v>
      </c>
      <c r="E142" t="s">
        <v>79</v>
      </c>
      <c r="F142" t="s">
        <v>125</v>
      </c>
      <c r="G142" t="s">
        <v>80</v>
      </c>
      <c r="H142" t="s">
        <v>81</v>
      </c>
      <c r="I142" t="s">
        <v>82</v>
      </c>
      <c r="P142">
        <v>0</v>
      </c>
      <c r="Q142" t="s">
        <v>86</v>
      </c>
      <c r="R142">
        <v>0</v>
      </c>
      <c r="S142">
        <v>0</v>
      </c>
      <c r="T142">
        <v>2000</v>
      </c>
      <c r="V142" t="s">
        <v>87</v>
      </c>
      <c r="W142" t="s">
        <v>582</v>
      </c>
      <c r="AB142">
        <v>200</v>
      </c>
      <c r="AC142" t="s">
        <v>90</v>
      </c>
      <c r="AD142">
        <v>6</v>
      </c>
      <c r="AH142">
        <v>9702001069</v>
      </c>
      <c r="AI142">
        <v>9702</v>
      </c>
      <c r="AJ142" t="s">
        <v>583</v>
      </c>
    </row>
    <row r="143" spans="1:36">
      <c r="A143" t="s">
        <v>584</v>
      </c>
      <c r="B143" t="s">
        <v>585</v>
      </c>
      <c r="C143" t="s">
        <v>139</v>
      </c>
      <c r="D143" t="s">
        <v>140</v>
      </c>
      <c r="E143" t="s">
        <v>79</v>
      </c>
      <c r="F143" t="s">
        <v>125</v>
      </c>
      <c r="G143" t="s">
        <v>80</v>
      </c>
      <c r="H143" t="s">
        <v>81</v>
      </c>
      <c r="P143">
        <v>0</v>
      </c>
      <c r="Q143" t="s">
        <v>86</v>
      </c>
      <c r="R143">
        <v>0</v>
      </c>
      <c r="S143">
        <v>0</v>
      </c>
      <c r="T143">
        <v>9500</v>
      </c>
      <c r="U143">
        <v>987620000</v>
      </c>
      <c r="V143" t="s">
        <v>327</v>
      </c>
    </row>
    <row r="144" spans="1:36">
      <c r="A144" t="s">
        <v>586</v>
      </c>
      <c r="B144" t="s">
        <v>587</v>
      </c>
      <c r="C144">
        <v>4</v>
      </c>
      <c r="D144" t="s">
        <v>183</v>
      </c>
      <c r="E144" t="s">
        <v>79</v>
      </c>
      <c r="F144" t="s">
        <v>125</v>
      </c>
      <c r="G144" t="s">
        <v>80</v>
      </c>
      <c r="H144" t="s">
        <v>81</v>
      </c>
      <c r="P144">
        <v>0</v>
      </c>
      <c r="Q144" t="s">
        <v>86</v>
      </c>
      <c r="R144">
        <v>0</v>
      </c>
      <c r="S144">
        <v>0</v>
      </c>
      <c r="T144">
        <v>3800</v>
      </c>
      <c r="V144" t="s">
        <v>327</v>
      </c>
    </row>
    <row r="145" spans="1:36">
      <c r="A145" t="s">
        <v>588</v>
      </c>
      <c r="B145" t="s">
        <v>589</v>
      </c>
      <c r="C145">
        <v>4</v>
      </c>
      <c r="D145" t="s">
        <v>140</v>
      </c>
      <c r="E145" t="s">
        <v>79</v>
      </c>
      <c r="F145" t="s">
        <v>125</v>
      </c>
      <c r="G145" t="s">
        <v>80</v>
      </c>
      <c r="H145" t="s">
        <v>81</v>
      </c>
      <c r="P145">
        <v>0</v>
      </c>
      <c r="Q145" t="s">
        <v>86</v>
      </c>
      <c r="R145">
        <v>0</v>
      </c>
      <c r="S145">
        <v>0</v>
      </c>
      <c r="T145">
        <v>600</v>
      </c>
      <c r="U145">
        <v>963061209</v>
      </c>
      <c r="V145" t="s">
        <v>327</v>
      </c>
    </row>
    <row r="146" spans="1:36">
      <c r="A146" t="s">
        <v>590</v>
      </c>
      <c r="B146" t="s">
        <v>591</v>
      </c>
      <c r="C146">
        <v>4</v>
      </c>
      <c r="D146" t="s">
        <v>183</v>
      </c>
      <c r="E146" t="s">
        <v>125</v>
      </c>
      <c r="F146" t="s">
        <v>79</v>
      </c>
      <c r="G146" t="s">
        <v>80</v>
      </c>
      <c r="H146" t="s">
        <v>81</v>
      </c>
      <c r="I146" t="s">
        <v>82</v>
      </c>
      <c r="J146" t="s">
        <v>191</v>
      </c>
      <c r="K146" t="s">
        <v>192</v>
      </c>
      <c r="L146">
        <v>1</v>
      </c>
      <c r="P146">
        <v>0</v>
      </c>
      <c r="Q146" t="s">
        <v>86</v>
      </c>
      <c r="R146">
        <v>0</v>
      </c>
      <c r="S146">
        <v>0</v>
      </c>
      <c r="T146">
        <v>3800</v>
      </c>
      <c r="V146" t="s">
        <v>87</v>
      </c>
      <c r="W146" t="s">
        <v>592</v>
      </c>
      <c r="AB146">
        <v>2700</v>
      </c>
      <c r="AC146" t="s">
        <v>90</v>
      </c>
      <c r="AD146">
        <v>4</v>
      </c>
      <c r="AE146" t="s">
        <v>101</v>
      </c>
      <c r="AF146" t="s">
        <v>102</v>
      </c>
      <c r="AH146">
        <v>8456003135</v>
      </c>
      <c r="AI146">
        <v>8456</v>
      </c>
      <c r="AJ146" t="s">
        <v>593</v>
      </c>
    </row>
    <row r="147" spans="1:36">
      <c r="A147" t="s">
        <v>594</v>
      </c>
      <c r="B147" t="s">
        <v>595</v>
      </c>
      <c r="C147">
        <v>3</v>
      </c>
      <c r="D147" t="s">
        <v>130</v>
      </c>
      <c r="E147" t="s">
        <v>79</v>
      </c>
      <c r="F147" t="s">
        <v>125</v>
      </c>
      <c r="G147" t="s">
        <v>80</v>
      </c>
      <c r="H147" t="s">
        <v>81</v>
      </c>
      <c r="P147">
        <v>0</v>
      </c>
      <c r="Q147" t="s">
        <v>86</v>
      </c>
      <c r="R147">
        <v>0</v>
      </c>
      <c r="S147">
        <v>0</v>
      </c>
      <c r="T147">
        <v>7100</v>
      </c>
      <c r="U147">
        <v>963221100</v>
      </c>
      <c r="V147" t="s">
        <v>327</v>
      </c>
    </row>
    <row r="148" spans="1:36">
      <c r="A148" t="s">
        <v>596</v>
      </c>
      <c r="B148" t="s">
        <v>597</v>
      </c>
      <c r="C148" t="s">
        <v>139</v>
      </c>
      <c r="D148" t="s">
        <v>190</v>
      </c>
      <c r="E148" t="s">
        <v>79</v>
      </c>
      <c r="F148" t="s">
        <v>125</v>
      </c>
      <c r="G148" t="s">
        <v>80</v>
      </c>
      <c r="H148" t="s">
        <v>81</v>
      </c>
      <c r="P148">
        <v>0</v>
      </c>
      <c r="Q148" t="s">
        <v>86</v>
      </c>
      <c r="R148">
        <v>0</v>
      </c>
      <c r="S148">
        <v>0</v>
      </c>
      <c r="T148">
        <v>5615</v>
      </c>
      <c r="V148" t="s">
        <v>327</v>
      </c>
    </row>
    <row r="149" spans="1:36">
      <c r="A149" t="s">
        <v>598</v>
      </c>
      <c r="B149" t="s">
        <v>599</v>
      </c>
      <c r="C149">
        <v>4</v>
      </c>
      <c r="D149" t="s">
        <v>190</v>
      </c>
      <c r="E149" t="s">
        <v>79</v>
      </c>
      <c r="F149" t="s">
        <v>125</v>
      </c>
      <c r="G149" t="s">
        <v>80</v>
      </c>
      <c r="H149" t="s">
        <v>81</v>
      </c>
      <c r="P149">
        <v>0</v>
      </c>
      <c r="Q149" t="s">
        <v>86</v>
      </c>
      <c r="R149">
        <v>0</v>
      </c>
      <c r="S149">
        <v>0</v>
      </c>
      <c r="T149">
        <v>5615</v>
      </c>
      <c r="U149">
        <v>987780000</v>
      </c>
      <c r="V149" t="s">
        <v>327</v>
      </c>
    </row>
    <row r="150" spans="1:36">
      <c r="A150" t="s">
        <v>600</v>
      </c>
      <c r="B150" t="s">
        <v>601</v>
      </c>
      <c r="C150" t="s">
        <v>139</v>
      </c>
      <c r="D150" t="s">
        <v>140</v>
      </c>
      <c r="E150" t="s">
        <v>79</v>
      </c>
      <c r="F150" t="s">
        <v>125</v>
      </c>
      <c r="G150" t="s">
        <v>80</v>
      </c>
      <c r="H150" t="s">
        <v>81</v>
      </c>
      <c r="P150">
        <v>0</v>
      </c>
      <c r="Q150" t="s">
        <v>86</v>
      </c>
      <c r="R150">
        <v>0</v>
      </c>
      <c r="S150">
        <v>0</v>
      </c>
      <c r="T150">
        <v>9500</v>
      </c>
      <c r="U150">
        <v>963492907</v>
      </c>
      <c r="V150" t="s">
        <v>327</v>
      </c>
    </row>
    <row r="151" spans="1:36">
      <c r="A151" t="s">
        <v>602</v>
      </c>
      <c r="B151" t="s">
        <v>603</v>
      </c>
      <c r="C151">
        <v>3</v>
      </c>
      <c r="D151" t="s">
        <v>78</v>
      </c>
      <c r="E151" t="s">
        <v>79</v>
      </c>
      <c r="F151" t="s">
        <v>79</v>
      </c>
      <c r="G151" t="s">
        <v>80</v>
      </c>
      <c r="H151" t="s">
        <v>81</v>
      </c>
      <c r="I151" t="s">
        <v>82</v>
      </c>
      <c r="J151" t="s">
        <v>604</v>
      </c>
      <c r="K151" t="s">
        <v>605</v>
      </c>
      <c r="L151" s="1">
        <v>45328</v>
      </c>
      <c r="N151" t="s">
        <v>108</v>
      </c>
      <c r="O151" t="s">
        <v>604</v>
      </c>
      <c r="P151">
        <v>0</v>
      </c>
      <c r="Q151" t="s">
        <v>86</v>
      </c>
      <c r="R151">
        <v>0</v>
      </c>
      <c r="S151">
        <v>0</v>
      </c>
      <c r="T151">
        <v>9500</v>
      </c>
      <c r="U151">
        <v>96349</v>
      </c>
      <c r="V151" t="s">
        <v>87</v>
      </c>
      <c r="W151" t="s">
        <v>606</v>
      </c>
      <c r="AB151" t="s">
        <v>100</v>
      </c>
      <c r="AC151" t="s">
        <v>90</v>
      </c>
      <c r="AD151">
        <v>6</v>
      </c>
      <c r="AE151" t="s">
        <v>160</v>
      </c>
      <c r="AF151" t="s">
        <v>102</v>
      </c>
      <c r="AH151">
        <v>3486000101</v>
      </c>
      <c r="AI151">
        <v>3486</v>
      </c>
      <c r="AJ151" t="s">
        <v>607</v>
      </c>
    </row>
    <row r="152" spans="1:36">
      <c r="A152" t="s">
        <v>608</v>
      </c>
      <c r="B152" t="s">
        <v>609</v>
      </c>
      <c r="C152" t="s">
        <v>139</v>
      </c>
      <c r="D152" t="s">
        <v>140</v>
      </c>
      <c r="E152" t="s">
        <v>79</v>
      </c>
      <c r="F152" t="s">
        <v>125</v>
      </c>
      <c r="G152" t="s">
        <v>80</v>
      </c>
      <c r="H152" t="s">
        <v>81</v>
      </c>
      <c r="P152">
        <v>0</v>
      </c>
      <c r="Q152" t="s">
        <v>86</v>
      </c>
      <c r="R152">
        <v>0</v>
      </c>
      <c r="S152">
        <v>0</v>
      </c>
      <c r="T152">
        <v>600</v>
      </c>
      <c r="V152" t="s">
        <v>327</v>
      </c>
    </row>
    <row r="153" spans="1:36">
      <c r="A153" t="s">
        <v>610</v>
      </c>
      <c r="B153" t="s">
        <v>611</v>
      </c>
      <c r="C153" t="s">
        <v>139</v>
      </c>
      <c r="D153" t="s">
        <v>140</v>
      </c>
      <c r="E153" t="s">
        <v>79</v>
      </c>
      <c r="F153" t="s">
        <v>125</v>
      </c>
      <c r="G153" t="s">
        <v>80</v>
      </c>
      <c r="H153" t="s">
        <v>81</v>
      </c>
      <c r="P153">
        <v>0</v>
      </c>
      <c r="Q153" t="s">
        <v>86</v>
      </c>
      <c r="R153">
        <v>0</v>
      </c>
      <c r="S153">
        <v>0</v>
      </c>
      <c r="T153">
        <v>5615</v>
      </c>
      <c r="U153">
        <v>963701100</v>
      </c>
      <c r="V153" t="s">
        <v>327</v>
      </c>
    </row>
    <row r="154" spans="1:36">
      <c r="A154" t="s">
        <v>612</v>
      </c>
      <c r="B154" t="s">
        <v>613</v>
      </c>
      <c r="C154">
        <v>3</v>
      </c>
      <c r="D154" t="s">
        <v>174</v>
      </c>
      <c r="E154" t="s">
        <v>79</v>
      </c>
      <c r="F154" t="s">
        <v>79</v>
      </c>
      <c r="G154" t="s">
        <v>80</v>
      </c>
      <c r="H154" t="s">
        <v>81</v>
      </c>
      <c r="I154" t="s">
        <v>82</v>
      </c>
      <c r="J154" t="s">
        <v>95</v>
      </c>
      <c r="K154" t="s">
        <v>184</v>
      </c>
      <c r="L154">
        <v>98</v>
      </c>
      <c r="N154" t="s">
        <v>185</v>
      </c>
      <c r="O154" t="s">
        <v>98</v>
      </c>
      <c r="P154">
        <v>0</v>
      </c>
      <c r="Q154" t="s">
        <v>86</v>
      </c>
      <c r="R154">
        <v>0</v>
      </c>
      <c r="S154">
        <v>0</v>
      </c>
      <c r="T154">
        <v>600</v>
      </c>
      <c r="U154">
        <v>963062703</v>
      </c>
      <c r="V154" t="s">
        <v>87</v>
      </c>
      <c r="W154" t="s">
        <v>347</v>
      </c>
      <c r="AB154" t="s">
        <v>100</v>
      </c>
      <c r="AC154" t="s">
        <v>90</v>
      </c>
      <c r="AD154">
        <v>6</v>
      </c>
      <c r="AE154" t="s">
        <v>101</v>
      </c>
      <c r="AF154" t="s">
        <v>102</v>
      </c>
      <c r="AH154">
        <v>2350000138</v>
      </c>
      <c r="AI154">
        <v>2350</v>
      </c>
      <c r="AJ154" t="s">
        <v>349</v>
      </c>
    </row>
    <row r="155" spans="1:36">
      <c r="A155" t="s">
        <v>614</v>
      </c>
      <c r="B155" t="s">
        <v>615</v>
      </c>
      <c r="C155">
        <v>3</v>
      </c>
      <c r="D155" t="s">
        <v>78</v>
      </c>
      <c r="E155" t="s">
        <v>79</v>
      </c>
      <c r="F155" t="s">
        <v>79</v>
      </c>
      <c r="G155" t="s">
        <v>80</v>
      </c>
      <c r="H155" t="s">
        <v>81</v>
      </c>
      <c r="I155" t="s">
        <v>82</v>
      </c>
      <c r="J155" t="s">
        <v>341</v>
      </c>
      <c r="K155" t="s">
        <v>342</v>
      </c>
      <c r="L155" t="s">
        <v>343</v>
      </c>
      <c r="O155" t="s">
        <v>177</v>
      </c>
      <c r="P155">
        <v>0</v>
      </c>
      <c r="Q155" t="s">
        <v>86</v>
      </c>
      <c r="R155">
        <v>0</v>
      </c>
      <c r="S155">
        <v>0</v>
      </c>
      <c r="T155">
        <v>9500</v>
      </c>
      <c r="V155" t="s">
        <v>87</v>
      </c>
      <c r="W155" t="s">
        <v>344</v>
      </c>
      <c r="AB155" t="s">
        <v>291</v>
      </c>
      <c r="AC155" t="s">
        <v>90</v>
      </c>
      <c r="AD155">
        <v>6</v>
      </c>
      <c r="AE155" t="s">
        <v>91</v>
      </c>
      <c r="AF155" t="s">
        <v>102</v>
      </c>
      <c r="AH155">
        <v>3710001659</v>
      </c>
      <c r="AI155">
        <v>3710</v>
      </c>
      <c r="AJ155" t="s">
        <v>292</v>
      </c>
    </row>
    <row r="156" spans="1:36">
      <c r="A156" t="s">
        <v>616</v>
      </c>
      <c r="B156" t="s">
        <v>617</v>
      </c>
      <c r="C156">
        <v>3</v>
      </c>
      <c r="D156" t="s">
        <v>174</v>
      </c>
      <c r="E156" t="s">
        <v>79</v>
      </c>
      <c r="F156" t="s">
        <v>79</v>
      </c>
      <c r="G156" t="s">
        <v>80</v>
      </c>
      <c r="H156" t="s">
        <v>81</v>
      </c>
      <c r="I156" t="s">
        <v>82</v>
      </c>
      <c r="J156" t="s">
        <v>153</v>
      </c>
      <c r="K156" t="s">
        <v>618</v>
      </c>
      <c r="L156">
        <v>98</v>
      </c>
      <c r="N156" t="s">
        <v>185</v>
      </c>
      <c r="O156" t="s">
        <v>156</v>
      </c>
      <c r="P156">
        <v>0</v>
      </c>
      <c r="Q156" t="s">
        <v>86</v>
      </c>
      <c r="R156">
        <v>0</v>
      </c>
      <c r="S156">
        <v>0</v>
      </c>
      <c r="T156">
        <v>600</v>
      </c>
      <c r="U156">
        <v>963061209</v>
      </c>
      <c r="V156" t="s">
        <v>87</v>
      </c>
      <c r="W156" t="s">
        <v>619</v>
      </c>
      <c r="AB156" t="s">
        <v>216</v>
      </c>
      <c r="AC156" t="s">
        <v>90</v>
      </c>
      <c r="AD156">
        <v>6</v>
      </c>
      <c r="AE156" t="s">
        <v>160</v>
      </c>
      <c r="AF156" t="s">
        <v>102</v>
      </c>
      <c r="AH156">
        <v>1980100172</v>
      </c>
      <c r="AI156">
        <v>1980</v>
      </c>
      <c r="AJ156" t="s">
        <v>620</v>
      </c>
    </row>
    <row r="157" spans="1:36">
      <c r="A157" t="s">
        <v>621</v>
      </c>
      <c r="B157" t="s">
        <v>622</v>
      </c>
      <c r="C157" t="s">
        <v>139</v>
      </c>
      <c r="D157" t="s">
        <v>140</v>
      </c>
      <c r="E157" t="s">
        <v>79</v>
      </c>
      <c r="F157" t="s">
        <v>125</v>
      </c>
      <c r="G157" t="s">
        <v>80</v>
      </c>
      <c r="H157" t="s">
        <v>81</v>
      </c>
      <c r="P157">
        <v>0</v>
      </c>
      <c r="Q157" t="s">
        <v>86</v>
      </c>
      <c r="R157">
        <v>0</v>
      </c>
      <c r="S157">
        <v>0</v>
      </c>
      <c r="T157">
        <v>600</v>
      </c>
      <c r="V157" t="s">
        <v>327</v>
      </c>
    </row>
    <row r="158" spans="1:36">
      <c r="A158" t="s">
        <v>623</v>
      </c>
      <c r="B158" t="s">
        <v>624</v>
      </c>
      <c r="C158" t="s">
        <v>139</v>
      </c>
      <c r="D158" t="s">
        <v>625</v>
      </c>
      <c r="E158" t="s">
        <v>79</v>
      </c>
      <c r="F158" t="s">
        <v>125</v>
      </c>
      <c r="G158" t="s">
        <v>80</v>
      </c>
      <c r="H158" t="s">
        <v>81</v>
      </c>
      <c r="P158">
        <v>0</v>
      </c>
      <c r="Q158" t="s">
        <v>86</v>
      </c>
      <c r="R158">
        <v>0</v>
      </c>
      <c r="S158">
        <v>0</v>
      </c>
      <c r="T158">
        <v>600</v>
      </c>
      <c r="V158" t="s">
        <v>327</v>
      </c>
    </row>
    <row r="159" spans="1:36">
      <c r="A159" t="s">
        <v>626</v>
      </c>
      <c r="B159" t="s">
        <v>627</v>
      </c>
      <c r="C159">
        <v>3</v>
      </c>
      <c r="D159" t="s">
        <v>78</v>
      </c>
      <c r="E159" t="s">
        <v>79</v>
      </c>
      <c r="F159" t="s">
        <v>79</v>
      </c>
      <c r="G159" t="s">
        <v>80</v>
      </c>
      <c r="H159" t="s">
        <v>81</v>
      </c>
      <c r="I159" t="s">
        <v>82</v>
      </c>
      <c r="J159" t="s">
        <v>362</v>
      </c>
      <c r="K159" t="s">
        <v>363</v>
      </c>
      <c r="L159">
        <v>1</v>
      </c>
      <c r="O159" t="s">
        <v>156</v>
      </c>
      <c r="P159">
        <v>0</v>
      </c>
      <c r="Q159" t="s">
        <v>86</v>
      </c>
      <c r="R159">
        <v>0</v>
      </c>
      <c r="S159">
        <v>0</v>
      </c>
      <c r="T159">
        <v>9500</v>
      </c>
      <c r="U159">
        <v>96349</v>
      </c>
      <c r="V159" t="s">
        <v>87</v>
      </c>
      <c r="W159" t="s">
        <v>364</v>
      </c>
      <c r="AB159" t="s">
        <v>365</v>
      </c>
      <c r="AC159" t="s">
        <v>90</v>
      </c>
      <c r="AD159">
        <v>6</v>
      </c>
      <c r="AE159" t="s">
        <v>91</v>
      </c>
      <c r="AF159" t="s">
        <v>102</v>
      </c>
      <c r="AH159">
        <v>2000005768</v>
      </c>
      <c r="AI159">
        <v>2000</v>
      </c>
      <c r="AJ159" t="s">
        <v>366</v>
      </c>
    </row>
    <row r="160" spans="1:36">
      <c r="A160" t="s">
        <v>628</v>
      </c>
      <c r="B160" t="s">
        <v>629</v>
      </c>
      <c r="C160">
        <v>3</v>
      </c>
      <c r="D160" t="s">
        <v>130</v>
      </c>
      <c r="E160" t="s">
        <v>79</v>
      </c>
      <c r="F160" t="s">
        <v>79</v>
      </c>
      <c r="G160" t="s">
        <v>80</v>
      </c>
      <c r="H160" t="s">
        <v>81</v>
      </c>
      <c r="I160" t="s">
        <v>82</v>
      </c>
      <c r="J160" t="s">
        <v>362</v>
      </c>
      <c r="K160" t="s">
        <v>363</v>
      </c>
      <c r="L160">
        <v>1</v>
      </c>
      <c r="O160" t="s">
        <v>156</v>
      </c>
      <c r="P160">
        <v>0</v>
      </c>
      <c r="Q160" t="s">
        <v>86</v>
      </c>
      <c r="R160">
        <v>0</v>
      </c>
      <c r="S160">
        <v>0</v>
      </c>
      <c r="T160">
        <v>7100</v>
      </c>
      <c r="V160" t="s">
        <v>87</v>
      </c>
      <c r="W160" t="s">
        <v>364</v>
      </c>
      <c r="AB160" t="s">
        <v>365</v>
      </c>
      <c r="AC160" t="s">
        <v>90</v>
      </c>
      <c r="AD160">
        <v>6</v>
      </c>
      <c r="AE160" t="s">
        <v>91</v>
      </c>
      <c r="AF160" t="s">
        <v>102</v>
      </c>
      <c r="AH160">
        <v>2000005767</v>
      </c>
      <c r="AI160">
        <v>2000</v>
      </c>
      <c r="AJ160" t="s">
        <v>366</v>
      </c>
    </row>
    <row r="161" spans="1:36">
      <c r="A161" t="s">
        <v>630</v>
      </c>
      <c r="B161" t="s">
        <v>631</v>
      </c>
      <c r="C161">
        <v>3</v>
      </c>
      <c r="D161" t="s">
        <v>174</v>
      </c>
      <c r="E161" t="s">
        <v>79</v>
      </c>
      <c r="F161" t="s">
        <v>125</v>
      </c>
      <c r="G161" t="s">
        <v>80</v>
      </c>
      <c r="H161" t="s">
        <v>81</v>
      </c>
      <c r="I161" t="s">
        <v>82</v>
      </c>
      <c r="P161">
        <v>0</v>
      </c>
      <c r="Q161" t="s">
        <v>86</v>
      </c>
      <c r="R161">
        <v>0</v>
      </c>
      <c r="S161">
        <v>0</v>
      </c>
      <c r="T161">
        <v>4885</v>
      </c>
      <c r="U161">
        <v>963195000</v>
      </c>
      <c r="V161" t="s">
        <v>87</v>
      </c>
      <c r="W161" t="s">
        <v>364</v>
      </c>
      <c r="AB161" t="s">
        <v>365</v>
      </c>
      <c r="AC161" t="s">
        <v>90</v>
      </c>
      <c r="AD161">
        <v>6</v>
      </c>
      <c r="AH161">
        <v>2000005765</v>
      </c>
      <c r="AI161">
        <v>2000</v>
      </c>
      <c r="AJ161" t="s">
        <v>366</v>
      </c>
    </row>
    <row r="162" spans="1:36">
      <c r="A162" t="s">
        <v>632</v>
      </c>
      <c r="B162" t="s">
        <v>633</v>
      </c>
      <c r="C162">
        <v>3</v>
      </c>
      <c r="D162" t="s">
        <v>174</v>
      </c>
      <c r="E162" t="s">
        <v>79</v>
      </c>
      <c r="F162" t="s">
        <v>79</v>
      </c>
      <c r="G162" t="s">
        <v>80</v>
      </c>
      <c r="H162" t="s">
        <v>81</v>
      </c>
      <c r="I162" t="s">
        <v>82</v>
      </c>
      <c r="J162" t="s">
        <v>362</v>
      </c>
      <c r="K162" t="s">
        <v>363</v>
      </c>
      <c r="L162">
        <v>1</v>
      </c>
      <c r="O162" t="s">
        <v>156</v>
      </c>
      <c r="P162">
        <v>0</v>
      </c>
      <c r="Q162" t="s">
        <v>86</v>
      </c>
      <c r="R162">
        <v>0</v>
      </c>
      <c r="S162">
        <v>0</v>
      </c>
      <c r="T162">
        <v>600</v>
      </c>
      <c r="U162">
        <v>963061706</v>
      </c>
      <c r="V162" t="s">
        <v>87</v>
      </c>
      <c r="W162" t="s">
        <v>364</v>
      </c>
      <c r="AB162" t="s">
        <v>365</v>
      </c>
      <c r="AC162" t="s">
        <v>90</v>
      </c>
      <c r="AD162">
        <v>6</v>
      </c>
      <c r="AE162" t="s">
        <v>91</v>
      </c>
      <c r="AF162" t="s">
        <v>102</v>
      </c>
      <c r="AH162">
        <v>2000005763</v>
      </c>
      <c r="AI162">
        <v>2000</v>
      </c>
      <c r="AJ162" t="s">
        <v>366</v>
      </c>
    </row>
    <row r="163" spans="1:36">
      <c r="A163" t="s">
        <v>634</v>
      </c>
      <c r="B163" t="s">
        <v>635</v>
      </c>
      <c r="C163">
        <v>3</v>
      </c>
      <c r="D163" t="s">
        <v>78</v>
      </c>
      <c r="E163" t="s">
        <v>125</v>
      </c>
      <c r="F163" t="s">
        <v>125</v>
      </c>
      <c r="G163" t="s">
        <v>80</v>
      </c>
      <c r="H163" t="s">
        <v>81</v>
      </c>
      <c r="I163" t="s">
        <v>82</v>
      </c>
      <c r="P163">
        <v>0</v>
      </c>
      <c r="Q163" t="s">
        <v>86</v>
      </c>
      <c r="R163">
        <v>0</v>
      </c>
      <c r="S163">
        <v>0</v>
      </c>
      <c r="T163">
        <v>9500</v>
      </c>
      <c r="V163" t="s">
        <v>87</v>
      </c>
      <c r="W163" t="s">
        <v>317</v>
      </c>
      <c r="AB163">
        <v>9999</v>
      </c>
      <c r="AC163" t="s">
        <v>90</v>
      </c>
      <c r="AH163">
        <v>3401000750</v>
      </c>
      <c r="AI163">
        <v>3401</v>
      </c>
      <c r="AJ163" t="s">
        <v>318</v>
      </c>
    </row>
    <row r="164" spans="1:36">
      <c r="A164" t="s">
        <v>636</v>
      </c>
      <c r="B164" t="s">
        <v>637</v>
      </c>
      <c r="C164" t="s">
        <v>139</v>
      </c>
      <c r="D164" t="s">
        <v>140</v>
      </c>
      <c r="E164" t="s">
        <v>79</v>
      </c>
      <c r="F164" t="s">
        <v>125</v>
      </c>
      <c r="G164" t="s">
        <v>80</v>
      </c>
      <c r="H164" t="s">
        <v>81</v>
      </c>
      <c r="I164" t="s">
        <v>82</v>
      </c>
      <c r="P164">
        <v>0</v>
      </c>
      <c r="Q164" t="s">
        <v>86</v>
      </c>
      <c r="R164">
        <v>0</v>
      </c>
      <c r="S164">
        <v>0</v>
      </c>
      <c r="T164">
        <v>5075</v>
      </c>
      <c r="V164" t="s">
        <v>327</v>
      </c>
      <c r="AB164">
        <v>7676</v>
      </c>
      <c r="AC164" t="s">
        <v>305</v>
      </c>
      <c r="AH164">
        <v>5108001504</v>
      </c>
      <c r="AI164">
        <v>5108</v>
      </c>
      <c r="AJ164" t="s">
        <v>638</v>
      </c>
    </row>
    <row r="165" spans="1:36">
      <c r="A165" t="s">
        <v>639</v>
      </c>
      <c r="B165" t="s">
        <v>640</v>
      </c>
      <c r="C165">
        <v>4</v>
      </c>
      <c r="D165" t="s">
        <v>78</v>
      </c>
      <c r="E165" t="s">
        <v>79</v>
      </c>
      <c r="F165" t="s">
        <v>125</v>
      </c>
      <c r="G165" t="s">
        <v>80</v>
      </c>
      <c r="H165" t="s">
        <v>81</v>
      </c>
      <c r="P165">
        <v>0</v>
      </c>
      <c r="Q165" t="s">
        <v>86</v>
      </c>
      <c r="R165">
        <v>0</v>
      </c>
      <c r="S165">
        <v>0</v>
      </c>
      <c r="T165">
        <v>9999</v>
      </c>
      <c r="U165">
        <v>987660000</v>
      </c>
      <c r="V165" t="s">
        <v>327</v>
      </c>
      <c r="AH165">
        <v>3001000</v>
      </c>
      <c r="AI165">
        <v>3001</v>
      </c>
    </row>
    <row r="166" spans="1:36">
      <c r="A166" t="s">
        <v>641</v>
      </c>
      <c r="B166" t="s">
        <v>642</v>
      </c>
      <c r="C166">
        <v>4</v>
      </c>
      <c r="D166" t="s">
        <v>140</v>
      </c>
      <c r="E166" t="s">
        <v>79</v>
      </c>
      <c r="F166" t="s">
        <v>125</v>
      </c>
      <c r="G166" t="s">
        <v>80</v>
      </c>
      <c r="H166" t="s">
        <v>81</v>
      </c>
      <c r="P166">
        <v>0</v>
      </c>
      <c r="Q166" t="s">
        <v>86</v>
      </c>
      <c r="R166">
        <v>0</v>
      </c>
      <c r="S166">
        <v>0</v>
      </c>
      <c r="T166">
        <v>9999</v>
      </c>
      <c r="U166">
        <v>987610000</v>
      </c>
      <c r="V166" t="s">
        <v>327</v>
      </c>
      <c r="AH166">
        <v>3001000</v>
      </c>
      <c r="AI166">
        <v>3001</v>
      </c>
    </row>
    <row r="167" spans="1:36">
      <c r="A167" t="s">
        <v>643</v>
      </c>
      <c r="B167" t="s">
        <v>644</v>
      </c>
      <c r="C167">
        <v>4</v>
      </c>
      <c r="D167" t="s">
        <v>140</v>
      </c>
      <c r="E167" t="s">
        <v>79</v>
      </c>
      <c r="F167" t="s">
        <v>125</v>
      </c>
      <c r="G167" t="s">
        <v>80</v>
      </c>
      <c r="H167" t="s">
        <v>81</v>
      </c>
      <c r="P167">
        <v>0</v>
      </c>
      <c r="Q167" t="s">
        <v>86</v>
      </c>
      <c r="R167">
        <v>0</v>
      </c>
      <c r="S167">
        <v>0</v>
      </c>
      <c r="T167">
        <v>9999</v>
      </c>
      <c r="U167">
        <v>987670000</v>
      </c>
      <c r="V167" t="s">
        <v>327</v>
      </c>
      <c r="AH167">
        <v>3001000</v>
      </c>
      <c r="AI167">
        <v>3001</v>
      </c>
    </row>
    <row r="168" spans="1:36">
      <c r="A168" t="s">
        <v>645</v>
      </c>
      <c r="B168" t="s">
        <v>646</v>
      </c>
      <c r="C168">
        <v>4</v>
      </c>
      <c r="D168" t="s">
        <v>78</v>
      </c>
      <c r="E168" t="s">
        <v>79</v>
      </c>
      <c r="F168" t="s">
        <v>79</v>
      </c>
      <c r="G168" t="s">
        <v>80</v>
      </c>
      <c r="H168" t="s">
        <v>81</v>
      </c>
      <c r="I168" t="s">
        <v>82</v>
      </c>
      <c r="J168" t="s">
        <v>301</v>
      </c>
      <c r="P168">
        <v>0</v>
      </c>
      <c r="Q168" t="s">
        <v>86</v>
      </c>
      <c r="R168">
        <v>0</v>
      </c>
      <c r="S168">
        <v>0</v>
      </c>
      <c r="T168">
        <v>9500</v>
      </c>
      <c r="V168" t="s">
        <v>87</v>
      </c>
      <c r="W168" t="s">
        <v>303</v>
      </c>
      <c r="AD168">
        <v>6</v>
      </c>
      <c r="AE168" t="s">
        <v>91</v>
      </c>
      <c r="AF168" t="s">
        <v>102</v>
      </c>
    </row>
    <row r="169" spans="1:36">
      <c r="A169" t="s">
        <v>647</v>
      </c>
      <c r="B169" t="s">
        <v>648</v>
      </c>
      <c r="C169">
        <v>3</v>
      </c>
      <c r="D169" t="s">
        <v>78</v>
      </c>
      <c r="E169" t="s">
        <v>79</v>
      </c>
      <c r="F169" t="s">
        <v>79</v>
      </c>
      <c r="G169" t="s">
        <v>80</v>
      </c>
      <c r="H169" t="s">
        <v>81</v>
      </c>
      <c r="I169" t="s">
        <v>82</v>
      </c>
      <c r="J169" t="s">
        <v>95</v>
      </c>
      <c r="K169" t="s">
        <v>184</v>
      </c>
      <c r="L169">
        <v>98</v>
      </c>
      <c r="N169" t="s">
        <v>185</v>
      </c>
      <c r="O169" t="s">
        <v>98</v>
      </c>
      <c r="P169">
        <v>0</v>
      </c>
      <c r="Q169" t="s">
        <v>86</v>
      </c>
      <c r="R169">
        <v>0</v>
      </c>
      <c r="S169">
        <v>0</v>
      </c>
      <c r="T169">
        <v>9500</v>
      </c>
      <c r="V169" t="s">
        <v>87</v>
      </c>
      <c r="W169" t="s">
        <v>649</v>
      </c>
      <c r="AB169" t="s">
        <v>210</v>
      </c>
      <c r="AC169" t="s">
        <v>90</v>
      </c>
      <c r="AD169">
        <v>6</v>
      </c>
      <c r="AE169" t="s">
        <v>101</v>
      </c>
      <c r="AF169" t="s">
        <v>102</v>
      </c>
      <c r="AH169">
        <v>2321040003</v>
      </c>
      <c r="AI169">
        <v>2321</v>
      </c>
      <c r="AJ169" t="s">
        <v>650</v>
      </c>
    </row>
    <row r="170" spans="1:36">
      <c r="A170" t="s">
        <v>651</v>
      </c>
      <c r="B170" t="s">
        <v>652</v>
      </c>
      <c r="C170">
        <v>3</v>
      </c>
      <c r="D170" t="s">
        <v>78</v>
      </c>
      <c r="E170" t="s">
        <v>79</v>
      </c>
      <c r="F170" t="s">
        <v>79</v>
      </c>
      <c r="G170" t="s">
        <v>80</v>
      </c>
      <c r="H170" t="s">
        <v>81</v>
      </c>
      <c r="I170" t="s">
        <v>82</v>
      </c>
      <c r="J170" t="s">
        <v>301</v>
      </c>
      <c r="K170" t="s">
        <v>406</v>
      </c>
      <c r="L170">
        <v>4</v>
      </c>
      <c r="O170" t="s">
        <v>301</v>
      </c>
      <c r="P170">
        <v>0</v>
      </c>
      <c r="Q170" t="s">
        <v>86</v>
      </c>
      <c r="R170">
        <v>0</v>
      </c>
      <c r="S170">
        <v>0</v>
      </c>
      <c r="T170">
        <v>9500</v>
      </c>
      <c r="V170" t="s">
        <v>87</v>
      </c>
      <c r="W170" t="s">
        <v>404</v>
      </c>
      <c r="AB170" t="s">
        <v>314</v>
      </c>
      <c r="AC170" t="s">
        <v>90</v>
      </c>
      <c r="AD170">
        <v>6</v>
      </c>
      <c r="AE170" t="s">
        <v>91</v>
      </c>
      <c r="AF170" t="s">
        <v>102</v>
      </c>
      <c r="AH170">
        <v>6173080003</v>
      </c>
      <c r="AI170">
        <v>6173</v>
      </c>
      <c r="AJ170" t="s">
        <v>407</v>
      </c>
    </row>
    <row r="171" spans="1:36">
      <c r="A171" t="s">
        <v>653</v>
      </c>
      <c r="B171" t="s">
        <v>654</v>
      </c>
      <c r="C171" t="s">
        <v>139</v>
      </c>
      <c r="D171" t="s">
        <v>140</v>
      </c>
      <c r="E171" t="s">
        <v>79</v>
      </c>
      <c r="F171" t="s">
        <v>125</v>
      </c>
      <c r="G171" t="s">
        <v>80</v>
      </c>
      <c r="H171" t="s">
        <v>81</v>
      </c>
      <c r="I171" t="s">
        <v>82</v>
      </c>
      <c r="P171">
        <v>0</v>
      </c>
      <c r="Q171" t="s">
        <v>86</v>
      </c>
      <c r="R171">
        <v>0</v>
      </c>
      <c r="S171">
        <v>0</v>
      </c>
      <c r="T171">
        <v>6550</v>
      </c>
      <c r="V171" t="s">
        <v>87</v>
      </c>
      <c r="W171" t="s">
        <v>655</v>
      </c>
      <c r="AB171">
        <v>9999</v>
      </c>
      <c r="AC171" t="s">
        <v>90</v>
      </c>
      <c r="AH171">
        <v>9230000532</v>
      </c>
      <c r="AI171">
        <v>9230</v>
      </c>
      <c r="AJ171" t="s">
        <v>295</v>
      </c>
    </row>
    <row r="172" spans="1:36">
      <c r="A172" t="s">
        <v>656</v>
      </c>
      <c r="B172" t="s">
        <v>657</v>
      </c>
      <c r="C172">
        <v>3</v>
      </c>
      <c r="D172" t="s">
        <v>78</v>
      </c>
      <c r="E172" t="s">
        <v>79</v>
      </c>
      <c r="F172" t="s">
        <v>79</v>
      </c>
      <c r="G172" t="s">
        <v>80</v>
      </c>
      <c r="H172" t="s">
        <v>81</v>
      </c>
      <c r="I172" t="s">
        <v>82</v>
      </c>
      <c r="J172" t="s">
        <v>106</v>
      </c>
      <c r="K172" t="s">
        <v>658</v>
      </c>
      <c r="L172">
        <v>4</v>
      </c>
      <c r="M172" t="s">
        <v>385</v>
      </c>
      <c r="O172" t="s">
        <v>98</v>
      </c>
      <c r="P172">
        <v>0</v>
      </c>
      <c r="Q172" t="s">
        <v>86</v>
      </c>
      <c r="R172">
        <v>0</v>
      </c>
      <c r="S172">
        <v>0</v>
      </c>
      <c r="T172">
        <v>9400</v>
      </c>
      <c r="V172" t="s">
        <v>87</v>
      </c>
      <c r="W172" t="s">
        <v>659</v>
      </c>
      <c r="AB172" t="s">
        <v>147</v>
      </c>
      <c r="AC172" t="s">
        <v>90</v>
      </c>
      <c r="AD172">
        <v>6</v>
      </c>
      <c r="AF172" t="s">
        <v>102</v>
      </c>
      <c r="AH172">
        <v>4222003408</v>
      </c>
      <c r="AI172">
        <v>4222</v>
      </c>
      <c r="AJ172" t="s">
        <v>660</v>
      </c>
    </row>
    <row r="173" spans="1:36">
      <c r="A173" t="s">
        <v>661</v>
      </c>
      <c r="B173" t="s">
        <v>662</v>
      </c>
      <c r="C173">
        <v>3</v>
      </c>
      <c r="D173" t="s">
        <v>78</v>
      </c>
      <c r="E173" t="s">
        <v>79</v>
      </c>
      <c r="F173" t="s">
        <v>125</v>
      </c>
      <c r="G173" t="s">
        <v>80</v>
      </c>
      <c r="H173" t="s">
        <v>81</v>
      </c>
      <c r="I173" t="s">
        <v>82</v>
      </c>
      <c r="P173">
        <v>0</v>
      </c>
      <c r="Q173" t="s">
        <v>86</v>
      </c>
      <c r="R173">
        <v>0</v>
      </c>
      <c r="S173">
        <v>0</v>
      </c>
      <c r="T173">
        <v>9400</v>
      </c>
      <c r="V173" t="s">
        <v>87</v>
      </c>
      <c r="W173" t="s">
        <v>663</v>
      </c>
      <c r="AB173" t="s">
        <v>198</v>
      </c>
      <c r="AC173" t="s">
        <v>90</v>
      </c>
      <c r="AD173">
        <v>6</v>
      </c>
      <c r="AH173">
        <v>3678001041</v>
      </c>
      <c r="AI173">
        <v>3678</v>
      </c>
      <c r="AJ173" t="s">
        <v>664</v>
      </c>
    </row>
    <row r="174" spans="1:36">
      <c r="A174" t="s">
        <v>665</v>
      </c>
      <c r="B174" t="s">
        <v>666</v>
      </c>
      <c r="C174">
        <v>3</v>
      </c>
      <c r="D174" t="s">
        <v>78</v>
      </c>
      <c r="E174" t="s">
        <v>79</v>
      </c>
      <c r="F174" t="s">
        <v>125</v>
      </c>
      <c r="G174" t="s">
        <v>80</v>
      </c>
      <c r="H174" t="s">
        <v>81</v>
      </c>
      <c r="I174" t="s">
        <v>82</v>
      </c>
      <c r="P174">
        <v>0</v>
      </c>
      <c r="Q174" t="s">
        <v>86</v>
      </c>
      <c r="R174">
        <v>0</v>
      </c>
      <c r="S174">
        <v>0</v>
      </c>
      <c r="T174">
        <v>9510</v>
      </c>
      <c r="V174" t="s">
        <v>87</v>
      </c>
      <c r="W174" t="s">
        <v>317</v>
      </c>
      <c r="AB174" t="s">
        <v>100</v>
      </c>
      <c r="AC174" t="s">
        <v>90</v>
      </c>
      <c r="AH174">
        <v>3401000706</v>
      </c>
      <c r="AI174">
        <v>3401</v>
      </c>
      <c r="AJ174" t="s">
        <v>318</v>
      </c>
    </row>
    <row r="175" spans="1:36">
      <c r="A175" t="s">
        <v>667</v>
      </c>
      <c r="B175" t="s">
        <v>668</v>
      </c>
      <c r="C175">
        <v>3</v>
      </c>
      <c r="D175" t="s">
        <v>78</v>
      </c>
      <c r="E175" t="s">
        <v>79</v>
      </c>
      <c r="F175" t="s">
        <v>79</v>
      </c>
      <c r="G175" t="s">
        <v>80</v>
      </c>
      <c r="H175" t="s">
        <v>81</v>
      </c>
      <c r="I175" t="s">
        <v>82</v>
      </c>
      <c r="J175" t="s">
        <v>223</v>
      </c>
      <c r="K175" t="s">
        <v>224</v>
      </c>
      <c r="L175" t="s">
        <v>84</v>
      </c>
      <c r="O175" t="s">
        <v>85</v>
      </c>
      <c r="P175">
        <v>0</v>
      </c>
      <c r="Q175" t="s">
        <v>86</v>
      </c>
      <c r="R175">
        <v>0</v>
      </c>
      <c r="S175">
        <v>0</v>
      </c>
      <c r="T175">
        <v>9510</v>
      </c>
      <c r="V175" t="s">
        <v>87</v>
      </c>
      <c r="W175" t="s">
        <v>225</v>
      </c>
      <c r="AB175" t="s">
        <v>226</v>
      </c>
      <c r="AC175" t="s">
        <v>90</v>
      </c>
      <c r="AD175">
        <v>6</v>
      </c>
      <c r="AE175" t="s">
        <v>91</v>
      </c>
      <c r="AF175" t="s">
        <v>92</v>
      </c>
      <c r="AH175">
        <v>9515000201</v>
      </c>
      <c r="AI175">
        <v>9515</v>
      </c>
      <c r="AJ175" t="s">
        <v>227</v>
      </c>
    </row>
    <row r="176" spans="1:36">
      <c r="A176" t="s">
        <v>669</v>
      </c>
      <c r="B176" t="s">
        <v>670</v>
      </c>
      <c r="C176">
        <v>3</v>
      </c>
      <c r="D176" t="s">
        <v>190</v>
      </c>
      <c r="E176" t="s">
        <v>125</v>
      </c>
      <c r="F176" t="s">
        <v>79</v>
      </c>
      <c r="J176" t="s">
        <v>191</v>
      </c>
      <c r="O176" t="s">
        <v>243</v>
      </c>
      <c r="P176">
        <v>0</v>
      </c>
      <c r="Q176" t="s">
        <v>86</v>
      </c>
      <c r="R176">
        <v>0</v>
      </c>
      <c r="S176">
        <v>0</v>
      </c>
      <c r="T176">
        <v>1060</v>
      </c>
      <c r="U176">
        <v>963898415</v>
      </c>
      <c r="V176" t="s">
        <v>87</v>
      </c>
      <c r="W176" t="s">
        <v>671</v>
      </c>
      <c r="AF176" t="s">
        <v>102</v>
      </c>
      <c r="AH176" t="s">
        <v>672</v>
      </c>
      <c r="AI176" t="s">
        <v>673</v>
      </c>
    </row>
    <row r="177" spans="1:36">
      <c r="A177" t="s">
        <v>674</v>
      </c>
      <c r="B177" t="s">
        <v>675</v>
      </c>
      <c r="C177">
        <v>3</v>
      </c>
      <c r="D177" t="s">
        <v>78</v>
      </c>
      <c r="E177" t="s">
        <v>79</v>
      </c>
      <c r="F177" t="s">
        <v>79</v>
      </c>
      <c r="G177" t="s">
        <v>80</v>
      </c>
      <c r="H177" t="s">
        <v>81</v>
      </c>
      <c r="I177" t="s">
        <v>82</v>
      </c>
      <c r="J177" t="s">
        <v>106</v>
      </c>
      <c r="K177" t="s">
        <v>107</v>
      </c>
      <c r="L177" s="1">
        <v>45328</v>
      </c>
      <c r="N177" t="s">
        <v>108</v>
      </c>
      <c r="O177" t="s">
        <v>98</v>
      </c>
      <c r="P177">
        <v>0</v>
      </c>
      <c r="Q177" t="s">
        <v>86</v>
      </c>
      <c r="R177">
        <v>0</v>
      </c>
      <c r="S177">
        <v>0</v>
      </c>
      <c r="T177">
        <v>9500</v>
      </c>
      <c r="V177" t="s">
        <v>87</v>
      </c>
      <c r="W177" t="s">
        <v>676</v>
      </c>
      <c r="AB177" t="s">
        <v>210</v>
      </c>
      <c r="AC177" t="s">
        <v>90</v>
      </c>
      <c r="AD177">
        <v>6</v>
      </c>
      <c r="AE177" t="s">
        <v>101</v>
      </c>
      <c r="AF177" t="s">
        <v>102</v>
      </c>
      <c r="AH177">
        <v>4450111005</v>
      </c>
      <c r="AI177">
        <v>4450</v>
      </c>
      <c r="AJ177" t="s">
        <v>111</v>
      </c>
    </row>
    <row r="178" spans="1:36">
      <c r="A178" t="s">
        <v>677</v>
      </c>
      <c r="B178" t="s">
        <v>678</v>
      </c>
      <c r="C178">
        <v>3</v>
      </c>
      <c r="D178" t="s">
        <v>78</v>
      </c>
      <c r="E178" t="s">
        <v>79</v>
      </c>
      <c r="F178" t="s">
        <v>79</v>
      </c>
      <c r="G178" t="s">
        <v>80</v>
      </c>
      <c r="H178" t="s">
        <v>81</v>
      </c>
      <c r="I178" t="s">
        <v>82</v>
      </c>
      <c r="J178" t="s">
        <v>175</v>
      </c>
      <c r="K178" t="s">
        <v>514</v>
      </c>
      <c r="L178" t="s">
        <v>84</v>
      </c>
      <c r="O178" t="s">
        <v>177</v>
      </c>
      <c r="P178">
        <v>0</v>
      </c>
      <c r="Q178" t="s">
        <v>86</v>
      </c>
      <c r="R178">
        <v>0</v>
      </c>
      <c r="S178">
        <v>0</v>
      </c>
      <c r="T178">
        <v>9510</v>
      </c>
      <c r="V178" t="s">
        <v>87</v>
      </c>
      <c r="W178" t="s">
        <v>679</v>
      </c>
      <c r="AB178">
        <v>9999</v>
      </c>
      <c r="AC178" t="s">
        <v>90</v>
      </c>
      <c r="AD178">
        <v>6</v>
      </c>
      <c r="AE178" t="s">
        <v>91</v>
      </c>
      <c r="AF178" t="s">
        <v>102</v>
      </c>
      <c r="AH178">
        <v>9110200001</v>
      </c>
      <c r="AI178">
        <v>9110</v>
      </c>
      <c r="AJ178" t="s">
        <v>514</v>
      </c>
    </row>
    <row r="179" spans="1:36">
      <c r="A179" t="s">
        <v>680</v>
      </c>
      <c r="B179" t="s">
        <v>681</v>
      </c>
      <c r="C179">
        <v>3</v>
      </c>
      <c r="D179" t="s">
        <v>78</v>
      </c>
      <c r="E179" t="s">
        <v>79</v>
      </c>
      <c r="F179" t="s">
        <v>125</v>
      </c>
      <c r="G179" t="s">
        <v>80</v>
      </c>
      <c r="H179" t="s">
        <v>81</v>
      </c>
      <c r="I179" t="s">
        <v>82</v>
      </c>
      <c r="P179">
        <v>0</v>
      </c>
      <c r="Q179" t="s">
        <v>86</v>
      </c>
      <c r="R179">
        <v>0</v>
      </c>
      <c r="S179">
        <v>0</v>
      </c>
      <c r="T179">
        <v>9510</v>
      </c>
      <c r="V179" t="s">
        <v>87</v>
      </c>
      <c r="W179" t="s">
        <v>682</v>
      </c>
      <c r="AB179" t="s">
        <v>516</v>
      </c>
      <c r="AC179" t="s">
        <v>90</v>
      </c>
      <c r="AH179">
        <v>9110600001</v>
      </c>
      <c r="AI179">
        <v>9110</v>
      </c>
      <c r="AJ179" t="s">
        <v>514</v>
      </c>
    </row>
    <row r="180" spans="1:36">
      <c r="A180" t="s">
        <v>683</v>
      </c>
      <c r="B180" t="s">
        <v>684</v>
      </c>
      <c r="C180">
        <v>3</v>
      </c>
      <c r="D180" t="s">
        <v>78</v>
      </c>
      <c r="E180" t="s">
        <v>79</v>
      </c>
      <c r="F180" t="s">
        <v>79</v>
      </c>
      <c r="G180" t="s">
        <v>80</v>
      </c>
      <c r="H180" t="s">
        <v>81</v>
      </c>
      <c r="I180" t="s">
        <v>82</v>
      </c>
      <c r="J180" t="s">
        <v>295</v>
      </c>
      <c r="K180" t="s">
        <v>295</v>
      </c>
      <c r="L180" s="1">
        <v>45328</v>
      </c>
      <c r="N180" t="s">
        <v>108</v>
      </c>
      <c r="O180" t="s">
        <v>85</v>
      </c>
      <c r="P180">
        <v>0</v>
      </c>
      <c r="Q180" t="s">
        <v>86</v>
      </c>
      <c r="R180">
        <v>0</v>
      </c>
      <c r="S180">
        <v>0</v>
      </c>
      <c r="T180">
        <v>9510</v>
      </c>
      <c r="V180" t="s">
        <v>87</v>
      </c>
      <c r="W180" t="s">
        <v>655</v>
      </c>
      <c r="AB180">
        <v>9999</v>
      </c>
      <c r="AC180" t="s">
        <v>90</v>
      </c>
      <c r="AD180">
        <v>6</v>
      </c>
      <c r="AE180" t="s">
        <v>160</v>
      </c>
      <c r="AF180" t="s">
        <v>92</v>
      </c>
      <c r="AH180">
        <v>9230000529</v>
      </c>
      <c r="AI180">
        <v>9230</v>
      </c>
      <c r="AJ180" t="s">
        <v>295</v>
      </c>
    </row>
    <row r="181" spans="1:36">
      <c r="A181" t="s">
        <v>685</v>
      </c>
      <c r="B181" t="s">
        <v>686</v>
      </c>
      <c r="C181">
        <v>3</v>
      </c>
      <c r="D181" t="s">
        <v>183</v>
      </c>
      <c r="E181" t="s">
        <v>79</v>
      </c>
      <c r="F181" t="s">
        <v>125</v>
      </c>
      <c r="G181" t="s">
        <v>80</v>
      </c>
      <c r="H181" t="s">
        <v>81</v>
      </c>
      <c r="I181" t="s">
        <v>82</v>
      </c>
      <c r="P181">
        <v>0</v>
      </c>
      <c r="Q181" t="s">
        <v>86</v>
      </c>
      <c r="R181">
        <v>0</v>
      </c>
      <c r="S181">
        <v>0</v>
      </c>
      <c r="T181">
        <v>3800</v>
      </c>
      <c r="V181" t="s">
        <v>87</v>
      </c>
      <c r="W181" t="s">
        <v>364</v>
      </c>
      <c r="AB181" t="s">
        <v>365</v>
      </c>
      <c r="AC181" t="s">
        <v>90</v>
      </c>
      <c r="AD181">
        <v>6</v>
      </c>
      <c r="AH181">
        <v>2000005774</v>
      </c>
      <c r="AI181">
        <v>2000</v>
      </c>
      <c r="AJ181" t="s">
        <v>366</v>
      </c>
    </row>
    <row r="182" spans="1:36">
      <c r="A182" t="s">
        <v>687</v>
      </c>
      <c r="B182" t="s">
        <v>688</v>
      </c>
      <c r="C182">
        <v>3</v>
      </c>
      <c r="D182" t="s">
        <v>78</v>
      </c>
      <c r="E182" t="s">
        <v>79</v>
      </c>
      <c r="F182" t="s">
        <v>125</v>
      </c>
      <c r="G182" t="s">
        <v>80</v>
      </c>
      <c r="H182" t="s">
        <v>81</v>
      </c>
      <c r="I182" t="s">
        <v>82</v>
      </c>
      <c r="P182">
        <v>0</v>
      </c>
      <c r="Q182" t="s">
        <v>86</v>
      </c>
      <c r="R182">
        <v>0</v>
      </c>
      <c r="S182">
        <v>0</v>
      </c>
      <c r="T182">
        <v>9510</v>
      </c>
      <c r="V182" t="s">
        <v>87</v>
      </c>
      <c r="W182" t="s">
        <v>689</v>
      </c>
      <c r="AB182" t="s">
        <v>690</v>
      </c>
      <c r="AC182" t="s">
        <v>90</v>
      </c>
      <c r="AH182">
        <v>9520002501</v>
      </c>
      <c r="AI182">
        <v>9520</v>
      </c>
      <c r="AJ182" t="s">
        <v>691</v>
      </c>
    </row>
    <row r="183" spans="1:36">
      <c r="A183" t="s">
        <v>692</v>
      </c>
      <c r="B183" t="s">
        <v>693</v>
      </c>
      <c r="C183">
        <v>3</v>
      </c>
      <c r="D183" t="s">
        <v>78</v>
      </c>
      <c r="E183" t="s">
        <v>79</v>
      </c>
      <c r="F183" t="s">
        <v>125</v>
      </c>
      <c r="G183" t="s">
        <v>80</v>
      </c>
      <c r="H183" t="s">
        <v>81</v>
      </c>
      <c r="I183" t="s">
        <v>82</v>
      </c>
      <c r="P183">
        <v>0</v>
      </c>
      <c r="Q183" t="s">
        <v>86</v>
      </c>
      <c r="R183">
        <v>0</v>
      </c>
      <c r="S183">
        <v>0</v>
      </c>
      <c r="T183">
        <v>9510</v>
      </c>
      <c r="V183" t="s">
        <v>87</v>
      </c>
      <c r="W183" t="s">
        <v>694</v>
      </c>
      <c r="AB183" t="s">
        <v>695</v>
      </c>
      <c r="AC183" t="s">
        <v>442</v>
      </c>
      <c r="AH183">
        <v>9250000201</v>
      </c>
      <c r="AI183">
        <v>9250</v>
      </c>
      <c r="AJ183" t="s">
        <v>696</v>
      </c>
    </row>
    <row r="184" spans="1:36">
      <c r="A184" t="s">
        <v>697</v>
      </c>
      <c r="B184" t="s">
        <v>698</v>
      </c>
      <c r="C184">
        <v>3</v>
      </c>
      <c r="D184" t="s">
        <v>78</v>
      </c>
      <c r="E184" t="s">
        <v>79</v>
      </c>
      <c r="F184" t="s">
        <v>125</v>
      </c>
      <c r="G184" t="s">
        <v>80</v>
      </c>
      <c r="H184" t="s">
        <v>81</v>
      </c>
      <c r="I184" t="s">
        <v>82</v>
      </c>
      <c r="P184">
        <v>0</v>
      </c>
      <c r="Q184" t="s">
        <v>86</v>
      </c>
      <c r="R184">
        <v>0</v>
      </c>
      <c r="S184">
        <v>0</v>
      </c>
      <c r="T184">
        <v>9510</v>
      </c>
      <c r="V184" t="s">
        <v>87</v>
      </c>
      <c r="W184" t="s">
        <v>375</v>
      </c>
      <c r="AB184" t="s">
        <v>226</v>
      </c>
      <c r="AC184" t="s">
        <v>90</v>
      </c>
      <c r="AH184">
        <v>9515000544</v>
      </c>
      <c r="AI184">
        <v>9515</v>
      </c>
      <c r="AJ184" t="s">
        <v>227</v>
      </c>
    </row>
    <row r="185" spans="1:36">
      <c r="A185" t="s">
        <v>699</v>
      </c>
      <c r="B185" t="s">
        <v>700</v>
      </c>
      <c r="C185">
        <v>4</v>
      </c>
      <c r="D185" t="s">
        <v>190</v>
      </c>
      <c r="E185" t="s">
        <v>79</v>
      </c>
      <c r="F185" t="s">
        <v>79</v>
      </c>
      <c r="G185" t="s">
        <v>80</v>
      </c>
      <c r="H185" t="s">
        <v>81</v>
      </c>
      <c r="I185" t="s">
        <v>82</v>
      </c>
      <c r="J185" t="s">
        <v>191</v>
      </c>
      <c r="K185" t="s">
        <v>701</v>
      </c>
      <c r="L185">
        <v>1</v>
      </c>
      <c r="P185">
        <v>0</v>
      </c>
      <c r="Q185" t="s">
        <v>86</v>
      </c>
      <c r="R185">
        <v>0</v>
      </c>
      <c r="S185">
        <v>0</v>
      </c>
      <c r="T185">
        <v>1070</v>
      </c>
      <c r="V185" t="s">
        <v>87</v>
      </c>
      <c r="W185" t="s">
        <v>702</v>
      </c>
      <c r="AB185">
        <v>2700</v>
      </c>
      <c r="AC185" t="s">
        <v>90</v>
      </c>
      <c r="AD185">
        <v>6</v>
      </c>
      <c r="AE185" t="s">
        <v>91</v>
      </c>
      <c r="AF185" t="s">
        <v>102</v>
      </c>
      <c r="AH185">
        <v>8145010310</v>
      </c>
      <c r="AI185">
        <v>8145</v>
      </c>
      <c r="AJ185" t="s">
        <v>703</v>
      </c>
    </row>
    <row r="186" spans="1:36">
      <c r="A186" t="s">
        <v>704</v>
      </c>
      <c r="B186" t="s">
        <v>705</v>
      </c>
      <c r="C186">
        <v>3</v>
      </c>
      <c r="D186" t="s">
        <v>183</v>
      </c>
      <c r="E186" t="s">
        <v>79</v>
      </c>
      <c r="F186" t="s">
        <v>79</v>
      </c>
      <c r="G186" t="s">
        <v>80</v>
      </c>
      <c r="H186" t="s">
        <v>81</v>
      </c>
      <c r="I186" t="s">
        <v>82</v>
      </c>
      <c r="J186" t="s">
        <v>341</v>
      </c>
      <c r="K186" t="s">
        <v>342</v>
      </c>
      <c r="L186" t="s">
        <v>343</v>
      </c>
      <c r="O186" t="s">
        <v>177</v>
      </c>
      <c r="P186">
        <v>0</v>
      </c>
      <c r="Q186" t="s">
        <v>86</v>
      </c>
      <c r="R186">
        <v>0</v>
      </c>
      <c r="S186">
        <v>0</v>
      </c>
      <c r="T186">
        <v>3800</v>
      </c>
      <c r="U186">
        <v>963221100</v>
      </c>
      <c r="V186" t="s">
        <v>87</v>
      </c>
      <c r="W186" t="s">
        <v>344</v>
      </c>
      <c r="AB186" t="s">
        <v>291</v>
      </c>
      <c r="AC186" t="s">
        <v>90</v>
      </c>
      <c r="AD186">
        <v>6</v>
      </c>
      <c r="AE186" t="s">
        <v>91</v>
      </c>
      <c r="AF186" t="s">
        <v>102</v>
      </c>
      <c r="AH186">
        <v>3710001651</v>
      </c>
      <c r="AI186">
        <v>3710</v>
      </c>
      <c r="AJ186" t="s">
        <v>292</v>
      </c>
    </row>
    <row r="187" spans="1:36">
      <c r="A187" t="s">
        <v>706</v>
      </c>
      <c r="B187" t="s">
        <v>707</v>
      </c>
      <c r="C187">
        <v>4</v>
      </c>
      <c r="D187" t="s">
        <v>78</v>
      </c>
      <c r="E187" t="s">
        <v>79</v>
      </c>
      <c r="F187" t="s">
        <v>125</v>
      </c>
      <c r="G187" t="s">
        <v>80</v>
      </c>
      <c r="H187" t="s">
        <v>81</v>
      </c>
      <c r="P187">
        <v>0</v>
      </c>
      <c r="Q187" t="s">
        <v>86</v>
      </c>
      <c r="R187">
        <v>0</v>
      </c>
      <c r="S187">
        <v>0</v>
      </c>
      <c r="T187">
        <v>9999</v>
      </c>
      <c r="V187" t="s">
        <v>327</v>
      </c>
    </row>
    <row r="188" spans="1:36">
      <c r="A188" t="s">
        <v>708</v>
      </c>
      <c r="B188" t="s">
        <v>709</v>
      </c>
      <c r="C188">
        <v>4</v>
      </c>
      <c r="D188" t="s">
        <v>140</v>
      </c>
      <c r="E188" t="s">
        <v>79</v>
      </c>
      <c r="F188" t="s">
        <v>125</v>
      </c>
      <c r="G188" t="s">
        <v>80</v>
      </c>
      <c r="H188" t="s">
        <v>81</v>
      </c>
      <c r="P188">
        <v>0</v>
      </c>
      <c r="Q188" t="s">
        <v>86</v>
      </c>
      <c r="R188">
        <v>0</v>
      </c>
      <c r="S188">
        <v>0</v>
      </c>
      <c r="T188">
        <v>9500</v>
      </c>
      <c r="U188">
        <v>963491100</v>
      </c>
      <c r="V188" t="s">
        <v>327</v>
      </c>
    </row>
    <row r="189" spans="1:36">
      <c r="A189" t="s">
        <v>710</v>
      </c>
      <c r="B189" t="s">
        <v>711</v>
      </c>
      <c r="C189">
        <v>4</v>
      </c>
      <c r="D189" t="s">
        <v>140</v>
      </c>
      <c r="E189" t="s">
        <v>79</v>
      </c>
      <c r="F189" t="s">
        <v>125</v>
      </c>
      <c r="G189" t="s">
        <v>80</v>
      </c>
      <c r="H189" t="s">
        <v>81</v>
      </c>
      <c r="P189">
        <v>0</v>
      </c>
      <c r="Q189" t="s">
        <v>86</v>
      </c>
      <c r="R189">
        <v>0</v>
      </c>
      <c r="S189">
        <v>0</v>
      </c>
      <c r="T189">
        <v>9500</v>
      </c>
      <c r="U189">
        <v>963491100</v>
      </c>
      <c r="V189" t="s">
        <v>327</v>
      </c>
    </row>
    <row r="190" spans="1:36">
      <c r="A190" t="s">
        <v>712</v>
      </c>
      <c r="B190" t="s">
        <v>713</v>
      </c>
      <c r="C190">
        <v>4</v>
      </c>
      <c r="D190" t="s">
        <v>190</v>
      </c>
      <c r="E190" t="s">
        <v>79</v>
      </c>
      <c r="F190" t="s">
        <v>79</v>
      </c>
      <c r="J190" t="s">
        <v>191</v>
      </c>
      <c r="O190" t="s">
        <v>243</v>
      </c>
      <c r="P190">
        <v>0</v>
      </c>
      <c r="Q190" t="s">
        <v>86</v>
      </c>
      <c r="R190">
        <v>0</v>
      </c>
      <c r="S190">
        <v>0</v>
      </c>
      <c r="T190">
        <v>2600</v>
      </c>
      <c r="U190">
        <v>963725001</v>
      </c>
      <c r="V190" t="s">
        <v>327</v>
      </c>
      <c r="AF190" t="s">
        <v>102</v>
      </c>
      <c r="AH190">
        <v>8139410</v>
      </c>
      <c r="AI190" t="s">
        <v>714</v>
      </c>
    </row>
    <row r="191" spans="1:36">
      <c r="A191" t="s">
        <v>715</v>
      </c>
      <c r="B191" t="s">
        <v>716</v>
      </c>
      <c r="C191">
        <v>4</v>
      </c>
      <c r="D191" t="s">
        <v>190</v>
      </c>
      <c r="E191" t="s">
        <v>79</v>
      </c>
      <c r="F191" t="s">
        <v>79</v>
      </c>
      <c r="J191" t="s">
        <v>191</v>
      </c>
      <c r="O191" t="s">
        <v>243</v>
      </c>
      <c r="P191">
        <v>0</v>
      </c>
      <c r="Q191" t="s">
        <v>86</v>
      </c>
      <c r="R191">
        <v>0</v>
      </c>
      <c r="S191">
        <v>0</v>
      </c>
      <c r="T191">
        <v>5615</v>
      </c>
      <c r="V191" t="s">
        <v>327</v>
      </c>
      <c r="AF191" t="s">
        <v>102</v>
      </c>
      <c r="AI191" t="s">
        <v>717</v>
      </c>
    </row>
    <row r="192" spans="1:36">
      <c r="A192" t="s">
        <v>190</v>
      </c>
      <c r="B192" t="s">
        <v>718</v>
      </c>
      <c r="C192">
        <v>0</v>
      </c>
      <c r="D192" t="s">
        <v>190</v>
      </c>
      <c r="E192" t="s">
        <v>79</v>
      </c>
      <c r="F192" t="s">
        <v>79</v>
      </c>
      <c r="J192" t="s">
        <v>191</v>
      </c>
      <c r="O192" t="s">
        <v>243</v>
      </c>
      <c r="P192">
        <v>5637</v>
      </c>
      <c r="Q192" t="s">
        <v>86</v>
      </c>
      <c r="R192">
        <v>0</v>
      </c>
      <c r="S192">
        <v>0</v>
      </c>
      <c r="T192">
        <v>5615</v>
      </c>
      <c r="U192">
        <v>963735001</v>
      </c>
      <c r="V192" t="s">
        <v>87</v>
      </c>
      <c r="W192" t="s">
        <v>719</v>
      </c>
      <c r="AF192" t="s">
        <v>102</v>
      </c>
      <c r="AH192" t="s">
        <v>720</v>
      </c>
      <c r="AI192" t="s">
        <v>721</v>
      </c>
    </row>
    <row r="193" spans="1:36">
      <c r="A193" t="s">
        <v>722</v>
      </c>
      <c r="B193" t="s">
        <v>723</v>
      </c>
      <c r="C193">
        <v>3</v>
      </c>
      <c r="D193" t="s">
        <v>78</v>
      </c>
      <c r="E193" t="s">
        <v>79</v>
      </c>
      <c r="F193" t="s">
        <v>79</v>
      </c>
      <c r="G193" t="s">
        <v>80</v>
      </c>
      <c r="H193" t="s">
        <v>81</v>
      </c>
      <c r="I193" t="s">
        <v>82</v>
      </c>
      <c r="J193" t="s">
        <v>295</v>
      </c>
      <c r="K193" t="s">
        <v>295</v>
      </c>
      <c r="L193" s="1">
        <v>45328</v>
      </c>
      <c r="N193" t="s">
        <v>108</v>
      </c>
      <c r="O193" t="s">
        <v>85</v>
      </c>
      <c r="P193">
        <v>0</v>
      </c>
      <c r="Q193" t="s">
        <v>86</v>
      </c>
      <c r="R193">
        <v>0</v>
      </c>
      <c r="S193">
        <v>0</v>
      </c>
      <c r="T193">
        <v>8000</v>
      </c>
      <c r="V193" t="s">
        <v>87</v>
      </c>
      <c r="W193" t="s">
        <v>724</v>
      </c>
      <c r="AB193">
        <v>9999</v>
      </c>
      <c r="AC193" t="s">
        <v>90</v>
      </c>
      <c r="AD193">
        <v>6</v>
      </c>
      <c r="AE193" t="s">
        <v>160</v>
      </c>
      <c r="AF193" t="s">
        <v>92</v>
      </c>
      <c r="AH193">
        <v>9230000296</v>
      </c>
      <c r="AI193">
        <v>9230</v>
      </c>
      <c r="AJ193" t="s">
        <v>295</v>
      </c>
    </row>
    <row r="194" spans="1:36">
      <c r="A194" t="s">
        <v>725</v>
      </c>
      <c r="B194" t="s">
        <v>726</v>
      </c>
      <c r="C194" t="s">
        <v>139</v>
      </c>
      <c r="D194" t="s">
        <v>725</v>
      </c>
      <c r="E194" t="s">
        <v>79</v>
      </c>
      <c r="F194" t="s">
        <v>125</v>
      </c>
      <c r="G194" t="s">
        <v>80</v>
      </c>
      <c r="H194" t="s">
        <v>81</v>
      </c>
      <c r="P194">
        <v>0</v>
      </c>
      <c r="Q194" t="s">
        <v>86</v>
      </c>
      <c r="R194">
        <v>0</v>
      </c>
      <c r="S194">
        <v>0</v>
      </c>
      <c r="T194">
        <v>7100</v>
      </c>
      <c r="V194" t="s">
        <v>327</v>
      </c>
    </row>
    <row r="195" spans="1:36">
      <c r="A195" t="s">
        <v>727</v>
      </c>
      <c r="B195" t="s">
        <v>728</v>
      </c>
      <c r="C195">
        <v>3</v>
      </c>
      <c r="D195" t="s">
        <v>133</v>
      </c>
      <c r="E195" t="s">
        <v>79</v>
      </c>
      <c r="F195" t="s">
        <v>79</v>
      </c>
      <c r="G195" t="s">
        <v>80</v>
      </c>
      <c r="H195" t="s">
        <v>81</v>
      </c>
      <c r="I195" t="s">
        <v>82</v>
      </c>
      <c r="J195" t="s">
        <v>106</v>
      </c>
      <c r="K195" t="s">
        <v>729</v>
      </c>
      <c r="L195">
        <v>4</v>
      </c>
      <c r="M195" t="s">
        <v>385</v>
      </c>
      <c r="O195" t="s">
        <v>98</v>
      </c>
      <c r="P195">
        <v>0</v>
      </c>
      <c r="Q195" t="s">
        <v>86</v>
      </c>
      <c r="R195">
        <v>0</v>
      </c>
      <c r="S195">
        <v>0</v>
      </c>
      <c r="T195">
        <v>5075</v>
      </c>
      <c r="U195">
        <v>963735164</v>
      </c>
      <c r="V195" t="s">
        <v>87</v>
      </c>
      <c r="W195" t="s">
        <v>659</v>
      </c>
      <c r="AB195">
        <v>4040</v>
      </c>
      <c r="AC195" t="s">
        <v>305</v>
      </c>
      <c r="AD195">
        <v>6</v>
      </c>
      <c r="AF195" t="s">
        <v>102</v>
      </c>
      <c r="AH195">
        <v>4222003401</v>
      </c>
      <c r="AI195">
        <v>4222</v>
      </c>
      <c r="AJ195" t="s">
        <v>660</v>
      </c>
    </row>
    <row r="196" spans="1:36">
      <c r="A196" t="s">
        <v>730</v>
      </c>
      <c r="B196" t="s">
        <v>731</v>
      </c>
      <c r="C196">
        <v>4</v>
      </c>
      <c r="D196" t="s">
        <v>78</v>
      </c>
      <c r="E196" t="s">
        <v>79</v>
      </c>
      <c r="F196" t="s">
        <v>125</v>
      </c>
      <c r="G196" t="s">
        <v>80</v>
      </c>
      <c r="H196" t="s">
        <v>81</v>
      </c>
      <c r="P196">
        <v>0</v>
      </c>
      <c r="Q196" t="s">
        <v>86</v>
      </c>
      <c r="R196">
        <v>0</v>
      </c>
      <c r="S196">
        <v>0</v>
      </c>
      <c r="T196">
        <v>4040</v>
      </c>
      <c r="U196">
        <v>963491800</v>
      </c>
      <c r="V196" t="s">
        <v>327</v>
      </c>
      <c r="AH196">
        <v>5293426</v>
      </c>
      <c r="AI196">
        <v>5293</v>
      </c>
    </row>
    <row r="197" spans="1:36">
      <c r="A197" t="s">
        <v>732</v>
      </c>
      <c r="B197" t="s">
        <v>733</v>
      </c>
      <c r="C197">
        <v>4</v>
      </c>
      <c r="D197" t="s">
        <v>78</v>
      </c>
      <c r="E197" t="s">
        <v>79</v>
      </c>
      <c r="F197" t="s">
        <v>125</v>
      </c>
      <c r="G197" t="s">
        <v>80</v>
      </c>
      <c r="H197" t="s">
        <v>81</v>
      </c>
      <c r="P197">
        <v>0</v>
      </c>
      <c r="Q197" t="s">
        <v>86</v>
      </c>
      <c r="R197">
        <v>0</v>
      </c>
      <c r="S197">
        <v>0</v>
      </c>
      <c r="T197">
        <v>8100</v>
      </c>
      <c r="U197">
        <v>963491801</v>
      </c>
      <c r="V197" t="s">
        <v>327</v>
      </c>
      <c r="AH197">
        <v>5293926</v>
      </c>
      <c r="AI197">
        <v>5293</v>
      </c>
    </row>
    <row r="198" spans="1:36">
      <c r="A198" t="s">
        <v>204</v>
      </c>
      <c r="B198" t="s">
        <v>734</v>
      </c>
      <c r="C198">
        <v>3</v>
      </c>
      <c r="D198" t="s">
        <v>174</v>
      </c>
      <c r="E198" t="s">
        <v>79</v>
      </c>
      <c r="F198" t="s">
        <v>79</v>
      </c>
      <c r="G198" t="s">
        <v>80</v>
      </c>
      <c r="H198" t="s">
        <v>81</v>
      </c>
      <c r="I198" t="s">
        <v>82</v>
      </c>
      <c r="J198" t="s">
        <v>95</v>
      </c>
      <c r="K198" t="s">
        <v>184</v>
      </c>
      <c r="L198">
        <v>98</v>
      </c>
      <c r="N198" t="s">
        <v>185</v>
      </c>
      <c r="O198" t="s">
        <v>98</v>
      </c>
      <c r="P198">
        <v>0</v>
      </c>
      <c r="Q198" t="s">
        <v>86</v>
      </c>
      <c r="R198">
        <v>0</v>
      </c>
      <c r="S198">
        <v>0</v>
      </c>
      <c r="T198">
        <v>600</v>
      </c>
      <c r="U198">
        <v>96306</v>
      </c>
      <c r="V198">
        <v>4</v>
      </c>
      <c r="W198" t="s">
        <v>649</v>
      </c>
      <c r="AB198" t="s">
        <v>100</v>
      </c>
      <c r="AC198" t="s">
        <v>90</v>
      </c>
      <c r="AD198">
        <v>6</v>
      </c>
      <c r="AE198" t="s">
        <v>101</v>
      </c>
      <c r="AF198" t="s">
        <v>102</v>
      </c>
      <c r="AH198">
        <v>2333092000</v>
      </c>
      <c r="AI198">
        <v>2333</v>
      </c>
      <c r="AJ198" t="s">
        <v>206</v>
      </c>
    </row>
    <row r="199" spans="1:36">
      <c r="A199" t="s">
        <v>735</v>
      </c>
      <c r="B199" t="s">
        <v>736</v>
      </c>
      <c r="C199" t="s">
        <v>139</v>
      </c>
      <c r="D199" t="s">
        <v>140</v>
      </c>
      <c r="E199" t="s">
        <v>125</v>
      </c>
      <c r="F199" t="s">
        <v>125</v>
      </c>
      <c r="G199" t="s">
        <v>80</v>
      </c>
      <c r="H199" t="s">
        <v>81</v>
      </c>
      <c r="P199">
        <v>0</v>
      </c>
      <c r="Q199" t="s">
        <v>86</v>
      </c>
      <c r="R199">
        <v>0</v>
      </c>
      <c r="S199">
        <v>0</v>
      </c>
      <c r="T199">
        <v>3800</v>
      </c>
      <c r="V199" t="s">
        <v>327</v>
      </c>
      <c r="AH199">
        <v>3074006</v>
      </c>
      <c r="AI199">
        <v>3074</v>
      </c>
    </row>
    <row r="200" spans="1:36">
      <c r="A200" t="s">
        <v>737</v>
      </c>
      <c r="B200" t="s">
        <v>738</v>
      </c>
      <c r="C200">
        <v>3</v>
      </c>
      <c r="D200" t="s">
        <v>174</v>
      </c>
      <c r="E200" t="s">
        <v>79</v>
      </c>
      <c r="F200" t="s">
        <v>79</v>
      </c>
      <c r="G200" t="s">
        <v>80</v>
      </c>
      <c r="H200" t="s">
        <v>81</v>
      </c>
      <c r="I200" t="s">
        <v>82</v>
      </c>
      <c r="J200" t="s">
        <v>554</v>
      </c>
      <c r="K200" t="s">
        <v>555</v>
      </c>
      <c r="L200">
        <v>98</v>
      </c>
      <c r="N200" t="s">
        <v>185</v>
      </c>
      <c r="O200" t="s">
        <v>554</v>
      </c>
      <c r="P200">
        <v>0</v>
      </c>
      <c r="Q200" t="s">
        <v>86</v>
      </c>
      <c r="R200">
        <v>0</v>
      </c>
      <c r="S200">
        <v>0</v>
      </c>
      <c r="T200">
        <v>600</v>
      </c>
      <c r="U200">
        <v>963062778</v>
      </c>
      <c r="V200" t="s">
        <v>87</v>
      </c>
      <c r="W200" t="s">
        <v>556</v>
      </c>
      <c r="AB200" t="s">
        <v>205</v>
      </c>
      <c r="AC200" t="s">
        <v>90</v>
      </c>
      <c r="AD200">
        <v>6</v>
      </c>
      <c r="AE200" t="s">
        <v>160</v>
      </c>
      <c r="AF200" t="s">
        <v>102</v>
      </c>
      <c r="AH200">
        <v>3359008010</v>
      </c>
      <c r="AI200">
        <v>3359</v>
      </c>
      <c r="AJ200" t="s">
        <v>557</v>
      </c>
    </row>
    <row r="201" spans="1:36">
      <c r="A201" t="s">
        <v>739</v>
      </c>
      <c r="B201" t="s">
        <v>740</v>
      </c>
      <c r="C201">
        <v>4</v>
      </c>
      <c r="D201" t="s">
        <v>174</v>
      </c>
      <c r="E201" t="s">
        <v>79</v>
      </c>
      <c r="F201" t="s">
        <v>79</v>
      </c>
      <c r="G201" t="s">
        <v>80</v>
      </c>
      <c r="H201" t="s">
        <v>81</v>
      </c>
      <c r="I201" t="s">
        <v>82</v>
      </c>
      <c r="J201" t="s">
        <v>301</v>
      </c>
      <c r="P201">
        <v>0</v>
      </c>
      <c r="Q201" t="s">
        <v>86</v>
      </c>
      <c r="R201">
        <v>0</v>
      </c>
      <c r="S201">
        <v>0</v>
      </c>
      <c r="T201">
        <v>600</v>
      </c>
      <c r="V201" t="s">
        <v>87</v>
      </c>
      <c r="W201" t="s">
        <v>303</v>
      </c>
      <c r="AD201">
        <v>1</v>
      </c>
      <c r="AE201" t="s">
        <v>91</v>
      </c>
      <c r="AF201" t="s">
        <v>102</v>
      </c>
    </row>
    <row r="202" spans="1:36">
      <c r="A202" t="s">
        <v>741</v>
      </c>
      <c r="B202" t="s">
        <v>742</v>
      </c>
      <c r="C202">
        <v>1</v>
      </c>
      <c r="D202" t="s">
        <v>140</v>
      </c>
      <c r="E202" t="s">
        <v>79</v>
      </c>
      <c r="F202" t="s">
        <v>125</v>
      </c>
      <c r="G202" t="s">
        <v>80</v>
      </c>
      <c r="H202" t="s">
        <v>81</v>
      </c>
      <c r="P202">
        <v>0</v>
      </c>
      <c r="Q202" t="s">
        <v>86</v>
      </c>
      <c r="R202">
        <v>0</v>
      </c>
      <c r="S202">
        <v>0</v>
      </c>
      <c r="T202">
        <v>9500</v>
      </c>
      <c r="U202">
        <v>987620000</v>
      </c>
      <c r="V202" t="s">
        <v>327</v>
      </c>
      <c r="AH202">
        <v>6816000</v>
      </c>
      <c r="AI202">
        <v>6816</v>
      </c>
    </row>
    <row r="203" spans="1:36">
      <c r="A203" t="s">
        <v>743</v>
      </c>
      <c r="B203" t="s">
        <v>744</v>
      </c>
      <c r="C203" t="s">
        <v>139</v>
      </c>
      <c r="D203" t="s">
        <v>507</v>
      </c>
      <c r="E203" t="s">
        <v>79</v>
      </c>
      <c r="F203" t="s">
        <v>125</v>
      </c>
      <c r="G203" t="s">
        <v>80</v>
      </c>
      <c r="H203" t="s">
        <v>81</v>
      </c>
      <c r="P203">
        <v>0</v>
      </c>
      <c r="Q203" t="s">
        <v>86</v>
      </c>
      <c r="R203">
        <v>0</v>
      </c>
      <c r="S203">
        <v>0</v>
      </c>
      <c r="T203">
        <v>4040</v>
      </c>
      <c r="V203" t="s">
        <v>327</v>
      </c>
    </row>
    <row r="204" spans="1:36">
      <c r="A204" t="s">
        <v>745</v>
      </c>
      <c r="B204" t="s">
        <v>746</v>
      </c>
      <c r="C204">
        <v>4</v>
      </c>
      <c r="D204" t="s">
        <v>78</v>
      </c>
      <c r="E204" t="s">
        <v>79</v>
      </c>
      <c r="F204" t="s">
        <v>125</v>
      </c>
      <c r="G204" t="s">
        <v>80</v>
      </c>
      <c r="H204" t="s">
        <v>81</v>
      </c>
      <c r="I204" t="s">
        <v>82</v>
      </c>
      <c r="P204">
        <v>0</v>
      </c>
      <c r="Q204" t="s">
        <v>86</v>
      </c>
      <c r="R204">
        <v>0</v>
      </c>
      <c r="S204">
        <v>0</v>
      </c>
      <c r="T204">
        <v>9500</v>
      </c>
      <c r="U204">
        <v>0</v>
      </c>
      <c r="V204" t="s">
        <v>327</v>
      </c>
    </row>
    <row r="205" spans="1:36">
      <c r="A205" t="s">
        <v>747</v>
      </c>
      <c r="B205" t="s">
        <v>748</v>
      </c>
      <c r="C205" t="s">
        <v>139</v>
      </c>
      <c r="D205" t="s">
        <v>140</v>
      </c>
      <c r="E205" t="s">
        <v>79</v>
      </c>
      <c r="F205" t="s">
        <v>125</v>
      </c>
      <c r="G205" t="s">
        <v>80</v>
      </c>
      <c r="H205" t="s">
        <v>81</v>
      </c>
      <c r="P205">
        <v>0</v>
      </c>
      <c r="Q205" t="s">
        <v>86</v>
      </c>
      <c r="R205">
        <v>0</v>
      </c>
      <c r="S205">
        <v>0</v>
      </c>
      <c r="T205">
        <v>9500</v>
      </c>
      <c r="U205">
        <v>963491700</v>
      </c>
      <c r="V205" t="s">
        <v>327</v>
      </c>
    </row>
    <row r="206" spans="1:36">
      <c r="A206" t="s">
        <v>749</v>
      </c>
      <c r="B206" t="s">
        <v>750</v>
      </c>
      <c r="C206" t="s">
        <v>139</v>
      </c>
      <c r="D206" t="s">
        <v>140</v>
      </c>
      <c r="E206" t="s">
        <v>79</v>
      </c>
      <c r="F206" t="s">
        <v>125</v>
      </c>
      <c r="G206" t="s">
        <v>80</v>
      </c>
      <c r="H206" t="s">
        <v>81</v>
      </c>
      <c r="P206">
        <v>0</v>
      </c>
      <c r="Q206" t="s">
        <v>86</v>
      </c>
      <c r="R206">
        <v>0</v>
      </c>
      <c r="S206">
        <v>0</v>
      </c>
      <c r="T206">
        <v>600</v>
      </c>
      <c r="V206" t="s">
        <v>327</v>
      </c>
    </row>
    <row r="207" spans="1:36">
      <c r="A207" t="s">
        <v>751</v>
      </c>
      <c r="B207" t="s">
        <v>752</v>
      </c>
      <c r="C207">
        <v>3</v>
      </c>
      <c r="D207" t="s">
        <v>78</v>
      </c>
      <c r="E207" t="s">
        <v>79</v>
      </c>
      <c r="F207" t="s">
        <v>125</v>
      </c>
      <c r="G207" t="s">
        <v>80</v>
      </c>
      <c r="H207" t="s">
        <v>81</v>
      </c>
      <c r="P207">
        <v>0</v>
      </c>
      <c r="Q207" t="s">
        <v>86</v>
      </c>
      <c r="R207">
        <v>0</v>
      </c>
      <c r="S207">
        <v>0</v>
      </c>
      <c r="T207">
        <v>9500</v>
      </c>
      <c r="U207">
        <v>963491100</v>
      </c>
      <c r="V207" t="s">
        <v>327</v>
      </c>
    </row>
    <row r="208" spans="1:36">
      <c r="A208" t="s">
        <v>753</v>
      </c>
      <c r="B208" t="s">
        <v>754</v>
      </c>
      <c r="C208">
        <v>3</v>
      </c>
      <c r="D208" t="s">
        <v>78</v>
      </c>
      <c r="E208" t="s">
        <v>79</v>
      </c>
      <c r="F208" t="s">
        <v>79</v>
      </c>
      <c r="G208" t="s">
        <v>80</v>
      </c>
      <c r="H208" t="s">
        <v>81</v>
      </c>
      <c r="I208" t="s">
        <v>82</v>
      </c>
      <c r="J208" t="s">
        <v>114</v>
      </c>
      <c r="K208" t="s">
        <v>115</v>
      </c>
      <c r="L208">
        <v>1</v>
      </c>
      <c r="O208" t="s">
        <v>98</v>
      </c>
      <c r="P208">
        <v>0</v>
      </c>
      <c r="Q208" t="s">
        <v>86</v>
      </c>
      <c r="R208">
        <v>0</v>
      </c>
      <c r="S208">
        <v>0</v>
      </c>
      <c r="T208">
        <v>8000</v>
      </c>
      <c r="U208">
        <v>963370110</v>
      </c>
      <c r="V208" t="s">
        <v>87</v>
      </c>
      <c r="W208" t="s">
        <v>755</v>
      </c>
      <c r="AB208" t="s">
        <v>116</v>
      </c>
      <c r="AC208" t="s">
        <v>90</v>
      </c>
      <c r="AD208">
        <v>6</v>
      </c>
      <c r="AE208" t="s">
        <v>91</v>
      </c>
      <c r="AF208" t="s">
        <v>102</v>
      </c>
      <c r="AH208">
        <v>3352000301</v>
      </c>
      <c r="AI208">
        <v>3352</v>
      </c>
      <c r="AJ208" t="s">
        <v>756</v>
      </c>
    </row>
    <row r="209" spans="1:36">
      <c r="A209" t="s">
        <v>757</v>
      </c>
      <c r="B209" t="s">
        <v>758</v>
      </c>
      <c r="C209" t="s">
        <v>139</v>
      </c>
      <c r="D209" t="s">
        <v>78</v>
      </c>
      <c r="E209" t="s">
        <v>79</v>
      </c>
      <c r="F209" t="s">
        <v>125</v>
      </c>
      <c r="G209" t="s">
        <v>80</v>
      </c>
      <c r="H209" t="s">
        <v>81</v>
      </c>
      <c r="P209">
        <v>0</v>
      </c>
      <c r="Q209" t="s">
        <v>86</v>
      </c>
      <c r="R209">
        <v>0</v>
      </c>
      <c r="S209">
        <v>0</v>
      </c>
      <c r="T209">
        <v>7100</v>
      </c>
      <c r="V209" t="s">
        <v>327</v>
      </c>
    </row>
    <row r="210" spans="1:36">
      <c r="A210" t="s">
        <v>759</v>
      </c>
      <c r="B210" t="s">
        <v>760</v>
      </c>
      <c r="C210" t="s">
        <v>139</v>
      </c>
      <c r="D210" t="s">
        <v>140</v>
      </c>
      <c r="E210" t="s">
        <v>79</v>
      </c>
      <c r="F210" t="s">
        <v>125</v>
      </c>
      <c r="G210" t="s">
        <v>80</v>
      </c>
      <c r="H210" t="s">
        <v>81</v>
      </c>
      <c r="P210">
        <v>0</v>
      </c>
      <c r="Q210" t="s">
        <v>86</v>
      </c>
      <c r="R210">
        <v>0</v>
      </c>
      <c r="S210">
        <v>0</v>
      </c>
      <c r="T210">
        <v>9500</v>
      </c>
      <c r="V210" t="s">
        <v>327</v>
      </c>
    </row>
    <row r="211" spans="1:36">
      <c r="A211" t="s">
        <v>761</v>
      </c>
      <c r="B211" t="s">
        <v>762</v>
      </c>
      <c r="C211">
        <v>3</v>
      </c>
      <c r="D211" t="s">
        <v>174</v>
      </c>
      <c r="E211" t="s">
        <v>79</v>
      </c>
      <c r="F211" t="s">
        <v>79</v>
      </c>
      <c r="G211" t="s">
        <v>80</v>
      </c>
      <c r="H211" t="s">
        <v>81</v>
      </c>
      <c r="I211" t="s">
        <v>82</v>
      </c>
      <c r="J211" t="s">
        <v>95</v>
      </c>
      <c r="K211" t="s">
        <v>184</v>
      </c>
      <c r="L211">
        <v>98</v>
      </c>
      <c r="N211" t="s">
        <v>185</v>
      </c>
      <c r="O211" t="s">
        <v>98</v>
      </c>
      <c r="P211">
        <v>0</v>
      </c>
      <c r="Q211" t="s">
        <v>86</v>
      </c>
      <c r="R211">
        <v>0</v>
      </c>
      <c r="S211">
        <v>0</v>
      </c>
      <c r="T211">
        <v>600</v>
      </c>
      <c r="U211">
        <v>96306</v>
      </c>
      <c r="V211" t="s">
        <v>87</v>
      </c>
      <c r="W211" t="s">
        <v>204</v>
      </c>
      <c r="AB211" t="s">
        <v>205</v>
      </c>
      <c r="AC211" t="s">
        <v>90</v>
      </c>
      <c r="AD211">
        <v>6</v>
      </c>
      <c r="AE211" t="s">
        <v>101</v>
      </c>
      <c r="AF211" t="s">
        <v>102</v>
      </c>
      <c r="AH211">
        <v>2333092007</v>
      </c>
      <c r="AI211">
        <v>2333</v>
      </c>
      <c r="AJ211" t="s">
        <v>206</v>
      </c>
    </row>
    <row r="212" spans="1:36">
      <c r="A212" t="s">
        <v>763</v>
      </c>
      <c r="B212" t="s">
        <v>764</v>
      </c>
      <c r="C212">
        <v>4</v>
      </c>
      <c r="D212" t="s">
        <v>140</v>
      </c>
      <c r="E212" t="s">
        <v>79</v>
      </c>
      <c r="F212" t="s">
        <v>125</v>
      </c>
      <c r="G212" t="s">
        <v>80</v>
      </c>
      <c r="H212" t="s">
        <v>81</v>
      </c>
      <c r="P212">
        <v>0</v>
      </c>
      <c r="Q212" t="s">
        <v>86</v>
      </c>
      <c r="R212">
        <v>0</v>
      </c>
      <c r="S212">
        <v>0</v>
      </c>
      <c r="T212">
        <v>9400</v>
      </c>
      <c r="V212" t="s">
        <v>327</v>
      </c>
    </row>
    <row r="213" spans="1:36">
      <c r="A213" t="s">
        <v>765</v>
      </c>
      <c r="B213" t="s">
        <v>766</v>
      </c>
      <c r="C213" t="s">
        <v>139</v>
      </c>
      <c r="D213" t="s">
        <v>140</v>
      </c>
      <c r="E213" t="s">
        <v>79</v>
      </c>
      <c r="F213" t="s">
        <v>125</v>
      </c>
      <c r="G213" t="s">
        <v>80</v>
      </c>
      <c r="H213" t="s">
        <v>81</v>
      </c>
      <c r="P213">
        <v>0</v>
      </c>
      <c r="Q213" t="s">
        <v>86</v>
      </c>
      <c r="R213">
        <v>0</v>
      </c>
      <c r="S213">
        <v>0</v>
      </c>
      <c r="T213">
        <v>5615</v>
      </c>
      <c r="V213" t="s">
        <v>327</v>
      </c>
    </row>
    <row r="214" spans="1:36">
      <c r="A214" t="s">
        <v>767</v>
      </c>
      <c r="B214" t="s">
        <v>768</v>
      </c>
      <c r="C214" t="s">
        <v>139</v>
      </c>
      <c r="D214" t="s">
        <v>507</v>
      </c>
      <c r="E214" t="s">
        <v>79</v>
      </c>
      <c r="F214" t="s">
        <v>125</v>
      </c>
      <c r="G214" t="s">
        <v>80</v>
      </c>
      <c r="H214" t="s">
        <v>81</v>
      </c>
      <c r="P214">
        <v>0</v>
      </c>
      <c r="Q214" t="s">
        <v>86</v>
      </c>
      <c r="R214">
        <v>0</v>
      </c>
      <c r="S214">
        <v>0</v>
      </c>
      <c r="T214">
        <v>4040</v>
      </c>
      <c r="U214">
        <v>963761608</v>
      </c>
      <c r="V214" t="s">
        <v>327</v>
      </c>
    </row>
    <row r="215" spans="1:36">
      <c r="A215" t="s">
        <v>769</v>
      </c>
      <c r="B215" t="s">
        <v>770</v>
      </c>
      <c r="C215" t="s">
        <v>139</v>
      </c>
      <c r="D215" t="s">
        <v>140</v>
      </c>
      <c r="E215" t="s">
        <v>79</v>
      </c>
      <c r="F215" t="s">
        <v>125</v>
      </c>
      <c r="G215" t="s">
        <v>80</v>
      </c>
      <c r="H215" t="s">
        <v>81</v>
      </c>
      <c r="P215">
        <v>0</v>
      </c>
      <c r="Q215" t="s">
        <v>86</v>
      </c>
      <c r="R215">
        <v>0</v>
      </c>
      <c r="S215">
        <v>0</v>
      </c>
      <c r="T215">
        <v>2600</v>
      </c>
      <c r="V215" t="s">
        <v>327</v>
      </c>
    </row>
    <row r="216" spans="1:36">
      <c r="A216" t="s">
        <v>771</v>
      </c>
      <c r="B216" t="s">
        <v>772</v>
      </c>
      <c r="C216" t="s">
        <v>139</v>
      </c>
      <c r="D216" t="s">
        <v>140</v>
      </c>
      <c r="E216" t="s">
        <v>79</v>
      </c>
      <c r="F216" t="s">
        <v>125</v>
      </c>
      <c r="G216" t="s">
        <v>80</v>
      </c>
      <c r="H216" t="s">
        <v>81</v>
      </c>
      <c r="P216">
        <v>0</v>
      </c>
      <c r="Q216" t="s">
        <v>86</v>
      </c>
      <c r="R216">
        <v>0</v>
      </c>
      <c r="S216">
        <v>0</v>
      </c>
      <c r="T216">
        <v>9500</v>
      </c>
      <c r="V216" t="s">
        <v>327</v>
      </c>
    </row>
    <row r="217" spans="1:36">
      <c r="A217" t="s">
        <v>773</v>
      </c>
      <c r="B217" t="s">
        <v>774</v>
      </c>
      <c r="C217">
        <v>4</v>
      </c>
      <c r="D217" t="s">
        <v>183</v>
      </c>
      <c r="E217" t="s">
        <v>79</v>
      </c>
      <c r="F217" t="s">
        <v>125</v>
      </c>
      <c r="G217" t="s">
        <v>80</v>
      </c>
      <c r="H217" t="s">
        <v>81</v>
      </c>
      <c r="P217">
        <v>0</v>
      </c>
      <c r="Q217" t="s">
        <v>86</v>
      </c>
      <c r="R217">
        <v>0</v>
      </c>
      <c r="S217">
        <v>0</v>
      </c>
      <c r="T217">
        <v>9999</v>
      </c>
      <c r="U217">
        <v>987640000</v>
      </c>
      <c r="V217" t="s">
        <v>327</v>
      </c>
      <c r="AH217">
        <v>6208400</v>
      </c>
      <c r="AI217">
        <v>6208</v>
      </c>
    </row>
    <row r="218" spans="1:36">
      <c r="A218" t="s">
        <v>775</v>
      </c>
      <c r="B218" t="s">
        <v>776</v>
      </c>
      <c r="C218">
        <v>3</v>
      </c>
      <c r="D218" t="s">
        <v>174</v>
      </c>
      <c r="E218" t="s">
        <v>79</v>
      </c>
      <c r="F218" t="s">
        <v>79</v>
      </c>
      <c r="G218" t="s">
        <v>80</v>
      </c>
      <c r="H218" t="s">
        <v>81</v>
      </c>
      <c r="I218" t="s">
        <v>82</v>
      </c>
      <c r="J218" t="s">
        <v>554</v>
      </c>
      <c r="K218" t="s">
        <v>555</v>
      </c>
      <c r="L218">
        <v>98</v>
      </c>
      <c r="N218" t="s">
        <v>185</v>
      </c>
      <c r="O218" t="s">
        <v>554</v>
      </c>
      <c r="P218">
        <v>0</v>
      </c>
      <c r="Q218" t="s">
        <v>86</v>
      </c>
      <c r="R218">
        <v>0</v>
      </c>
      <c r="S218">
        <v>0</v>
      </c>
      <c r="T218">
        <v>600</v>
      </c>
      <c r="U218">
        <v>963062735</v>
      </c>
      <c r="V218">
        <v>4</v>
      </c>
      <c r="W218" t="s">
        <v>777</v>
      </c>
      <c r="AB218" t="s">
        <v>100</v>
      </c>
      <c r="AC218" t="s">
        <v>90</v>
      </c>
      <c r="AD218">
        <v>6</v>
      </c>
      <c r="AE218" t="s">
        <v>160</v>
      </c>
      <c r="AF218" t="s">
        <v>102</v>
      </c>
      <c r="AH218">
        <v>1410006100</v>
      </c>
      <c r="AI218">
        <v>1410</v>
      </c>
      <c r="AJ218" t="s">
        <v>778</v>
      </c>
    </row>
    <row r="219" spans="1:36">
      <c r="A219" t="s">
        <v>779</v>
      </c>
      <c r="B219" t="s">
        <v>780</v>
      </c>
      <c r="C219">
        <v>3</v>
      </c>
      <c r="D219" t="s">
        <v>78</v>
      </c>
      <c r="E219" t="s">
        <v>79</v>
      </c>
      <c r="F219" t="s">
        <v>79</v>
      </c>
      <c r="G219" t="s">
        <v>80</v>
      </c>
      <c r="H219" t="s">
        <v>81</v>
      </c>
      <c r="I219" t="s">
        <v>82</v>
      </c>
      <c r="J219" t="s">
        <v>604</v>
      </c>
      <c r="K219" t="s">
        <v>605</v>
      </c>
      <c r="L219" s="1">
        <v>45328</v>
      </c>
      <c r="N219" t="s">
        <v>108</v>
      </c>
      <c r="O219" t="s">
        <v>604</v>
      </c>
      <c r="P219">
        <v>0</v>
      </c>
      <c r="Q219" t="s">
        <v>86</v>
      </c>
      <c r="R219">
        <v>0</v>
      </c>
      <c r="S219">
        <v>0</v>
      </c>
      <c r="T219">
        <v>9500</v>
      </c>
      <c r="U219">
        <v>96349</v>
      </c>
      <c r="V219">
        <v>4</v>
      </c>
      <c r="W219" t="s">
        <v>606</v>
      </c>
      <c r="AB219">
        <v>6868</v>
      </c>
      <c r="AC219" t="s">
        <v>305</v>
      </c>
      <c r="AD219">
        <v>6</v>
      </c>
      <c r="AE219" t="s">
        <v>160</v>
      </c>
      <c r="AF219" t="s">
        <v>102</v>
      </c>
      <c r="AH219">
        <v>3486000400</v>
      </c>
      <c r="AI219">
        <v>3486</v>
      </c>
      <c r="AJ219" t="s">
        <v>607</v>
      </c>
    </row>
    <row r="220" spans="1:36">
      <c r="A220" t="s">
        <v>781</v>
      </c>
      <c r="B220" t="s">
        <v>782</v>
      </c>
      <c r="C220">
        <v>3</v>
      </c>
      <c r="D220" t="s">
        <v>133</v>
      </c>
      <c r="E220" t="s">
        <v>79</v>
      </c>
      <c r="F220" t="s">
        <v>79</v>
      </c>
      <c r="G220" t="s">
        <v>80</v>
      </c>
      <c r="H220" t="s">
        <v>81</v>
      </c>
      <c r="I220" t="s">
        <v>82</v>
      </c>
      <c r="J220" t="s">
        <v>106</v>
      </c>
      <c r="K220" t="s">
        <v>107</v>
      </c>
      <c r="L220" s="1">
        <v>45328</v>
      </c>
      <c r="N220" t="s">
        <v>108</v>
      </c>
      <c r="O220" t="s">
        <v>98</v>
      </c>
      <c r="P220">
        <v>0</v>
      </c>
      <c r="Q220" t="s">
        <v>86</v>
      </c>
      <c r="R220">
        <v>0</v>
      </c>
      <c r="S220">
        <v>0</v>
      </c>
      <c r="T220">
        <v>3950</v>
      </c>
      <c r="U220">
        <v>963700051</v>
      </c>
      <c r="V220" t="s">
        <v>87</v>
      </c>
      <c r="W220" t="s">
        <v>562</v>
      </c>
      <c r="AB220" t="s">
        <v>110</v>
      </c>
      <c r="AC220" t="s">
        <v>90</v>
      </c>
      <c r="AD220">
        <v>6</v>
      </c>
      <c r="AE220" t="s">
        <v>101</v>
      </c>
      <c r="AF220" t="s">
        <v>102</v>
      </c>
      <c r="AH220">
        <v>3483003313</v>
      </c>
      <c r="AI220">
        <v>3483</v>
      </c>
      <c r="AJ220" t="s">
        <v>563</v>
      </c>
    </row>
    <row r="221" spans="1:36">
      <c r="A221" t="s">
        <v>783</v>
      </c>
      <c r="B221" t="s">
        <v>784</v>
      </c>
      <c r="C221">
        <v>4</v>
      </c>
      <c r="D221" t="s">
        <v>174</v>
      </c>
      <c r="E221" t="s">
        <v>79</v>
      </c>
      <c r="F221" t="s">
        <v>125</v>
      </c>
      <c r="G221" t="s">
        <v>80</v>
      </c>
      <c r="H221" t="s">
        <v>81</v>
      </c>
      <c r="P221">
        <v>0</v>
      </c>
      <c r="Q221" t="s">
        <v>86</v>
      </c>
      <c r="R221">
        <v>0</v>
      </c>
      <c r="S221">
        <v>0</v>
      </c>
      <c r="T221">
        <v>600</v>
      </c>
      <c r="U221">
        <v>963062977</v>
      </c>
      <c r="V221" t="s">
        <v>87</v>
      </c>
      <c r="W221" t="s">
        <v>785</v>
      </c>
      <c r="AH221">
        <v>3483003103</v>
      </c>
      <c r="AI221">
        <v>3483</v>
      </c>
      <c r="AJ221" t="s">
        <v>563</v>
      </c>
    </row>
    <row r="222" spans="1:36">
      <c r="A222" t="s">
        <v>786</v>
      </c>
      <c r="B222" t="s">
        <v>787</v>
      </c>
      <c r="C222">
        <v>1</v>
      </c>
      <c r="D222" t="s">
        <v>140</v>
      </c>
      <c r="E222" t="s">
        <v>79</v>
      </c>
      <c r="F222" t="s">
        <v>125</v>
      </c>
      <c r="G222" t="s">
        <v>80</v>
      </c>
      <c r="H222" t="s">
        <v>81</v>
      </c>
      <c r="P222">
        <v>0</v>
      </c>
      <c r="Q222" t="s">
        <v>86</v>
      </c>
      <c r="R222">
        <v>0</v>
      </c>
      <c r="S222">
        <v>0</v>
      </c>
      <c r="T222">
        <v>9999</v>
      </c>
      <c r="U222">
        <v>987670000</v>
      </c>
      <c r="V222" t="s">
        <v>327</v>
      </c>
    </row>
    <row r="223" spans="1:36">
      <c r="A223" t="s">
        <v>788</v>
      </c>
      <c r="B223" t="s">
        <v>789</v>
      </c>
      <c r="C223">
        <v>4</v>
      </c>
      <c r="D223" t="s">
        <v>140</v>
      </c>
      <c r="E223" t="s">
        <v>79</v>
      </c>
      <c r="F223" t="s">
        <v>125</v>
      </c>
      <c r="G223" t="s">
        <v>80</v>
      </c>
      <c r="H223" t="s">
        <v>81</v>
      </c>
      <c r="P223">
        <v>0</v>
      </c>
      <c r="Q223" t="s">
        <v>86</v>
      </c>
      <c r="R223">
        <v>0</v>
      </c>
      <c r="S223">
        <v>0</v>
      </c>
      <c r="T223">
        <v>9999</v>
      </c>
      <c r="U223">
        <v>987670000</v>
      </c>
      <c r="V223" t="s">
        <v>327</v>
      </c>
    </row>
    <row r="224" spans="1:36">
      <c r="A224" t="s">
        <v>790</v>
      </c>
      <c r="B224" t="s">
        <v>791</v>
      </c>
      <c r="C224">
        <v>4</v>
      </c>
      <c r="D224" t="s">
        <v>78</v>
      </c>
      <c r="E224" t="s">
        <v>79</v>
      </c>
      <c r="F224" t="s">
        <v>125</v>
      </c>
      <c r="G224" t="s">
        <v>80</v>
      </c>
      <c r="H224" t="s">
        <v>81</v>
      </c>
      <c r="P224">
        <v>0</v>
      </c>
      <c r="Q224" t="s">
        <v>86</v>
      </c>
      <c r="R224">
        <v>0</v>
      </c>
      <c r="S224">
        <v>0</v>
      </c>
      <c r="T224">
        <v>9999</v>
      </c>
      <c r="V224" t="s">
        <v>327</v>
      </c>
      <c r="AH224">
        <v>6175925</v>
      </c>
      <c r="AI224">
        <v>6175</v>
      </c>
    </row>
    <row r="225" spans="1:36">
      <c r="A225" t="s">
        <v>792</v>
      </c>
      <c r="B225" t="s">
        <v>793</v>
      </c>
      <c r="C225">
        <v>3</v>
      </c>
      <c r="D225" t="s">
        <v>78</v>
      </c>
      <c r="E225" t="s">
        <v>125</v>
      </c>
      <c r="F225" t="s">
        <v>125</v>
      </c>
      <c r="G225" t="s">
        <v>80</v>
      </c>
      <c r="H225" t="s">
        <v>81</v>
      </c>
      <c r="I225" t="s">
        <v>82</v>
      </c>
      <c r="P225">
        <v>0</v>
      </c>
      <c r="Q225" t="s">
        <v>86</v>
      </c>
      <c r="R225">
        <v>0</v>
      </c>
      <c r="S225">
        <v>0</v>
      </c>
      <c r="T225">
        <v>9500</v>
      </c>
      <c r="V225" t="s">
        <v>87</v>
      </c>
      <c r="W225" t="s">
        <v>794</v>
      </c>
      <c r="AB225" t="s">
        <v>198</v>
      </c>
      <c r="AC225" t="s">
        <v>90</v>
      </c>
      <c r="AD225">
        <v>4</v>
      </c>
      <c r="AH225">
        <v>5790045055</v>
      </c>
      <c r="AI225">
        <v>5790</v>
      </c>
      <c r="AJ225" t="s">
        <v>199</v>
      </c>
    </row>
    <row r="226" spans="1:36">
      <c r="A226" t="s">
        <v>795</v>
      </c>
      <c r="B226" t="s">
        <v>796</v>
      </c>
      <c r="C226">
        <v>4</v>
      </c>
      <c r="D226" t="s">
        <v>78</v>
      </c>
      <c r="E226" t="s">
        <v>79</v>
      </c>
      <c r="F226" t="s">
        <v>125</v>
      </c>
      <c r="G226" t="s">
        <v>80</v>
      </c>
      <c r="H226" t="s">
        <v>81</v>
      </c>
      <c r="P226">
        <v>0</v>
      </c>
      <c r="Q226" t="s">
        <v>86</v>
      </c>
      <c r="R226">
        <v>0</v>
      </c>
      <c r="S226">
        <v>0</v>
      </c>
      <c r="T226">
        <v>4040</v>
      </c>
      <c r="V226" t="s">
        <v>327</v>
      </c>
    </row>
    <row r="227" spans="1:36">
      <c r="A227" t="s">
        <v>486</v>
      </c>
      <c r="B227" t="s">
        <v>797</v>
      </c>
      <c r="C227">
        <v>3</v>
      </c>
      <c r="D227" t="s">
        <v>174</v>
      </c>
      <c r="E227" t="s">
        <v>79</v>
      </c>
      <c r="F227" t="s">
        <v>125</v>
      </c>
      <c r="G227" t="s">
        <v>80</v>
      </c>
      <c r="H227" t="s">
        <v>81</v>
      </c>
      <c r="I227" t="s">
        <v>82</v>
      </c>
      <c r="P227">
        <v>0</v>
      </c>
      <c r="Q227" t="s">
        <v>86</v>
      </c>
      <c r="R227">
        <v>0</v>
      </c>
      <c r="S227">
        <v>0</v>
      </c>
      <c r="T227">
        <v>4885</v>
      </c>
      <c r="U227">
        <v>963195000</v>
      </c>
      <c r="V227">
        <v>3</v>
      </c>
      <c r="W227" t="s">
        <v>798</v>
      </c>
      <c r="AB227">
        <v>9999</v>
      </c>
      <c r="AC227" t="s">
        <v>90</v>
      </c>
      <c r="AH227">
        <v>5790006000</v>
      </c>
      <c r="AI227">
        <v>5790</v>
      </c>
      <c r="AJ227" t="s">
        <v>199</v>
      </c>
    </row>
    <row r="228" spans="1:36">
      <c r="A228" t="s">
        <v>799</v>
      </c>
      <c r="B228" t="s">
        <v>800</v>
      </c>
      <c r="C228">
        <v>4</v>
      </c>
      <c r="D228" t="s">
        <v>78</v>
      </c>
      <c r="E228" t="s">
        <v>79</v>
      </c>
      <c r="F228" t="s">
        <v>125</v>
      </c>
      <c r="G228" t="s">
        <v>80</v>
      </c>
      <c r="H228" t="s">
        <v>81</v>
      </c>
      <c r="P228">
        <v>0</v>
      </c>
      <c r="Q228" t="s">
        <v>86</v>
      </c>
      <c r="R228">
        <v>0</v>
      </c>
      <c r="S228">
        <v>0</v>
      </c>
      <c r="T228">
        <v>9999</v>
      </c>
      <c r="V228" t="s">
        <v>327</v>
      </c>
    </row>
    <row r="229" spans="1:36">
      <c r="A229" t="s">
        <v>801</v>
      </c>
      <c r="B229" t="s">
        <v>802</v>
      </c>
      <c r="C229">
        <v>4</v>
      </c>
      <c r="D229" t="s">
        <v>78</v>
      </c>
      <c r="E229" t="s">
        <v>79</v>
      </c>
      <c r="F229" t="s">
        <v>125</v>
      </c>
      <c r="G229" t="s">
        <v>80</v>
      </c>
      <c r="H229" t="s">
        <v>81</v>
      </c>
      <c r="P229">
        <v>0</v>
      </c>
      <c r="Q229" t="s">
        <v>86</v>
      </c>
      <c r="R229">
        <v>0</v>
      </c>
      <c r="S229">
        <v>0</v>
      </c>
      <c r="T229">
        <v>8100</v>
      </c>
      <c r="V229" t="s">
        <v>327</v>
      </c>
    </row>
    <row r="230" spans="1:36">
      <c r="A230" t="s">
        <v>803</v>
      </c>
      <c r="B230" t="s">
        <v>804</v>
      </c>
      <c r="C230">
        <v>3</v>
      </c>
      <c r="D230" t="s">
        <v>78</v>
      </c>
      <c r="E230" t="s">
        <v>79</v>
      </c>
      <c r="F230" t="s">
        <v>79</v>
      </c>
      <c r="G230" t="s">
        <v>80</v>
      </c>
      <c r="H230" t="s">
        <v>81</v>
      </c>
      <c r="I230" t="s">
        <v>82</v>
      </c>
      <c r="J230" t="s">
        <v>301</v>
      </c>
      <c r="K230" t="s">
        <v>406</v>
      </c>
      <c r="L230">
        <v>4</v>
      </c>
      <c r="O230" t="s">
        <v>301</v>
      </c>
      <c r="P230">
        <v>0</v>
      </c>
      <c r="Q230" t="s">
        <v>86</v>
      </c>
      <c r="R230">
        <v>0</v>
      </c>
      <c r="S230">
        <v>0</v>
      </c>
      <c r="T230">
        <v>9400</v>
      </c>
      <c r="V230" t="s">
        <v>87</v>
      </c>
      <c r="W230" t="s">
        <v>404</v>
      </c>
      <c r="AB230" t="s">
        <v>314</v>
      </c>
      <c r="AC230" t="s">
        <v>90</v>
      </c>
      <c r="AD230">
        <v>6</v>
      </c>
      <c r="AE230" t="s">
        <v>91</v>
      </c>
      <c r="AF230" t="s">
        <v>102</v>
      </c>
      <c r="AH230">
        <v>6173080031</v>
      </c>
      <c r="AI230">
        <v>6173</v>
      </c>
      <c r="AJ230" t="s">
        <v>407</v>
      </c>
    </row>
    <row r="231" spans="1:36">
      <c r="A231" t="s">
        <v>805</v>
      </c>
      <c r="B231" t="s">
        <v>806</v>
      </c>
      <c r="C231">
        <v>4</v>
      </c>
      <c r="D231" t="s">
        <v>140</v>
      </c>
      <c r="E231" t="s">
        <v>79</v>
      </c>
      <c r="F231" t="s">
        <v>125</v>
      </c>
      <c r="G231" t="s">
        <v>80</v>
      </c>
      <c r="H231" t="s">
        <v>81</v>
      </c>
      <c r="P231">
        <v>0</v>
      </c>
      <c r="Q231" t="s">
        <v>86</v>
      </c>
      <c r="R231">
        <v>0</v>
      </c>
      <c r="S231">
        <v>0</v>
      </c>
      <c r="T231">
        <v>9500</v>
      </c>
      <c r="V231" t="s">
        <v>327</v>
      </c>
    </row>
    <row r="232" spans="1:36">
      <c r="A232" t="s">
        <v>807</v>
      </c>
      <c r="B232" t="s">
        <v>808</v>
      </c>
      <c r="C232" t="s">
        <v>139</v>
      </c>
      <c r="D232" t="s">
        <v>489</v>
      </c>
      <c r="E232" t="s">
        <v>79</v>
      </c>
      <c r="F232" t="s">
        <v>125</v>
      </c>
      <c r="G232" t="s">
        <v>80</v>
      </c>
      <c r="H232" t="s">
        <v>81</v>
      </c>
      <c r="P232">
        <v>0</v>
      </c>
      <c r="Q232" t="s">
        <v>86</v>
      </c>
      <c r="R232">
        <v>0</v>
      </c>
      <c r="S232">
        <v>0</v>
      </c>
      <c r="T232">
        <v>3700</v>
      </c>
      <c r="V232" t="s">
        <v>327</v>
      </c>
    </row>
    <row r="233" spans="1:36">
      <c r="A233" t="s">
        <v>809</v>
      </c>
      <c r="B233" t="s">
        <v>810</v>
      </c>
      <c r="C233">
        <v>4</v>
      </c>
      <c r="D233" t="s">
        <v>78</v>
      </c>
      <c r="E233" t="s">
        <v>79</v>
      </c>
      <c r="F233" t="s">
        <v>79</v>
      </c>
      <c r="G233" t="s">
        <v>80</v>
      </c>
      <c r="H233" t="s">
        <v>81</v>
      </c>
      <c r="I233" t="s">
        <v>82</v>
      </c>
      <c r="J233" t="s">
        <v>114</v>
      </c>
      <c r="K233" t="s">
        <v>115</v>
      </c>
      <c r="L233">
        <v>4</v>
      </c>
      <c r="O233" t="s">
        <v>98</v>
      </c>
      <c r="P233">
        <v>0</v>
      </c>
      <c r="Q233" t="s">
        <v>86</v>
      </c>
      <c r="R233">
        <v>0</v>
      </c>
      <c r="S233">
        <v>0</v>
      </c>
      <c r="T233">
        <v>9400</v>
      </c>
      <c r="U233">
        <v>987620000</v>
      </c>
      <c r="V233" t="s">
        <v>87</v>
      </c>
      <c r="W233" t="s">
        <v>78</v>
      </c>
      <c r="AB233" t="s">
        <v>116</v>
      </c>
      <c r="AC233" t="s">
        <v>90</v>
      </c>
      <c r="AD233">
        <v>6</v>
      </c>
      <c r="AE233" t="s">
        <v>91</v>
      </c>
      <c r="AF233" t="s">
        <v>102</v>
      </c>
      <c r="AH233">
        <v>1087001005</v>
      </c>
      <c r="AI233">
        <v>1087</v>
      </c>
      <c r="AJ233" t="s">
        <v>117</v>
      </c>
    </row>
    <row r="234" spans="1:36">
      <c r="A234" t="s">
        <v>811</v>
      </c>
      <c r="B234" t="s">
        <v>812</v>
      </c>
      <c r="C234">
        <v>3</v>
      </c>
      <c r="D234" t="s">
        <v>78</v>
      </c>
      <c r="E234" t="s">
        <v>79</v>
      </c>
      <c r="F234" t="s">
        <v>79</v>
      </c>
      <c r="G234" t="s">
        <v>80</v>
      </c>
      <c r="H234" t="s">
        <v>81</v>
      </c>
      <c r="I234" t="s">
        <v>82</v>
      </c>
      <c r="J234" t="s">
        <v>114</v>
      </c>
      <c r="K234" t="s">
        <v>115</v>
      </c>
      <c r="L234">
        <v>4</v>
      </c>
      <c r="O234" t="s">
        <v>98</v>
      </c>
      <c r="P234">
        <v>0</v>
      </c>
      <c r="Q234" t="s">
        <v>86</v>
      </c>
      <c r="R234">
        <v>0</v>
      </c>
      <c r="S234">
        <v>0</v>
      </c>
      <c r="T234">
        <v>9500</v>
      </c>
      <c r="U234">
        <v>963491100</v>
      </c>
      <c r="V234" t="s">
        <v>87</v>
      </c>
      <c r="W234" t="s">
        <v>78</v>
      </c>
      <c r="AB234" t="s">
        <v>116</v>
      </c>
      <c r="AC234" t="s">
        <v>90</v>
      </c>
      <c r="AD234">
        <v>6</v>
      </c>
      <c r="AE234" t="s">
        <v>91</v>
      </c>
      <c r="AF234" t="s">
        <v>102</v>
      </c>
      <c r="AH234">
        <v>1087001004</v>
      </c>
      <c r="AI234">
        <v>1087</v>
      </c>
      <c r="AJ234" t="s">
        <v>117</v>
      </c>
    </row>
    <row r="235" spans="1:36">
      <c r="A235" t="s">
        <v>813</v>
      </c>
      <c r="B235" t="s">
        <v>814</v>
      </c>
      <c r="C235" t="s">
        <v>139</v>
      </c>
      <c r="D235" t="s">
        <v>813</v>
      </c>
      <c r="E235" t="s">
        <v>79</v>
      </c>
      <c r="F235" t="s">
        <v>125</v>
      </c>
      <c r="G235" t="s">
        <v>80</v>
      </c>
      <c r="H235" t="s">
        <v>81</v>
      </c>
      <c r="P235">
        <v>0</v>
      </c>
      <c r="Q235" t="s">
        <v>86</v>
      </c>
      <c r="R235">
        <v>0</v>
      </c>
      <c r="S235">
        <v>0</v>
      </c>
      <c r="T235">
        <v>5615</v>
      </c>
      <c r="V235" t="s">
        <v>327</v>
      </c>
    </row>
    <row r="236" spans="1:36">
      <c r="A236" t="s">
        <v>815</v>
      </c>
      <c r="B236" t="s">
        <v>816</v>
      </c>
      <c r="C236">
        <v>4</v>
      </c>
      <c r="D236" t="s">
        <v>183</v>
      </c>
      <c r="E236" t="s">
        <v>79</v>
      </c>
      <c r="F236" t="s">
        <v>79</v>
      </c>
      <c r="G236" t="s">
        <v>80</v>
      </c>
      <c r="H236" t="s">
        <v>81</v>
      </c>
      <c r="I236" t="s">
        <v>82</v>
      </c>
      <c r="J236" t="s">
        <v>554</v>
      </c>
      <c r="K236" t="s">
        <v>555</v>
      </c>
      <c r="L236">
        <v>98</v>
      </c>
      <c r="N236" t="s">
        <v>185</v>
      </c>
      <c r="O236" t="s">
        <v>554</v>
      </c>
      <c r="P236">
        <v>0</v>
      </c>
      <c r="Q236" t="s">
        <v>86</v>
      </c>
      <c r="R236">
        <v>0</v>
      </c>
      <c r="S236">
        <v>0</v>
      </c>
      <c r="T236">
        <v>3800</v>
      </c>
      <c r="V236" t="s">
        <v>87</v>
      </c>
      <c r="W236" t="s">
        <v>556</v>
      </c>
      <c r="AB236" t="s">
        <v>205</v>
      </c>
      <c r="AC236" t="s">
        <v>90</v>
      </c>
      <c r="AD236">
        <v>6</v>
      </c>
      <c r="AE236" t="s">
        <v>160</v>
      </c>
      <c r="AF236" t="s">
        <v>102</v>
      </c>
      <c r="AH236">
        <v>3359008015</v>
      </c>
      <c r="AI236">
        <v>3359</v>
      </c>
      <c r="AJ236" t="s">
        <v>557</v>
      </c>
    </row>
    <row r="237" spans="1:36">
      <c r="A237" t="s">
        <v>817</v>
      </c>
      <c r="B237" t="s">
        <v>818</v>
      </c>
      <c r="C237">
        <v>4</v>
      </c>
      <c r="D237" t="s">
        <v>507</v>
      </c>
      <c r="E237" t="s">
        <v>79</v>
      </c>
      <c r="F237" t="s">
        <v>125</v>
      </c>
      <c r="G237" t="s">
        <v>80</v>
      </c>
      <c r="H237" t="s">
        <v>81</v>
      </c>
      <c r="P237">
        <v>0</v>
      </c>
      <c r="Q237" t="s">
        <v>86</v>
      </c>
      <c r="R237">
        <v>0</v>
      </c>
      <c r="S237">
        <v>0</v>
      </c>
      <c r="T237">
        <v>9500</v>
      </c>
      <c r="V237" t="s">
        <v>327</v>
      </c>
    </row>
    <row r="238" spans="1:36">
      <c r="A238" t="s">
        <v>819</v>
      </c>
      <c r="B238" t="s">
        <v>820</v>
      </c>
      <c r="C238">
        <v>4</v>
      </c>
      <c r="D238" t="s">
        <v>507</v>
      </c>
      <c r="E238" t="s">
        <v>79</v>
      </c>
      <c r="F238" t="s">
        <v>125</v>
      </c>
      <c r="G238" t="s">
        <v>80</v>
      </c>
      <c r="H238" t="s">
        <v>81</v>
      </c>
      <c r="P238">
        <v>0</v>
      </c>
      <c r="Q238" t="s">
        <v>86</v>
      </c>
      <c r="R238">
        <v>0</v>
      </c>
      <c r="S238">
        <v>0</v>
      </c>
      <c r="T238">
        <v>9500</v>
      </c>
      <c r="V238" t="s">
        <v>327</v>
      </c>
    </row>
    <row r="239" spans="1:36">
      <c r="A239" t="s">
        <v>821</v>
      </c>
      <c r="B239" t="s">
        <v>822</v>
      </c>
      <c r="C239">
        <v>3</v>
      </c>
      <c r="D239" t="s">
        <v>78</v>
      </c>
      <c r="E239" t="s">
        <v>79</v>
      </c>
      <c r="F239" t="s">
        <v>79</v>
      </c>
      <c r="G239" t="s">
        <v>80</v>
      </c>
      <c r="H239" t="s">
        <v>81</v>
      </c>
      <c r="I239" t="s">
        <v>82</v>
      </c>
      <c r="J239" t="s">
        <v>436</v>
      </c>
      <c r="K239" t="s">
        <v>664</v>
      </c>
      <c r="L239" s="1">
        <v>45328</v>
      </c>
      <c r="N239" t="s">
        <v>108</v>
      </c>
      <c r="O239" t="s">
        <v>823</v>
      </c>
      <c r="P239">
        <v>0</v>
      </c>
      <c r="Q239" t="s">
        <v>86</v>
      </c>
      <c r="R239">
        <v>0</v>
      </c>
      <c r="S239">
        <v>0</v>
      </c>
      <c r="T239">
        <v>9500</v>
      </c>
      <c r="V239" t="s">
        <v>87</v>
      </c>
      <c r="W239" t="s">
        <v>435</v>
      </c>
      <c r="AB239">
        <v>9999</v>
      </c>
      <c r="AC239" t="s">
        <v>90</v>
      </c>
      <c r="AD239">
        <v>6</v>
      </c>
      <c r="AE239" t="s">
        <v>160</v>
      </c>
      <c r="AF239" t="s">
        <v>102</v>
      </c>
      <c r="AH239">
        <v>3677001058</v>
      </c>
      <c r="AI239">
        <v>3677</v>
      </c>
      <c r="AJ239" t="s">
        <v>436</v>
      </c>
    </row>
    <row r="240" spans="1:36">
      <c r="A240" t="s">
        <v>824</v>
      </c>
      <c r="B240" t="s">
        <v>825</v>
      </c>
      <c r="C240" t="s">
        <v>139</v>
      </c>
      <c r="D240" t="s">
        <v>140</v>
      </c>
      <c r="E240" t="s">
        <v>79</v>
      </c>
      <c r="F240" t="s">
        <v>125</v>
      </c>
      <c r="G240" t="s">
        <v>80</v>
      </c>
      <c r="H240" t="s">
        <v>81</v>
      </c>
      <c r="I240" t="s">
        <v>82</v>
      </c>
      <c r="P240">
        <v>0</v>
      </c>
      <c r="Q240" t="s">
        <v>86</v>
      </c>
      <c r="R240">
        <v>0</v>
      </c>
      <c r="S240">
        <v>0</v>
      </c>
      <c r="T240">
        <v>9500</v>
      </c>
      <c r="U240">
        <v>963491800</v>
      </c>
      <c r="V240" t="s">
        <v>87</v>
      </c>
      <c r="W240" t="s">
        <v>330</v>
      </c>
      <c r="AB240" t="s">
        <v>453</v>
      </c>
      <c r="AC240" t="s">
        <v>90</v>
      </c>
      <c r="AH240">
        <v>2477000901</v>
      </c>
      <c r="AI240">
        <v>2477</v>
      </c>
      <c r="AJ240" t="s">
        <v>331</v>
      </c>
    </row>
    <row r="241" spans="1:36">
      <c r="A241" t="s">
        <v>826</v>
      </c>
      <c r="B241" t="s">
        <v>827</v>
      </c>
      <c r="C241">
        <v>4</v>
      </c>
      <c r="D241" t="s">
        <v>140</v>
      </c>
      <c r="E241" t="s">
        <v>79</v>
      </c>
      <c r="F241" t="s">
        <v>125</v>
      </c>
      <c r="G241" t="s">
        <v>80</v>
      </c>
      <c r="H241" t="s">
        <v>81</v>
      </c>
      <c r="P241">
        <v>0</v>
      </c>
      <c r="Q241" t="s">
        <v>86</v>
      </c>
      <c r="R241">
        <v>0</v>
      </c>
      <c r="S241">
        <v>0</v>
      </c>
      <c r="T241">
        <v>600</v>
      </c>
      <c r="V241" t="s">
        <v>327</v>
      </c>
    </row>
    <row r="242" spans="1:36">
      <c r="A242" t="s">
        <v>828</v>
      </c>
      <c r="B242" t="s">
        <v>829</v>
      </c>
      <c r="C242">
        <v>3</v>
      </c>
      <c r="D242" t="s">
        <v>78</v>
      </c>
      <c r="E242" t="s">
        <v>79</v>
      </c>
      <c r="F242" t="s">
        <v>79</v>
      </c>
      <c r="G242" t="s">
        <v>80</v>
      </c>
      <c r="H242" t="s">
        <v>81</v>
      </c>
      <c r="I242" t="s">
        <v>82</v>
      </c>
      <c r="J242" t="s">
        <v>341</v>
      </c>
      <c r="K242" t="s">
        <v>830</v>
      </c>
      <c r="L242" t="s">
        <v>343</v>
      </c>
      <c r="O242" t="s">
        <v>177</v>
      </c>
      <c r="P242">
        <v>0</v>
      </c>
      <c r="Q242" t="s">
        <v>86</v>
      </c>
      <c r="R242">
        <v>0</v>
      </c>
      <c r="S242">
        <v>0</v>
      </c>
      <c r="T242">
        <v>9500</v>
      </c>
      <c r="U242">
        <v>963491100</v>
      </c>
      <c r="V242" t="s">
        <v>87</v>
      </c>
      <c r="W242" t="s">
        <v>831</v>
      </c>
      <c r="AB242" t="s">
        <v>832</v>
      </c>
      <c r="AC242" t="s">
        <v>90</v>
      </c>
      <c r="AD242">
        <v>6</v>
      </c>
      <c r="AE242" t="s">
        <v>91</v>
      </c>
      <c r="AF242" t="s">
        <v>102</v>
      </c>
      <c r="AH242">
        <v>3014044508</v>
      </c>
      <c r="AI242">
        <v>3014</v>
      </c>
      <c r="AJ242" t="s">
        <v>180</v>
      </c>
    </row>
    <row r="243" spans="1:36">
      <c r="A243" t="s">
        <v>833</v>
      </c>
      <c r="B243" t="s">
        <v>834</v>
      </c>
      <c r="C243">
        <v>3</v>
      </c>
      <c r="D243" t="s">
        <v>133</v>
      </c>
      <c r="E243" t="s">
        <v>79</v>
      </c>
      <c r="F243" t="s">
        <v>79</v>
      </c>
      <c r="G243" t="s">
        <v>80</v>
      </c>
      <c r="H243" t="s">
        <v>81</v>
      </c>
      <c r="I243" t="s">
        <v>82</v>
      </c>
      <c r="J243" t="s">
        <v>341</v>
      </c>
      <c r="K243" t="s">
        <v>342</v>
      </c>
      <c r="L243" t="s">
        <v>343</v>
      </c>
      <c r="O243" t="s">
        <v>177</v>
      </c>
      <c r="P243">
        <v>0</v>
      </c>
      <c r="Q243" t="s">
        <v>86</v>
      </c>
      <c r="R243">
        <v>0</v>
      </c>
      <c r="S243">
        <v>0</v>
      </c>
      <c r="T243">
        <v>5075</v>
      </c>
      <c r="U243">
        <v>963701100</v>
      </c>
      <c r="V243" t="s">
        <v>87</v>
      </c>
      <c r="W243" t="s">
        <v>344</v>
      </c>
      <c r="AB243" t="s">
        <v>291</v>
      </c>
      <c r="AC243" t="s">
        <v>90</v>
      </c>
      <c r="AD243">
        <v>6</v>
      </c>
      <c r="AE243" t="s">
        <v>91</v>
      </c>
      <c r="AF243" t="s">
        <v>102</v>
      </c>
      <c r="AH243">
        <v>3710001652</v>
      </c>
      <c r="AI243">
        <v>3710</v>
      </c>
      <c r="AJ243" t="s">
        <v>292</v>
      </c>
    </row>
    <row r="244" spans="1:36">
      <c r="A244" t="s">
        <v>835</v>
      </c>
      <c r="B244" t="s">
        <v>836</v>
      </c>
      <c r="C244">
        <v>3</v>
      </c>
      <c r="D244" t="s">
        <v>174</v>
      </c>
      <c r="E244" t="s">
        <v>79</v>
      </c>
      <c r="F244" t="s">
        <v>79</v>
      </c>
      <c r="G244" t="s">
        <v>80</v>
      </c>
      <c r="H244" t="s">
        <v>81</v>
      </c>
      <c r="I244" t="s">
        <v>82</v>
      </c>
      <c r="J244" t="s">
        <v>341</v>
      </c>
      <c r="K244" t="s">
        <v>342</v>
      </c>
      <c r="L244" t="s">
        <v>343</v>
      </c>
      <c r="O244" t="s">
        <v>177</v>
      </c>
      <c r="P244">
        <v>0</v>
      </c>
      <c r="Q244" t="s">
        <v>86</v>
      </c>
      <c r="R244">
        <v>0</v>
      </c>
      <c r="S244">
        <v>0</v>
      </c>
      <c r="T244">
        <v>600</v>
      </c>
      <c r="U244">
        <v>963061209</v>
      </c>
      <c r="V244" t="s">
        <v>87</v>
      </c>
      <c r="W244" t="s">
        <v>837</v>
      </c>
      <c r="AB244" t="s">
        <v>291</v>
      </c>
      <c r="AC244" t="s">
        <v>90</v>
      </c>
      <c r="AD244">
        <v>6</v>
      </c>
      <c r="AE244" t="s">
        <v>91</v>
      </c>
      <c r="AF244" t="s">
        <v>102</v>
      </c>
      <c r="AH244">
        <v>3710001226</v>
      </c>
      <c r="AI244">
        <v>3710</v>
      </c>
      <c r="AJ244" t="s">
        <v>292</v>
      </c>
    </row>
    <row r="245" spans="1:36">
      <c r="A245" t="s">
        <v>838</v>
      </c>
      <c r="B245" t="s">
        <v>839</v>
      </c>
      <c r="C245" t="s">
        <v>139</v>
      </c>
      <c r="D245" t="s">
        <v>838</v>
      </c>
      <c r="E245" t="s">
        <v>79</v>
      </c>
      <c r="F245" t="s">
        <v>125</v>
      </c>
      <c r="G245" t="s">
        <v>80</v>
      </c>
      <c r="H245" t="s">
        <v>81</v>
      </c>
      <c r="P245">
        <v>0</v>
      </c>
      <c r="Q245" t="s">
        <v>86</v>
      </c>
      <c r="R245">
        <v>0</v>
      </c>
      <c r="S245">
        <v>0</v>
      </c>
      <c r="T245">
        <v>600</v>
      </c>
      <c r="V245" t="s">
        <v>327</v>
      </c>
    </row>
    <row r="246" spans="1:36">
      <c r="A246" t="s">
        <v>840</v>
      </c>
      <c r="B246" t="s">
        <v>841</v>
      </c>
      <c r="C246">
        <v>3</v>
      </c>
      <c r="D246" t="s">
        <v>78</v>
      </c>
      <c r="E246" t="s">
        <v>125</v>
      </c>
      <c r="F246" t="s">
        <v>79</v>
      </c>
      <c r="G246" t="s">
        <v>80</v>
      </c>
      <c r="H246" t="s">
        <v>81</v>
      </c>
      <c r="I246" t="s">
        <v>82</v>
      </c>
      <c r="J246" t="s">
        <v>175</v>
      </c>
      <c r="K246" t="s">
        <v>842</v>
      </c>
      <c r="L246">
        <v>1</v>
      </c>
      <c r="O246" t="s">
        <v>177</v>
      </c>
      <c r="P246">
        <v>0</v>
      </c>
      <c r="Q246" t="s">
        <v>86</v>
      </c>
      <c r="R246">
        <v>0</v>
      </c>
      <c r="S246">
        <v>0</v>
      </c>
      <c r="T246">
        <v>9500</v>
      </c>
      <c r="U246">
        <v>963491100</v>
      </c>
      <c r="V246" t="s">
        <v>87</v>
      </c>
      <c r="W246" t="s">
        <v>843</v>
      </c>
      <c r="AB246" t="s">
        <v>179</v>
      </c>
      <c r="AC246" t="s">
        <v>90</v>
      </c>
      <c r="AD246">
        <v>4</v>
      </c>
      <c r="AE246" t="s">
        <v>101</v>
      </c>
      <c r="AF246" t="s">
        <v>102</v>
      </c>
      <c r="AH246">
        <v>1810066632</v>
      </c>
      <c r="AI246">
        <v>1810</v>
      </c>
      <c r="AJ246" t="s">
        <v>844</v>
      </c>
    </row>
    <row r="247" spans="1:36">
      <c r="A247" t="s">
        <v>845</v>
      </c>
      <c r="B247" t="s">
        <v>846</v>
      </c>
      <c r="C247">
        <v>4</v>
      </c>
      <c r="D247" t="s">
        <v>847</v>
      </c>
      <c r="E247" t="s">
        <v>79</v>
      </c>
      <c r="F247" t="s">
        <v>125</v>
      </c>
      <c r="G247" t="s">
        <v>80</v>
      </c>
      <c r="H247" t="s">
        <v>81</v>
      </c>
      <c r="P247">
        <v>0</v>
      </c>
      <c r="Q247" t="s">
        <v>86</v>
      </c>
      <c r="R247">
        <v>0</v>
      </c>
      <c r="S247">
        <v>0</v>
      </c>
      <c r="T247">
        <v>9500</v>
      </c>
      <c r="U247">
        <v>965222200</v>
      </c>
      <c r="V247" t="s">
        <v>327</v>
      </c>
    </row>
    <row r="248" spans="1:36">
      <c r="A248" t="s">
        <v>848</v>
      </c>
      <c r="B248" t="s">
        <v>849</v>
      </c>
      <c r="C248" t="s">
        <v>139</v>
      </c>
      <c r="D248" t="s">
        <v>140</v>
      </c>
      <c r="E248" t="s">
        <v>79</v>
      </c>
      <c r="F248" t="s">
        <v>125</v>
      </c>
      <c r="G248" t="s">
        <v>80</v>
      </c>
      <c r="H248" t="s">
        <v>81</v>
      </c>
      <c r="P248">
        <v>0</v>
      </c>
      <c r="Q248" t="s">
        <v>86</v>
      </c>
      <c r="R248">
        <v>0</v>
      </c>
      <c r="S248">
        <v>0</v>
      </c>
      <c r="T248">
        <v>9500</v>
      </c>
      <c r="U248">
        <v>963491100</v>
      </c>
      <c r="V248" t="s">
        <v>327</v>
      </c>
    </row>
    <row r="249" spans="1:36">
      <c r="A249" t="s">
        <v>850</v>
      </c>
      <c r="B249" t="s">
        <v>851</v>
      </c>
      <c r="C249" t="s">
        <v>139</v>
      </c>
      <c r="D249" t="s">
        <v>850</v>
      </c>
      <c r="E249" t="s">
        <v>79</v>
      </c>
      <c r="F249" t="s">
        <v>125</v>
      </c>
      <c r="G249" t="s">
        <v>80</v>
      </c>
      <c r="H249" t="s">
        <v>81</v>
      </c>
      <c r="P249">
        <v>0</v>
      </c>
      <c r="Q249" t="s">
        <v>86</v>
      </c>
      <c r="R249">
        <v>0</v>
      </c>
      <c r="S249">
        <v>0</v>
      </c>
      <c r="T249">
        <v>600</v>
      </c>
      <c r="V249" t="s">
        <v>327</v>
      </c>
    </row>
    <row r="250" spans="1:36">
      <c r="A250" t="s">
        <v>852</v>
      </c>
      <c r="B250" t="s">
        <v>853</v>
      </c>
      <c r="C250">
        <v>3</v>
      </c>
      <c r="D250" t="s">
        <v>174</v>
      </c>
      <c r="E250" t="s">
        <v>79</v>
      </c>
      <c r="F250" t="s">
        <v>125</v>
      </c>
      <c r="G250" t="s">
        <v>80</v>
      </c>
      <c r="H250" t="s">
        <v>81</v>
      </c>
      <c r="I250" t="s">
        <v>82</v>
      </c>
      <c r="P250">
        <v>0</v>
      </c>
      <c r="Q250" t="s">
        <v>86</v>
      </c>
      <c r="R250">
        <v>0</v>
      </c>
      <c r="S250">
        <v>0</v>
      </c>
      <c r="T250">
        <v>4885</v>
      </c>
      <c r="U250">
        <v>963195000</v>
      </c>
      <c r="V250" t="s">
        <v>87</v>
      </c>
      <c r="W250" t="s">
        <v>486</v>
      </c>
      <c r="AB250">
        <v>9999</v>
      </c>
      <c r="AC250" t="s">
        <v>90</v>
      </c>
      <c r="AH250">
        <v>5790006084</v>
      </c>
      <c r="AI250">
        <v>5790</v>
      </c>
      <c r="AJ250" t="s">
        <v>199</v>
      </c>
    </row>
    <row r="251" spans="1:36">
      <c r="A251" t="s">
        <v>854</v>
      </c>
      <c r="B251" t="s">
        <v>855</v>
      </c>
      <c r="C251">
        <v>4</v>
      </c>
      <c r="D251" t="s">
        <v>423</v>
      </c>
      <c r="E251" t="s">
        <v>79</v>
      </c>
      <c r="F251" t="s">
        <v>125</v>
      </c>
      <c r="G251" t="s">
        <v>80</v>
      </c>
      <c r="H251" t="s">
        <v>81</v>
      </c>
      <c r="P251">
        <v>0</v>
      </c>
      <c r="Q251" t="s">
        <v>86</v>
      </c>
      <c r="R251">
        <v>0</v>
      </c>
      <c r="S251">
        <v>0</v>
      </c>
      <c r="T251">
        <v>6400</v>
      </c>
      <c r="V251" t="s">
        <v>327</v>
      </c>
    </row>
    <row r="252" spans="1:36">
      <c r="A252" t="s">
        <v>856</v>
      </c>
      <c r="B252" t="s">
        <v>857</v>
      </c>
      <c r="C252">
        <v>3</v>
      </c>
      <c r="D252" t="s">
        <v>174</v>
      </c>
      <c r="E252" t="s">
        <v>79</v>
      </c>
      <c r="F252" t="s">
        <v>79</v>
      </c>
      <c r="G252" t="s">
        <v>80</v>
      </c>
      <c r="H252" t="s">
        <v>81</v>
      </c>
      <c r="I252" t="s">
        <v>82</v>
      </c>
      <c r="J252" t="s">
        <v>106</v>
      </c>
      <c r="K252" t="s">
        <v>107</v>
      </c>
      <c r="L252" s="1">
        <v>45328</v>
      </c>
      <c r="N252" t="s">
        <v>108</v>
      </c>
      <c r="O252" t="s">
        <v>98</v>
      </c>
      <c r="P252">
        <v>0</v>
      </c>
      <c r="Q252" t="s">
        <v>86</v>
      </c>
      <c r="R252">
        <v>0</v>
      </c>
      <c r="S252">
        <v>0</v>
      </c>
      <c r="T252">
        <v>4885</v>
      </c>
      <c r="U252">
        <v>963195052</v>
      </c>
      <c r="V252" t="s">
        <v>87</v>
      </c>
      <c r="W252" t="s">
        <v>562</v>
      </c>
      <c r="AB252" t="s">
        <v>110</v>
      </c>
      <c r="AC252" t="s">
        <v>90</v>
      </c>
      <c r="AD252">
        <v>6</v>
      </c>
      <c r="AE252" t="s">
        <v>101</v>
      </c>
      <c r="AF252" t="s">
        <v>102</v>
      </c>
      <c r="AH252">
        <v>3483003311</v>
      </c>
      <c r="AI252">
        <v>3483</v>
      </c>
      <c r="AJ252" t="s">
        <v>563</v>
      </c>
    </row>
    <row r="253" spans="1:36">
      <c r="A253" t="s">
        <v>858</v>
      </c>
      <c r="B253" t="s">
        <v>859</v>
      </c>
      <c r="C253">
        <v>4</v>
      </c>
      <c r="D253" t="s">
        <v>78</v>
      </c>
      <c r="E253" t="s">
        <v>79</v>
      </c>
      <c r="F253" t="s">
        <v>125</v>
      </c>
      <c r="G253" t="s">
        <v>80</v>
      </c>
      <c r="H253" t="s">
        <v>81</v>
      </c>
      <c r="P253">
        <v>0</v>
      </c>
      <c r="Q253" t="s">
        <v>86</v>
      </c>
      <c r="R253">
        <v>0</v>
      </c>
      <c r="S253">
        <v>0</v>
      </c>
      <c r="T253">
        <v>4040</v>
      </c>
      <c r="U253">
        <v>963491800</v>
      </c>
      <c r="V253" t="s">
        <v>327</v>
      </c>
    </row>
    <row r="254" spans="1:36">
      <c r="A254" t="s">
        <v>860</v>
      </c>
      <c r="B254" t="s">
        <v>861</v>
      </c>
      <c r="C254">
        <v>4</v>
      </c>
      <c r="D254" t="s">
        <v>423</v>
      </c>
      <c r="E254" t="s">
        <v>79</v>
      </c>
      <c r="F254" t="s">
        <v>125</v>
      </c>
      <c r="G254" t="s">
        <v>80</v>
      </c>
      <c r="H254" t="s">
        <v>81</v>
      </c>
      <c r="P254">
        <v>0</v>
      </c>
      <c r="Q254" t="s">
        <v>86</v>
      </c>
      <c r="R254">
        <v>0</v>
      </c>
      <c r="S254">
        <v>0</v>
      </c>
      <c r="T254">
        <v>6400</v>
      </c>
      <c r="U254">
        <v>963310000</v>
      </c>
      <c r="V254" t="s">
        <v>327</v>
      </c>
    </row>
    <row r="255" spans="1:36">
      <c r="A255" t="s">
        <v>862</v>
      </c>
      <c r="B255" t="s">
        <v>863</v>
      </c>
      <c r="C255">
        <v>3</v>
      </c>
      <c r="D255" t="s">
        <v>78</v>
      </c>
      <c r="E255" t="s">
        <v>125</v>
      </c>
      <c r="F255" t="s">
        <v>79</v>
      </c>
      <c r="G255" t="s">
        <v>80</v>
      </c>
      <c r="H255" t="s">
        <v>81</v>
      </c>
      <c r="I255" t="s">
        <v>82</v>
      </c>
      <c r="J255" t="s">
        <v>106</v>
      </c>
      <c r="K255" t="s">
        <v>107</v>
      </c>
      <c r="L255" s="1">
        <v>45328</v>
      </c>
      <c r="N255" t="s">
        <v>108</v>
      </c>
      <c r="O255" t="s">
        <v>98</v>
      </c>
      <c r="P255">
        <v>0</v>
      </c>
      <c r="Q255" t="s">
        <v>86</v>
      </c>
      <c r="R255">
        <v>0</v>
      </c>
      <c r="S255">
        <v>0</v>
      </c>
      <c r="T255">
        <v>9500</v>
      </c>
      <c r="U255">
        <v>987620000</v>
      </c>
      <c r="V255" t="s">
        <v>87</v>
      </c>
      <c r="W255" t="s">
        <v>134</v>
      </c>
      <c r="AB255" t="s">
        <v>135</v>
      </c>
      <c r="AC255" t="s">
        <v>90</v>
      </c>
      <c r="AD255">
        <v>4</v>
      </c>
      <c r="AE255" t="s">
        <v>165</v>
      </c>
      <c r="AF255" t="s">
        <v>102</v>
      </c>
      <c r="AH255">
        <v>2478002012</v>
      </c>
      <c r="AI255">
        <v>2478</v>
      </c>
      <c r="AJ255" t="s">
        <v>136</v>
      </c>
    </row>
    <row r="256" spans="1:36">
      <c r="A256" t="s">
        <v>864</v>
      </c>
      <c r="B256" t="s">
        <v>865</v>
      </c>
      <c r="C256">
        <v>4</v>
      </c>
      <c r="D256" t="s">
        <v>78</v>
      </c>
      <c r="E256" t="s">
        <v>79</v>
      </c>
      <c r="F256" t="s">
        <v>125</v>
      </c>
      <c r="G256" t="s">
        <v>80</v>
      </c>
      <c r="H256" t="s">
        <v>81</v>
      </c>
      <c r="P256">
        <v>0</v>
      </c>
      <c r="Q256" t="s">
        <v>86</v>
      </c>
      <c r="R256">
        <v>0</v>
      </c>
      <c r="S256">
        <v>0</v>
      </c>
      <c r="T256">
        <v>4040</v>
      </c>
      <c r="V256" t="s">
        <v>327</v>
      </c>
    </row>
    <row r="257" spans="1:36">
      <c r="A257" t="s">
        <v>866</v>
      </c>
      <c r="B257" t="s">
        <v>867</v>
      </c>
      <c r="C257" t="s">
        <v>139</v>
      </c>
      <c r="D257" t="s">
        <v>866</v>
      </c>
      <c r="E257" t="s">
        <v>79</v>
      </c>
      <c r="F257" t="s">
        <v>125</v>
      </c>
      <c r="G257" t="s">
        <v>80</v>
      </c>
      <c r="H257" t="s">
        <v>81</v>
      </c>
      <c r="P257">
        <v>0</v>
      </c>
      <c r="Q257" t="s">
        <v>86</v>
      </c>
      <c r="R257">
        <v>0</v>
      </c>
      <c r="S257">
        <v>0</v>
      </c>
      <c r="T257">
        <v>4040</v>
      </c>
      <c r="V257" t="s">
        <v>327</v>
      </c>
    </row>
    <row r="258" spans="1:36">
      <c r="A258" t="s">
        <v>868</v>
      </c>
      <c r="B258" t="s">
        <v>869</v>
      </c>
      <c r="C258" t="s">
        <v>139</v>
      </c>
      <c r="D258" t="s">
        <v>140</v>
      </c>
      <c r="E258" t="s">
        <v>79</v>
      </c>
      <c r="F258" t="s">
        <v>125</v>
      </c>
      <c r="G258" t="s">
        <v>80</v>
      </c>
      <c r="H258" t="s">
        <v>81</v>
      </c>
      <c r="I258" t="s">
        <v>82</v>
      </c>
      <c r="P258">
        <v>0</v>
      </c>
      <c r="Q258" t="s">
        <v>86</v>
      </c>
      <c r="R258">
        <v>0</v>
      </c>
      <c r="S258">
        <v>0</v>
      </c>
      <c r="T258">
        <v>9500</v>
      </c>
      <c r="V258" t="s">
        <v>327</v>
      </c>
      <c r="AB258">
        <v>7676</v>
      </c>
      <c r="AC258" t="s">
        <v>305</v>
      </c>
      <c r="AH258">
        <v>5108001515</v>
      </c>
      <c r="AI258">
        <v>5108</v>
      </c>
      <c r="AJ258" t="s">
        <v>638</v>
      </c>
    </row>
    <row r="259" spans="1:36">
      <c r="A259" t="s">
        <v>870</v>
      </c>
      <c r="B259" t="s">
        <v>871</v>
      </c>
      <c r="C259">
        <v>4</v>
      </c>
      <c r="D259" t="s">
        <v>78</v>
      </c>
      <c r="E259" t="s">
        <v>79</v>
      </c>
      <c r="F259" t="s">
        <v>125</v>
      </c>
      <c r="G259" t="s">
        <v>80</v>
      </c>
      <c r="H259" t="s">
        <v>81</v>
      </c>
      <c r="P259">
        <v>0</v>
      </c>
      <c r="Q259" t="s">
        <v>86</v>
      </c>
      <c r="R259">
        <v>0</v>
      </c>
      <c r="S259">
        <v>0</v>
      </c>
      <c r="T259">
        <v>7100</v>
      </c>
      <c r="U259">
        <v>963222930</v>
      </c>
      <c r="V259" t="s">
        <v>327</v>
      </c>
    </row>
    <row r="260" spans="1:36">
      <c r="A260" t="s">
        <v>872</v>
      </c>
      <c r="B260" t="s">
        <v>873</v>
      </c>
      <c r="C260" t="s">
        <v>139</v>
      </c>
      <c r="D260" t="s">
        <v>140</v>
      </c>
      <c r="E260" t="s">
        <v>79</v>
      </c>
      <c r="F260" t="s">
        <v>125</v>
      </c>
      <c r="G260" t="s">
        <v>80</v>
      </c>
      <c r="H260" t="s">
        <v>81</v>
      </c>
      <c r="P260">
        <v>0</v>
      </c>
      <c r="Q260" t="s">
        <v>86</v>
      </c>
      <c r="R260">
        <v>0</v>
      </c>
      <c r="S260">
        <v>0</v>
      </c>
      <c r="T260">
        <v>600</v>
      </c>
      <c r="U260">
        <v>963061209</v>
      </c>
      <c r="V260" t="s">
        <v>327</v>
      </c>
    </row>
    <row r="261" spans="1:36">
      <c r="A261" t="s">
        <v>874</v>
      </c>
      <c r="B261" t="s">
        <v>875</v>
      </c>
      <c r="C261">
        <v>3</v>
      </c>
      <c r="D261" t="s">
        <v>133</v>
      </c>
      <c r="E261" t="s">
        <v>79</v>
      </c>
      <c r="F261" t="s">
        <v>79</v>
      </c>
      <c r="G261" t="s">
        <v>80</v>
      </c>
      <c r="H261" t="s">
        <v>81</v>
      </c>
      <c r="I261" t="s">
        <v>82</v>
      </c>
      <c r="J261" t="s">
        <v>95</v>
      </c>
      <c r="K261" t="s">
        <v>96</v>
      </c>
      <c r="L261">
        <v>97</v>
      </c>
      <c r="N261" t="s">
        <v>97</v>
      </c>
      <c r="O261" t="s">
        <v>98</v>
      </c>
      <c r="P261">
        <v>0</v>
      </c>
      <c r="Q261" t="s">
        <v>86</v>
      </c>
      <c r="R261">
        <v>0</v>
      </c>
      <c r="S261">
        <v>0</v>
      </c>
      <c r="T261">
        <v>8750</v>
      </c>
      <c r="U261">
        <v>96370</v>
      </c>
      <c r="V261" t="s">
        <v>87</v>
      </c>
      <c r="W261" t="s">
        <v>376</v>
      </c>
      <c r="AB261" t="s">
        <v>100</v>
      </c>
      <c r="AC261" t="s">
        <v>90</v>
      </c>
      <c r="AD261">
        <v>6</v>
      </c>
      <c r="AE261" t="s">
        <v>101</v>
      </c>
      <c r="AF261" t="s">
        <v>102</v>
      </c>
      <c r="AH261">
        <v>4640000201</v>
      </c>
      <c r="AI261">
        <v>4640</v>
      </c>
      <c r="AJ261" t="s">
        <v>379</v>
      </c>
    </row>
    <row r="262" spans="1:36">
      <c r="A262" t="s">
        <v>876</v>
      </c>
      <c r="B262" t="s">
        <v>877</v>
      </c>
      <c r="C262">
        <v>4</v>
      </c>
      <c r="D262" t="s">
        <v>140</v>
      </c>
      <c r="E262" t="s">
        <v>79</v>
      </c>
      <c r="F262" t="s">
        <v>125</v>
      </c>
      <c r="G262" t="s">
        <v>80</v>
      </c>
      <c r="H262" t="s">
        <v>81</v>
      </c>
      <c r="P262">
        <v>0</v>
      </c>
      <c r="Q262" t="s">
        <v>86</v>
      </c>
      <c r="R262">
        <v>0</v>
      </c>
      <c r="S262">
        <v>0</v>
      </c>
      <c r="T262">
        <v>9500</v>
      </c>
      <c r="U262">
        <v>987623600</v>
      </c>
      <c r="V262" t="s">
        <v>327</v>
      </c>
    </row>
    <row r="263" spans="1:36">
      <c r="A263" t="s">
        <v>878</v>
      </c>
      <c r="B263" t="s">
        <v>879</v>
      </c>
      <c r="C263">
        <v>3</v>
      </c>
      <c r="D263" t="s">
        <v>174</v>
      </c>
      <c r="E263" t="s">
        <v>79</v>
      </c>
      <c r="F263" t="s">
        <v>79</v>
      </c>
      <c r="G263" t="s">
        <v>80</v>
      </c>
      <c r="H263" t="s">
        <v>81</v>
      </c>
      <c r="I263" t="s">
        <v>82</v>
      </c>
      <c r="J263" t="s">
        <v>119</v>
      </c>
      <c r="K263" t="s">
        <v>81</v>
      </c>
      <c r="L263">
        <v>4</v>
      </c>
      <c r="O263" t="s">
        <v>119</v>
      </c>
      <c r="P263">
        <v>0</v>
      </c>
      <c r="Q263" t="s">
        <v>86</v>
      </c>
      <c r="R263">
        <v>0</v>
      </c>
      <c r="S263">
        <v>0</v>
      </c>
      <c r="T263">
        <v>600</v>
      </c>
      <c r="U263">
        <v>963491215</v>
      </c>
      <c r="V263" t="s">
        <v>87</v>
      </c>
      <c r="W263" t="s">
        <v>80</v>
      </c>
      <c r="AB263" t="s">
        <v>121</v>
      </c>
      <c r="AC263" t="s">
        <v>90</v>
      </c>
      <c r="AD263">
        <v>6</v>
      </c>
      <c r="AE263" t="s">
        <v>91</v>
      </c>
      <c r="AF263" t="s">
        <v>102</v>
      </c>
      <c r="AH263">
        <v>2037013210</v>
      </c>
      <c r="AI263">
        <v>2037</v>
      </c>
      <c r="AJ263" t="s">
        <v>122</v>
      </c>
    </row>
    <row r="264" spans="1:36">
      <c r="A264" t="s">
        <v>880</v>
      </c>
      <c r="B264" t="s">
        <v>881</v>
      </c>
      <c r="C264">
        <v>3</v>
      </c>
      <c r="D264" t="s">
        <v>190</v>
      </c>
      <c r="E264" t="s">
        <v>79</v>
      </c>
      <c r="F264" t="s">
        <v>79</v>
      </c>
      <c r="G264" t="s">
        <v>80</v>
      </c>
      <c r="H264" t="s">
        <v>81</v>
      </c>
      <c r="I264" t="s">
        <v>82</v>
      </c>
      <c r="J264" t="s">
        <v>119</v>
      </c>
      <c r="K264" t="s">
        <v>81</v>
      </c>
      <c r="L264">
        <v>4</v>
      </c>
      <c r="O264" t="s">
        <v>119</v>
      </c>
      <c r="P264">
        <v>0</v>
      </c>
      <c r="Q264" t="s">
        <v>86</v>
      </c>
      <c r="R264">
        <v>0</v>
      </c>
      <c r="S264">
        <v>0</v>
      </c>
      <c r="T264">
        <v>2100</v>
      </c>
      <c r="U264">
        <v>963790935</v>
      </c>
      <c r="V264" t="s">
        <v>87</v>
      </c>
      <c r="W264" t="s">
        <v>80</v>
      </c>
      <c r="AB264" t="s">
        <v>121</v>
      </c>
      <c r="AC264" t="s">
        <v>90</v>
      </c>
      <c r="AD264">
        <v>6</v>
      </c>
      <c r="AE264" t="s">
        <v>91</v>
      </c>
      <c r="AF264" t="s">
        <v>102</v>
      </c>
      <c r="AH264">
        <v>2037013206</v>
      </c>
      <c r="AI264">
        <v>2037</v>
      </c>
      <c r="AJ264" t="s">
        <v>122</v>
      </c>
    </row>
    <row r="265" spans="1:36">
      <c r="A265" t="s">
        <v>882</v>
      </c>
      <c r="B265" t="s">
        <v>883</v>
      </c>
      <c r="C265">
        <v>3</v>
      </c>
      <c r="D265" t="s">
        <v>130</v>
      </c>
      <c r="E265" t="s">
        <v>79</v>
      </c>
      <c r="F265" t="s">
        <v>79</v>
      </c>
      <c r="G265" t="s">
        <v>80</v>
      </c>
      <c r="H265" t="s">
        <v>81</v>
      </c>
      <c r="I265" t="s">
        <v>82</v>
      </c>
      <c r="J265" t="s">
        <v>119</v>
      </c>
      <c r="K265" t="s">
        <v>81</v>
      </c>
      <c r="L265">
        <v>4</v>
      </c>
      <c r="O265" t="s">
        <v>119</v>
      </c>
      <c r="P265">
        <v>0</v>
      </c>
      <c r="Q265" t="s">
        <v>86</v>
      </c>
      <c r="R265">
        <v>0</v>
      </c>
      <c r="S265">
        <v>0</v>
      </c>
      <c r="T265">
        <v>7100</v>
      </c>
      <c r="V265" t="s">
        <v>87</v>
      </c>
      <c r="W265" t="s">
        <v>80</v>
      </c>
      <c r="AB265" t="s">
        <v>121</v>
      </c>
      <c r="AC265" t="s">
        <v>90</v>
      </c>
      <c r="AD265">
        <v>6</v>
      </c>
      <c r="AE265" t="s">
        <v>91</v>
      </c>
      <c r="AF265" t="s">
        <v>102</v>
      </c>
      <c r="AH265">
        <v>2037013213</v>
      </c>
      <c r="AI265">
        <v>2037</v>
      </c>
      <c r="AJ265" t="s">
        <v>122</v>
      </c>
    </row>
    <row r="266" spans="1:36">
      <c r="A266" t="s">
        <v>884</v>
      </c>
      <c r="B266" t="s">
        <v>885</v>
      </c>
      <c r="C266">
        <v>4</v>
      </c>
      <c r="D266" t="s">
        <v>140</v>
      </c>
      <c r="E266" t="s">
        <v>79</v>
      </c>
      <c r="F266" t="s">
        <v>125</v>
      </c>
      <c r="G266" t="s">
        <v>80</v>
      </c>
      <c r="H266" t="s">
        <v>81</v>
      </c>
      <c r="P266">
        <v>0</v>
      </c>
      <c r="Q266" t="s">
        <v>86</v>
      </c>
      <c r="R266">
        <v>0</v>
      </c>
      <c r="S266">
        <v>0</v>
      </c>
      <c r="T266">
        <v>600</v>
      </c>
      <c r="U266">
        <v>963061209</v>
      </c>
      <c r="V266" t="s">
        <v>327</v>
      </c>
    </row>
    <row r="267" spans="1:36">
      <c r="A267" t="s">
        <v>886</v>
      </c>
      <c r="B267" t="s">
        <v>887</v>
      </c>
      <c r="C267">
        <v>3</v>
      </c>
      <c r="D267" t="s">
        <v>130</v>
      </c>
      <c r="E267" t="s">
        <v>79</v>
      </c>
      <c r="F267" t="s">
        <v>79</v>
      </c>
      <c r="G267" t="s">
        <v>80</v>
      </c>
      <c r="H267" t="s">
        <v>81</v>
      </c>
      <c r="I267" t="s">
        <v>82</v>
      </c>
      <c r="J267" t="s">
        <v>95</v>
      </c>
      <c r="K267" t="s">
        <v>389</v>
      </c>
      <c r="L267">
        <v>95</v>
      </c>
      <c r="M267" t="s">
        <v>385</v>
      </c>
      <c r="O267" t="s">
        <v>98</v>
      </c>
      <c r="P267">
        <v>0</v>
      </c>
      <c r="Q267" t="s">
        <v>86</v>
      </c>
      <c r="R267">
        <v>0</v>
      </c>
      <c r="S267">
        <v>0</v>
      </c>
      <c r="T267">
        <v>7100</v>
      </c>
      <c r="V267" t="s">
        <v>87</v>
      </c>
      <c r="W267" t="s">
        <v>517</v>
      </c>
      <c r="AB267" t="s">
        <v>520</v>
      </c>
      <c r="AC267" t="s">
        <v>90</v>
      </c>
      <c r="AD267">
        <v>6</v>
      </c>
      <c r="AE267" t="s">
        <v>101</v>
      </c>
      <c r="AF267" t="s">
        <v>102</v>
      </c>
      <c r="AH267">
        <v>3065000805</v>
      </c>
      <c r="AI267">
        <v>3065</v>
      </c>
      <c r="AJ267" t="s">
        <v>521</v>
      </c>
    </row>
    <row r="268" spans="1:36">
      <c r="A268" t="s">
        <v>888</v>
      </c>
      <c r="B268" t="s">
        <v>889</v>
      </c>
      <c r="C268" t="s">
        <v>139</v>
      </c>
      <c r="D268" t="s">
        <v>140</v>
      </c>
      <c r="E268" t="s">
        <v>79</v>
      </c>
      <c r="F268" t="s">
        <v>125</v>
      </c>
      <c r="G268" t="s">
        <v>80</v>
      </c>
      <c r="H268" t="s">
        <v>81</v>
      </c>
      <c r="I268" t="s">
        <v>82</v>
      </c>
      <c r="P268">
        <v>0</v>
      </c>
      <c r="Q268" t="s">
        <v>86</v>
      </c>
      <c r="R268">
        <v>0</v>
      </c>
      <c r="S268">
        <v>0</v>
      </c>
      <c r="T268">
        <v>9510</v>
      </c>
      <c r="V268" t="s">
        <v>87</v>
      </c>
      <c r="W268" t="s">
        <v>515</v>
      </c>
      <c r="AB268">
        <v>9999</v>
      </c>
      <c r="AC268" t="s">
        <v>90</v>
      </c>
      <c r="AH268">
        <v>9110100076</v>
      </c>
      <c r="AI268">
        <v>9110</v>
      </c>
      <c r="AJ268" t="s">
        <v>514</v>
      </c>
    </row>
    <row r="269" spans="1:36">
      <c r="A269" t="s">
        <v>890</v>
      </c>
      <c r="B269" t="s">
        <v>891</v>
      </c>
      <c r="C269" t="s">
        <v>139</v>
      </c>
      <c r="D269" t="s">
        <v>78</v>
      </c>
      <c r="E269" t="s">
        <v>79</v>
      </c>
      <c r="F269" t="s">
        <v>125</v>
      </c>
      <c r="G269" t="s">
        <v>80</v>
      </c>
      <c r="H269" t="s">
        <v>81</v>
      </c>
      <c r="P269">
        <v>0</v>
      </c>
      <c r="Q269" t="s">
        <v>86</v>
      </c>
      <c r="R269">
        <v>0</v>
      </c>
      <c r="S269">
        <v>0</v>
      </c>
      <c r="T269">
        <v>7100</v>
      </c>
      <c r="V269" t="s">
        <v>327</v>
      </c>
    </row>
    <row r="270" spans="1:36">
      <c r="A270" t="s">
        <v>892</v>
      </c>
      <c r="B270" t="s">
        <v>893</v>
      </c>
      <c r="C270">
        <v>3</v>
      </c>
      <c r="D270" t="s">
        <v>78</v>
      </c>
      <c r="E270" t="s">
        <v>79</v>
      </c>
      <c r="F270" t="s">
        <v>79</v>
      </c>
      <c r="G270" t="s">
        <v>80</v>
      </c>
      <c r="H270" t="s">
        <v>81</v>
      </c>
      <c r="I270" t="s">
        <v>82</v>
      </c>
      <c r="J270" t="s">
        <v>114</v>
      </c>
      <c r="K270" t="s">
        <v>894</v>
      </c>
      <c r="L270">
        <v>4</v>
      </c>
      <c r="O270" t="s">
        <v>98</v>
      </c>
      <c r="P270">
        <v>0</v>
      </c>
      <c r="Q270" t="s">
        <v>86</v>
      </c>
      <c r="R270">
        <v>0</v>
      </c>
      <c r="S270">
        <v>0</v>
      </c>
      <c r="T270">
        <v>9500</v>
      </c>
      <c r="V270" t="s">
        <v>87</v>
      </c>
      <c r="W270" t="s">
        <v>895</v>
      </c>
      <c r="AB270" t="s">
        <v>116</v>
      </c>
      <c r="AC270" t="s">
        <v>90</v>
      </c>
      <c r="AD270">
        <v>6</v>
      </c>
      <c r="AE270" t="s">
        <v>91</v>
      </c>
      <c r="AF270" t="s">
        <v>102</v>
      </c>
      <c r="AH270">
        <v>1835001421</v>
      </c>
      <c r="AI270">
        <v>1835</v>
      </c>
      <c r="AJ270" t="s">
        <v>896</v>
      </c>
    </row>
    <row r="271" spans="1:36">
      <c r="A271" t="s">
        <v>897</v>
      </c>
      <c r="B271" t="s">
        <v>898</v>
      </c>
      <c r="C271">
        <v>3</v>
      </c>
      <c r="D271" t="s">
        <v>183</v>
      </c>
      <c r="E271" t="s">
        <v>79</v>
      </c>
      <c r="F271" t="s">
        <v>79</v>
      </c>
      <c r="G271" t="s">
        <v>80</v>
      </c>
      <c r="H271" t="s">
        <v>81</v>
      </c>
      <c r="I271" t="s">
        <v>82</v>
      </c>
      <c r="J271" t="s">
        <v>119</v>
      </c>
      <c r="K271" t="s">
        <v>81</v>
      </c>
      <c r="L271">
        <v>4</v>
      </c>
      <c r="O271" t="s">
        <v>119</v>
      </c>
      <c r="P271">
        <v>0</v>
      </c>
      <c r="Q271" t="s">
        <v>86</v>
      </c>
      <c r="R271">
        <v>0</v>
      </c>
      <c r="S271">
        <v>0</v>
      </c>
      <c r="T271">
        <v>3800</v>
      </c>
      <c r="V271" t="s">
        <v>87</v>
      </c>
      <c r="W271" t="s">
        <v>80</v>
      </c>
      <c r="AB271" t="s">
        <v>121</v>
      </c>
      <c r="AC271" t="s">
        <v>90</v>
      </c>
      <c r="AD271">
        <v>6</v>
      </c>
      <c r="AE271" t="s">
        <v>91</v>
      </c>
      <c r="AF271" t="s">
        <v>102</v>
      </c>
      <c r="AH271">
        <v>2037013204</v>
      </c>
      <c r="AI271">
        <v>2037</v>
      </c>
      <c r="AJ271" t="s">
        <v>122</v>
      </c>
    </row>
    <row r="272" spans="1:36">
      <c r="A272" t="s">
        <v>899</v>
      </c>
      <c r="B272" t="s">
        <v>900</v>
      </c>
      <c r="C272">
        <v>3</v>
      </c>
      <c r="D272" t="s">
        <v>130</v>
      </c>
      <c r="E272" t="s">
        <v>79</v>
      </c>
      <c r="F272" t="s">
        <v>79</v>
      </c>
      <c r="G272" t="s">
        <v>80</v>
      </c>
      <c r="H272" t="s">
        <v>81</v>
      </c>
      <c r="I272" t="s">
        <v>82</v>
      </c>
      <c r="J272" t="s">
        <v>301</v>
      </c>
      <c r="K272" t="s">
        <v>406</v>
      </c>
      <c r="L272">
        <v>4</v>
      </c>
      <c r="O272" t="s">
        <v>301</v>
      </c>
      <c r="P272">
        <v>0</v>
      </c>
      <c r="Q272" t="s">
        <v>86</v>
      </c>
      <c r="R272">
        <v>0</v>
      </c>
      <c r="S272">
        <v>0</v>
      </c>
      <c r="T272">
        <v>7100</v>
      </c>
      <c r="U272">
        <v>963221500</v>
      </c>
      <c r="V272" t="s">
        <v>87</v>
      </c>
      <c r="W272" t="s">
        <v>404</v>
      </c>
      <c r="AB272" t="s">
        <v>314</v>
      </c>
      <c r="AC272" t="s">
        <v>90</v>
      </c>
      <c r="AD272">
        <v>6</v>
      </c>
      <c r="AE272" t="s">
        <v>91</v>
      </c>
      <c r="AF272" t="s">
        <v>102</v>
      </c>
      <c r="AH272">
        <v>6173080025</v>
      </c>
      <c r="AI272">
        <v>6173</v>
      </c>
      <c r="AJ272" t="s">
        <v>407</v>
      </c>
    </row>
    <row r="273" spans="1:36">
      <c r="A273" t="s">
        <v>901</v>
      </c>
      <c r="B273" t="s">
        <v>902</v>
      </c>
      <c r="C273">
        <v>4</v>
      </c>
      <c r="D273" t="s">
        <v>130</v>
      </c>
      <c r="E273" t="s">
        <v>79</v>
      </c>
      <c r="F273" t="s">
        <v>79</v>
      </c>
      <c r="G273" t="s">
        <v>80</v>
      </c>
      <c r="H273" t="s">
        <v>81</v>
      </c>
      <c r="I273" t="s">
        <v>82</v>
      </c>
      <c r="J273" t="s">
        <v>114</v>
      </c>
      <c r="K273" t="s">
        <v>115</v>
      </c>
      <c r="L273">
        <v>4</v>
      </c>
      <c r="O273" t="s">
        <v>98</v>
      </c>
      <c r="P273">
        <v>0</v>
      </c>
      <c r="Q273" t="s">
        <v>86</v>
      </c>
      <c r="R273">
        <v>0</v>
      </c>
      <c r="S273">
        <v>0</v>
      </c>
      <c r="T273">
        <v>7100</v>
      </c>
      <c r="U273">
        <v>963221100</v>
      </c>
      <c r="V273" t="s">
        <v>87</v>
      </c>
      <c r="W273" t="s">
        <v>130</v>
      </c>
      <c r="AB273" t="s">
        <v>116</v>
      </c>
      <c r="AC273" t="s">
        <v>90</v>
      </c>
      <c r="AD273">
        <v>6</v>
      </c>
      <c r="AE273" t="s">
        <v>91</v>
      </c>
      <c r="AF273" t="s">
        <v>102</v>
      </c>
      <c r="AH273">
        <v>1087001202</v>
      </c>
      <c r="AI273">
        <v>1087</v>
      </c>
      <c r="AJ273" t="s">
        <v>117</v>
      </c>
    </row>
    <row r="274" spans="1:36">
      <c r="A274" t="s">
        <v>903</v>
      </c>
      <c r="B274" t="s">
        <v>904</v>
      </c>
      <c r="C274">
        <v>4</v>
      </c>
      <c r="D274" t="s">
        <v>140</v>
      </c>
      <c r="E274" t="s">
        <v>79</v>
      </c>
      <c r="F274" t="s">
        <v>125</v>
      </c>
      <c r="G274" t="s">
        <v>80</v>
      </c>
      <c r="H274" t="s">
        <v>81</v>
      </c>
      <c r="P274">
        <v>0</v>
      </c>
      <c r="Q274" t="s">
        <v>86</v>
      </c>
      <c r="R274">
        <v>0</v>
      </c>
      <c r="S274">
        <v>0</v>
      </c>
      <c r="T274">
        <v>9400</v>
      </c>
      <c r="U274">
        <v>963491100</v>
      </c>
      <c r="V274" t="s">
        <v>327</v>
      </c>
    </row>
    <row r="275" spans="1:36">
      <c r="A275" t="s">
        <v>905</v>
      </c>
      <c r="B275" t="s">
        <v>906</v>
      </c>
      <c r="C275">
        <v>3</v>
      </c>
      <c r="D275" t="s">
        <v>78</v>
      </c>
      <c r="E275" t="s">
        <v>79</v>
      </c>
      <c r="F275" t="s">
        <v>79</v>
      </c>
      <c r="G275" t="s">
        <v>80</v>
      </c>
      <c r="H275" t="s">
        <v>81</v>
      </c>
      <c r="I275" t="s">
        <v>82</v>
      </c>
      <c r="J275" t="s">
        <v>114</v>
      </c>
      <c r="K275" t="s">
        <v>115</v>
      </c>
      <c r="L275">
        <v>4</v>
      </c>
      <c r="O275" t="s">
        <v>98</v>
      </c>
      <c r="P275">
        <v>0</v>
      </c>
      <c r="Q275" t="s">
        <v>86</v>
      </c>
      <c r="R275">
        <v>0</v>
      </c>
      <c r="S275">
        <v>0</v>
      </c>
      <c r="T275">
        <v>9500</v>
      </c>
      <c r="U275">
        <v>987621100</v>
      </c>
      <c r="V275" t="s">
        <v>87</v>
      </c>
      <c r="W275" t="s">
        <v>78</v>
      </c>
      <c r="AB275" t="s">
        <v>116</v>
      </c>
      <c r="AC275" t="s">
        <v>90</v>
      </c>
      <c r="AD275">
        <v>6</v>
      </c>
      <c r="AE275" t="s">
        <v>91</v>
      </c>
      <c r="AF275" t="s">
        <v>102</v>
      </c>
      <c r="AH275">
        <v>1087001002</v>
      </c>
      <c r="AI275">
        <v>1087</v>
      </c>
      <c r="AJ275" t="s">
        <v>117</v>
      </c>
    </row>
    <row r="276" spans="1:36">
      <c r="A276" t="s">
        <v>907</v>
      </c>
      <c r="B276" t="s">
        <v>908</v>
      </c>
      <c r="C276">
        <v>3</v>
      </c>
      <c r="D276" t="s">
        <v>174</v>
      </c>
      <c r="E276" t="s">
        <v>79</v>
      </c>
      <c r="F276" t="s">
        <v>79</v>
      </c>
      <c r="G276" t="s">
        <v>80</v>
      </c>
      <c r="H276" t="s">
        <v>81</v>
      </c>
      <c r="I276" t="s">
        <v>82</v>
      </c>
      <c r="J276" t="s">
        <v>114</v>
      </c>
      <c r="K276" t="s">
        <v>115</v>
      </c>
      <c r="L276">
        <v>4</v>
      </c>
      <c r="O276" t="s">
        <v>98</v>
      </c>
      <c r="P276">
        <v>0</v>
      </c>
      <c r="Q276" t="s">
        <v>86</v>
      </c>
      <c r="R276">
        <v>0</v>
      </c>
      <c r="S276">
        <v>0</v>
      </c>
      <c r="T276">
        <v>4885</v>
      </c>
      <c r="U276">
        <v>963195000</v>
      </c>
      <c r="V276" t="s">
        <v>87</v>
      </c>
      <c r="W276" t="s">
        <v>909</v>
      </c>
      <c r="AB276" t="s">
        <v>116</v>
      </c>
      <c r="AC276" t="s">
        <v>90</v>
      </c>
      <c r="AD276">
        <v>6</v>
      </c>
      <c r="AE276" t="s">
        <v>91</v>
      </c>
      <c r="AF276" t="s">
        <v>102</v>
      </c>
      <c r="AH276">
        <v>1312003301</v>
      </c>
      <c r="AI276">
        <v>1312</v>
      </c>
      <c r="AJ276" t="s">
        <v>910</v>
      </c>
    </row>
    <row r="277" spans="1:36">
      <c r="A277" t="s">
        <v>911</v>
      </c>
      <c r="B277" t="s">
        <v>912</v>
      </c>
      <c r="C277">
        <v>3</v>
      </c>
      <c r="D277" t="s">
        <v>78</v>
      </c>
      <c r="E277" t="s">
        <v>79</v>
      </c>
      <c r="F277" t="s">
        <v>79</v>
      </c>
      <c r="G277" t="s">
        <v>80</v>
      </c>
      <c r="H277" t="s">
        <v>81</v>
      </c>
      <c r="I277" t="s">
        <v>82</v>
      </c>
      <c r="J277" t="s">
        <v>913</v>
      </c>
      <c r="K277" t="s">
        <v>914</v>
      </c>
      <c r="L277" s="1">
        <v>45328</v>
      </c>
      <c r="N277" t="s">
        <v>108</v>
      </c>
      <c r="O277" t="s">
        <v>85</v>
      </c>
      <c r="P277">
        <v>0</v>
      </c>
      <c r="Q277" t="s">
        <v>86</v>
      </c>
      <c r="R277">
        <v>0</v>
      </c>
      <c r="S277">
        <v>0</v>
      </c>
      <c r="T277">
        <v>9510</v>
      </c>
      <c r="V277" t="s">
        <v>87</v>
      </c>
      <c r="W277" t="s">
        <v>915</v>
      </c>
      <c r="AB277">
        <v>9999</v>
      </c>
      <c r="AC277" t="s">
        <v>90</v>
      </c>
      <c r="AD277">
        <v>6</v>
      </c>
      <c r="AE277" t="s">
        <v>160</v>
      </c>
      <c r="AF277" t="s">
        <v>92</v>
      </c>
      <c r="AH277">
        <v>9550000277</v>
      </c>
      <c r="AI277">
        <v>9550</v>
      </c>
      <c r="AJ277" t="s">
        <v>913</v>
      </c>
    </row>
    <row r="278" spans="1:36">
      <c r="A278" t="s">
        <v>916</v>
      </c>
      <c r="B278" t="s">
        <v>917</v>
      </c>
      <c r="C278">
        <v>3</v>
      </c>
      <c r="D278" t="s">
        <v>78</v>
      </c>
      <c r="E278" t="s">
        <v>79</v>
      </c>
      <c r="F278" t="s">
        <v>125</v>
      </c>
      <c r="G278" t="s">
        <v>80</v>
      </c>
      <c r="H278" t="s">
        <v>81</v>
      </c>
      <c r="I278" t="s">
        <v>82</v>
      </c>
      <c r="P278">
        <v>0</v>
      </c>
      <c r="Q278" t="s">
        <v>86</v>
      </c>
      <c r="R278">
        <v>0</v>
      </c>
      <c r="S278">
        <v>0</v>
      </c>
      <c r="T278">
        <v>9500</v>
      </c>
      <c r="V278" t="s">
        <v>87</v>
      </c>
      <c r="W278" t="s">
        <v>918</v>
      </c>
      <c r="AB278">
        <v>2700</v>
      </c>
      <c r="AC278" t="s">
        <v>90</v>
      </c>
      <c r="AD278">
        <v>6</v>
      </c>
      <c r="AH278">
        <v>8456003260</v>
      </c>
      <c r="AI278">
        <v>8456</v>
      </c>
      <c r="AJ278" t="s">
        <v>593</v>
      </c>
    </row>
    <row r="279" spans="1:36">
      <c r="A279" t="s">
        <v>919</v>
      </c>
      <c r="B279" t="s">
        <v>920</v>
      </c>
      <c r="C279">
        <v>4</v>
      </c>
      <c r="D279" t="s">
        <v>78</v>
      </c>
      <c r="E279" t="s">
        <v>79</v>
      </c>
      <c r="F279" t="s">
        <v>125</v>
      </c>
      <c r="G279" t="s">
        <v>80</v>
      </c>
      <c r="H279" t="s">
        <v>81</v>
      </c>
      <c r="P279">
        <v>0</v>
      </c>
      <c r="Q279" t="s">
        <v>86</v>
      </c>
      <c r="R279">
        <v>0</v>
      </c>
      <c r="S279">
        <v>0</v>
      </c>
      <c r="T279">
        <v>7100</v>
      </c>
      <c r="U279">
        <v>963223000</v>
      </c>
      <c r="V279" t="s">
        <v>327</v>
      </c>
    </row>
    <row r="280" spans="1:36">
      <c r="A280" t="s">
        <v>921</v>
      </c>
      <c r="B280" t="s">
        <v>922</v>
      </c>
      <c r="C280">
        <v>3</v>
      </c>
      <c r="D280" t="s">
        <v>78</v>
      </c>
      <c r="E280" t="s">
        <v>79</v>
      </c>
      <c r="F280" t="s">
        <v>125</v>
      </c>
      <c r="G280" t="s">
        <v>80</v>
      </c>
      <c r="H280" t="s">
        <v>81</v>
      </c>
      <c r="I280" t="s">
        <v>82</v>
      </c>
      <c r="P280">
        <v>0</v>
      </c>
      <c r="Q280" t="s">
        <v>86</v>
      </c>
      <c r="R280">
        <v>0</v>
      </c>
      <c r="S280">
        <v>0</v>
      </c>
      <c r="T280">
        <v>9500</v>
      </c>
      <c r="U280">
        <v>96349</v>
      </c>
      <c r="V280" t="s">
        <v>87</v>
      </c>
      <c r="W280" t="s">
        <v>606</v>
      </c>
      <c r="AB280" t="s">
        <v>314</v>
      </c>
      <c r="AC280" t="s">
        <v>90</v>
      </c>
      <c r="AD280">
        <v>6</v>
      </c>
      <c r="AH280">
        <v>3486000103</v>
      </c>
      <c r="AI280">
        <v>3486</v>
      </c>
      <c r="AJ280" t="s">
        <v>607</v>
      </c>
    </row>
    <row r="281" spans="1:36">
      <c r="A281" t="s">
        <v>923</v>
      </c>
      <c r="B281" t="s">
        <v>924</v>
      </c>
      <c r="C281" t="s">
        <v>139</v>
      </c>
      <c r="D281" t="s">
        <v>140</v>
      </c>
      <c r="E281" t="s">
        <v>79</v>
      </c>
      <c r="F281" t="s">
        <v>125</v>
      </c>
      <c r="G281" t="s">
        <v>80</v>
      </c>
      <c r="H281" t="s">
        <v>81</v>
      </c>
      <c r="P281">
        <v>0</v>
      </c>
      <c r="Q281" t="s">
        <v>86</v>
      </c>
      <c r="R281">
        <v>0</v>
      </c>
      <c r="S281">
        <v>0</v>
      </c>
      <c r="T281">
        <v>5615</v>
      </c>
      <c r="V281" t="s">
        <v>327</v>
      </c>
    </row>
    <row r="282" spans="1:36">
      <c r="A282" t="s">
        <v>925</v>
      </c>
      <c r="B282" t="s">
        <v>926</v>
      </c>
      <c r="C282">
        <v>3</v>
      </c>
      <c r="D282" t="s">
        <v>133</v>
      </c>
      <c r="E282" t="s">
        <v>79</v>
      </c>
      <c r="F282" t="s">
        <v>125</v>
      </c>
      <c r="G282" t="s">
        <v>80</v>
      </c>
      <c r="H282" t="s">
        <v>81</v>
      </c>
      <c r="P282">
        <v>0</v>
      </c>
      <c r="Q282" t="s">
        <v>86</v>
      </c>
      <c r="R282">
        <v>0</v>
      </c>
      <c r="S282">
        <v>0</v>
      </c>
      <c r="T282">
        <v>3950</v>
      </c>
      <c r="U282">
        <v>963700054</v>
      </c>
      <c r="V282" t="s">
        <v>327</v>
      </c>
    </row>
    <row r="283" spans="1:36">
      <c r="A283" t="s">
        <v>927</v>
      </c>
      <c r="B283" t="s">
        <v>928</v>
      </c>
      <c r="C283">
        <v>4</v>
      </c>
      <c r="D283" t="s">
        <v>140</v>
      </c>
      <c r="E283" t="s">
        <v>79</v>
      </c>
      <c r="F283" t="s">
        <v>125</v>
      </c>
      <c r="G283" t="s">
        <v>80</v>
      </c>
      <c r="H283" t="s">
        <v>81</v>
      </c>
      <c r="P283">
        <v>0</v>
      </c>
      <c r="Q283" t="s">
        <v>86</v>
      </c>
      <c r="R283">
        <v>0</v>
      </c>
      <c r="S283">
        <v>0</v>
      </c>
      <c r="T283">
        <v>6400</v>
      </c>
      <c r="V283" t="s">
        <v>327</v>
      </c>
    </row>
    <row r="284" spans="1:36">
      <c r="A284" t="s">
        <v>929</v>
      </c>
      <c r="B284" t="s">
        <v>930</v>
      </c>
      <c r="C284">
        <v>3</v>
      </c>
      <c r="D284" t="s">
        <v>78</v>
      </c>
      <c r="E284" t="s">
        <v>125</v>
      </c>
      <c r="F284" t="s">
        <v>79</v>
      </c>
      <c r="G284" t="s">
        <v>80</v>
      </c>
      <c r="H284" t="s">
        <v>81</v>
      </c>
      <c r="I284" t="s">
        <v>82</v>
      </c>
      <c r="J284" t="s">
        <v>341</v>
      </c>
      <c r="K284" t="s">
        <v>931</v>
      </c>
      <c r="L284" t="s">
        <v>343</v>
      </c>
      <c r="O284" t="s">
        <v>177</v>
      </c>
      <c r="P284">
        <v>0</v>
      </c>
      <c r="Q284" t="s">
        <v>86</v>
      </c>
      <c r="R284">
        <v>0</v>
      </c>
      <c r="S284">
        <v>0</v>
      </c>
      <c r="T284">
        <v>9500</v>
      </c>
      <c r="U284">
        <v>963490089</v>
      </c>
      <c r="V284" t="s">
        <v>87</v>
      </c>
      <c r="W284" t="s">
        <v>932</v>
      </c>
      <c r="AB284" t="s">
        <v>933</v>
      </c>
      <c r="AC284" t="s">
        <v>90</v>
      </c>
      <c r="AD284">
        <v>4</v>
      </c>
      <c r="AE284" t="s">
        <v>101</v>
      </c>
      <c r="AF284" t="s">
        <v>102</v>
      </c>
      <c r="AH284">
        <v>5115014507</v>
      </c>
      <c r="AI284">
        <v>5115</v>
      </c>
      <c r="AJ284" t="s">
        <v>934</v>
      </c>
    </row>
    <row r="285" spans="1:36">
      <c r="A285" t="s">
        <v>935</v>
      </c>
      <c r="B285" t="s">
        <v>936</v>
      </c>
      <c r="C285">
        <v>3</v>
      </c>
      <c r="D285" t="s">
        <v>130</v>
      </c>
      <c r="E285" t="s">
        <v>125</v>
      </c>
      <c r="F285" t="s">
        <v>125</v>
      </c>
      <c r="G285" t="s">
        <v>80</v>
      </c>
      <c r="H285" t="s">
        <v>81</v>
      </c>
      <c r="I285" t="s">
        <v>82</v>
      </c>
      <c r="P285">
        <v>0</v>
      </c>
      <c r="Q285" t="s">
        <v>86</v>
      </c>
      <c r="R285">
        <v>0</v>
      </c>
      <c r="S285">
        <v>0</v>
      </c>
      <c r="T285">
        <v>7100</v>
      </c>
      <c r="U285">
        <v>963220077</v>
      </c>
      <c r="V285" t="s">
        <v>87</v>
      </c>
      <c r="W285" t="s">
        <v>932</v>
      </c>
      <c r="AB285" t="s">
        <v>933</v>
      </c>
      <c r="AC285" t="s">
        <v>90</v>
      </c>
      <c r="AD285">
        <v>4</v>
      </c>
      <c r="AH285">
        <v>5115014520</v>
      </c>
      <c r="AI285">
        <v>5115</v>
      </c>
      <c r="AJ285" t="s">
        <v>934</v>
      </c>
    </row>
    <row r="286" spans="1:36">
      <c r="A286" t="s">
        <v>937</v>
      </c>
      <c r="B286" t="s">
        <v>938</v>
      </c>
      <c r="C286">
        <v>4</v>
      </c>
      <c r="D286" t="s">
        <v>140</v>
      </c>
      <c r="E286" t="s">
        <v>79</v>
      </c>
      <c r="F286" t="s">
        <v>125</v>
      </c>
      <c r="G286" t="s">
        <v>80</v>
      </c>
      <c r="H286" t="s">
        <v>81</v>
      </c>
      <c r="P286">
        <v>0</v>
      </c>
      <c r="Q286" t="s">
        <v>86</v>
      </c>
      <c r="R286">
        <v>0</v>
      </c>
      <c r="S286">
        <v>0</v>
      </c>
      <c r="T286">
        <v>9999</v>
      </c>
      <c r="V286" t="s">
        <v>327</v>
      </c>
    </row>
    <row r="287" spans="1:36">
      <c r="A287" t="s">
        <v>939</v>
      </c>
      <c r="B287" t="s">
        <v>940</v>
      </c>
      <c r="C287">
        <v>4</v>
      </c>
      <c r="D287" t="s">
        <v>78</v>
      </c>
      <c r="E287" t="s">
        <v>79</v>
      </c>
      <c r="F287" t="s">
        <v>125</v>
      </c>
      <c r="G287" t="s">
        <v>80</v>
      </c>
      <c r="H287" t="s">
        <v>81</v>
      </c>
      <c r="P287">
        <v>0</v>
      </c>
      <c r="Q287" t="s">
        <v>86</v>
      </c>
      <c r="R287">
        <v>0</v>
      </c>
      <c r="S287">
        <v>0</v>
      </c>
      <c r="T287">
        <v>4040</v>
      </c>
      <c r="V287" t="s">
        <v>327</v>
      </c>
    </row>
    <row r="288" spans="1:36">
      <c r="A288" t="s">
        <v>941</v>
      </c>
      <c r="B288" t="s">
        <v>942</v>
      </c>
      <c r="C288">
        <v>4</v>
      </c>
      <c r="D288" t="s">
        <v>78</v>
      </c>
      <c r="E288" t="s">
        <v>79</v>
      </c>
      <c r="F288" t="s">
        <v>125</v>
      </c>
      <c r="G288" t="s">
        <v>80</v>
      </c>
      <c r="H288" t="s">
        <v>81</v>
      </c>
      <c r="P288">
        <v>0</v>
      </c>
      <c r="Q288" t="s">
        <v>86</v>
      </c>
      <c r="R288">
        <v>0</v>
      </c>
      <c r="S288">
        <v>0</v>
      </c>
      <c r="T288">
        <v>9999</v>
      </c>
      <c r="U288">
        <v>987620000</v>
      </c>
      <c r="V288" t="s">
        <v>327</v>
      </c>
      <c r="AH288">
        <v>5292000</v>
      </c>
      <c r="AI288">
        <v>5292</v>
      </c>
    </row>
    <row r="289" spans="1:36">
      <c r="A289" t="s">
        <v>943</v>
      </c>
      <c r="B289" t="s">
        <v>944</v>
      </c>
      <c r="C289">
        <v>4</v>
      </c>
      <c r="D289" t="s">
        <v>78</v>
      </c>
      <c r="E289" t="s">
        <v>79</v>
      </c>
      <c r="F289" t="s">
        <v>125</v>
      </c>
      <c r="G289" t="s">
        <v>80</v>
      </c>
      <c r="H289" t="s">
        <v>81</v>
      </c>
      <c r="P289">
        <v>0</v>
      </c>
      <c r="Q289" t="s">
        <v>86</v>
      </c>
      <c r="R289">
        <v>0</v>
      </c>
      <c r="S289">
        <v>0</v>
      </c>
      <c r="T289">
        <v>9999</v>
      </c>
      <c r="V289" t="s">
        <v>327</v>
      </c>
    </row>
    <row r="290" spans="1:36">
      <c r="A290" t="s">
        <v>945</v>
      </c>
      <c r="B290" t="s">
        <v>946</v>
      </c>
      <c r="C290">
        <v>4</v>
      </c>
      <c r="D290" t="s">
        <v>78</v>
      </c>
      <c r="E290" t="s">
        <v>79</v>
      </c>
      <c r="F290" t="s">
        <v>125</v>
      </c>
      <c r="G290" t="s">
        <v>80</v>
      </c>
      <c r="H290" t="s">
        <v>81</v>
      </c>
      <c r="P290">
        <v>0</v>
      </c>
      <c r="Q290" t="s">
        <v>86</v>
      </c>
      <c r="R290">
        <v>0</v>
      </c>
      <c r="S290">
        <v>0</v>
      </c>
      <c r="T290">
        <v>9999</v>
      </c>
      <c r="U290">
        <v>987660000</v>
      </c>
      <c r="V290" t="s">
        <v>327</v>
      </c>
      <c r="AH290">
        <v>8242876</v>
      </c>
      <c r="AI290">
        <v>8242</v>
      </c>
    </row>
    <row r="291" spans="1:36">
      <c r="A291" t="s">
        <v>947</v>
      </c>
      <c r="B291" t="s">
        <v>948</v>
      </c>
      <c r="C291">
        <v>4</v>
      </c>
      <c r="D291" t="s">
        <v>78</v>
      </c>
      <c r="E291" t="s">
        <v>79</v>
      </c>
      <c r="F291" t="s">
        <v>125</v>
      </c>
      <c r="G291" t="s">
        <v>80</v>
      </c>
      <c r="H291" t="s">
        <v>81</v>
      </c>
      <c r="P291">
        <v>0</v>
      </c>
      <c r="Q291" t="s">
        <v>86</v>
      </c>
      <c r="R291">
        <v>0</v>
      </c>
      <c r="S291">
        <v>0</v>
      </c>
      <c r="T291">
        <v>4040</v>
      </c>
      <c r="U291">
        <v>963131801</v>
      </c>
      <c r="V291" t="s">
        <v>327</v>
      </c>
    </row>
    <row r="292" spans="1:36">
      <c r="A292" t="s">
        <v>949</v>
      </c>
      <c r="B292" t="s">
        <v>950</v>
      </c>
      <c r="C292" t="s">
        <v>139</v>
      </c>
      <c r="D292" t="s">
        <v>949</v>
      </c>
      <c r="E292" t="s">
        <v>79</v>
      </c>
      <c r="F292" t="s">
        <v>125</v>
      </c>
      <c r="G292" t="s">
        <v>80</v>
      </c>
      <c r="H292" t="s">
        <v>81</v>
      </c>
      <c r="P292">
        <v>0</v>
      </c>
      <c r="Q292" t="s">
        <v>86</v>
      </c>
      <c r="R292">
        <v>0</v>
      </c>
      <c r="S292">
        <v>0</v>
      </c>
      <c r="T292">
        <v>9999</v>
      </c>
      <c r="V292" t="s">
        <v>327</v>
      </c>
      <c r="AH292">
        <v>4501000</v>
      </c>
      <c r="AI292">
        <v>4501</v>
      </c>
    </row>
    <row r="293" spans="1:36">
      <c r="A293" t="s">
        <v>951</v>
      </c>
      <c r="B293" t="s">
        <v>952</v>
      </c>
      <c r="C293">
        <v>1</v>
      </c>
      <c r="D293" t="s">
        <v>953</v>
      </c>
      <c r="E293" t="s">
        <v>79</v>
      </c>
      <c r="F293" t="s">
        <v>125</v>
      </c>
      <c r="G293" t="s">
        <v>80</v>
      </c>
      <c r="H293" t="s">
        <v>81</v>
      </c>
      <c r="P293">
        <v>0</v>
      </c>
      <c r="Q293" t="s">
        <v>86</v>
      </c>
      <c r="R293">
        <v>0</v>
      </c>
      <c r="S293">
        <v>0</v>
      </c>
      <c r="T293">
        <v>9999</v>
      </c>
      <c r="U293">
        <v>987700000</v>
      </c>
      <c r="V293" t="s">
        <v>327</v>
      </c>
      <c r="AH293">
        <v>8242600</v>
      </c>
      <c r="AI293">
        <v>8242</v>
      </c>
    </row>
    <row r="294" spans="1:36">
      <c r="A294" t="s">
        <v>954</v>
      </c>
      <c r="B294" t="s">
        <v>955</v>
      </c>
      <c r="C294">
        <v>4</v>
      </c>
      <c r="D294" t="s">
        <v>140</v>
      </c>
      <c r="E294" t="s">
        <v>79</v>
      </c>
      <c r="F294" t="s">
        <v>125</v>
      </c>
      <c r="G294" t="s">
        <v>80</v>
      </c>
      <c r="H294" t="s">
        <v>81</v>
      </c>
      <c r="P294">
        <v>0</v>
      </c>
      <c r="Q294" t="s">
        <v>86</v>
      </c>
      <c r="R294">
        <v>0</v>
      </c>
      <c r="S294">
        <v>0</v>
      </c>
      <c r="T294">
        <v>9999</v>
      </c>
      <c r="U294">
        <v>987670000</v>
      </c>
      <c r="V294" t="s">
        <v>327</v>
      </c>
      <c r="AH294">
        <v>8242040</v>
      </c>
      <c r="AI294">
        <v>8242</v>
      </c>
    </row>
    <row r="295" spans="1:36">
      <c r="A295" t="s">
        <v>956</v>
      </c>
      <c r="B295" t="s">
        <v>957</v>
      </c>
      <c r="C295">
        <v>4</v>
      </c>
      <c r="D295" t="s">
        <v>78</v>
      </c>
      <c r="E295" t="s">
        <v>79</v>
      </c>
      <c r="F295" t="s">
        <v>125</v>
      </c>
      <c r="G295" t="s">
        <v>80</v>
      </c>
      <c r="H295" t="s">
        <v>81</v>
      </c>
      <c r="P295">
        <v>0</v>
      </c>
      <c r="Q295" t="s">
        <v>86</v>
      </c>
      <c r="R295">
        <v>0</v>
      </c>
      <c r="S295">
        <v>0</v>
      </c>
      <c r="T295">
        <v>9500</v>
      </c>
      <c r="U295">
        <v>963501600</v>
      </c>
      <c r="V295" t="s">
        <v>327</v>
      </c>
    </row>
    <row r="296" spans="1:36">
      <c r="A296" t="s">
        <v>958</v>
      </c>
      <c r="B296" t="s">
        <v>959</v>
      </c>
      <c r="C296">
        <v>3</v>
      </c>
      <c r="D296" t="s">
        <v>130</v>
      </c>
      <c r="E296" t="s">
        <v>79</v>
      </c>
      <c r="F296" t="s">
        <v>79</v>
      </c>
      <c r="G296" t="s">
        <v>80</v>
      </c>
      <c r="H296" t="s">
        <v>81</v>
      </c>
      <c r="I296" t="s">
        <v>82</v>
      </c>
      <c r="J296" t="s">
        <v>301</v>
      </c>
      <c r="K296" t="s">
        <v>406</v>
      </c>
      <c r="L296">
        <v>4</v>
      </c>
      <c r="O296" t="s">
        <v>301</v>
      </c>
      <c r="P296">
        <v>0</v>
      </c>
      <c r="Q296" t="s">
        <v>86</v>
      </c>
      <c r="R296">
        <v>0</v>
      </c>
      <c r="S296">
        <v>0</v>
      </c>
      <c r="T296">
        <v>7100</v>
      </c>
      <c r="U296">
        <v>963221504</v>
      </c>
      <c r="V296" t="s">
        <v>87</v>
      </c>
      <c r="W296" t="s">
        <v>404</v>
      </c>
      <c r="AB296" t="s">
        <v>304</v>
      </c>
      <c r="AC296" t="s">
        <v>305</v>
      </c>
      <c r="AD296">
        <v>6</v>
      </c>
      <c r="AE296" t="s">
        <v>91</v>
      </c>
      <c r="AF296" t="s">
        <v>102</v>
      </c>
      <c r="AH296">
        <v>6173080015</v>
      </c>
      <c r="AI296">
        <v>6173</v>
      </c>
      <c r="AJ296" t="s">
        <v>407</v>
      </c>
    </row>
    <row r="297" spans="1:36">
      <c r="A297" t="s">
        <v>960</v>
      </c>
      <c r="B297" t="s">
        <v>961</v>
      </c>
      <c r="C297">
        <v>3</v>
      </c>
      <c r="D297" t="s">
        <v>78</v>
      </c>
      <c r="E297" t="s">
        <v>79</v>
      </c>
      <c r="F297" t="s">
        <v>79</v>
      </c>
      <c r="G297" t="s">
        <v>80</v>
      </c>
      <c r="H297" t="s">
        <v>81</v>
      </c>
      <c r="I297" t="s">
        <v>82</v>
      </c>
      <c r="J297" t="s">
        <v>301</v>
      </c>
      <c r="K297" t="s">
        <v>406</v>
      </c>
      <c r="L297">
        <v>4</v>
      </c>
      <c r="O297" t="s">
        <v>301</v>
      </c>
      <c r="P297">
        <v>0</v>
      </c>
      <c r="Q297" t="s">
        <v>86</v>
      </c>
      <c r="R297">
        <v>0</v>
      </c>
      <c r="S297">
        <v>0</v>
      </c>
      <c r="T297">
        <v>9500</v>
      </c>
      <c r="U297">
        <v>963472000</v>
      </c>
      <c r="V297" t="s">
        <v>87</v>
      </c>
      <c r="W297" t="s">
        <v>404</v>
      </c>
      <c r="AB297" t="s">
        <v>304</v>
      </c>
      <c r="AC297" t="s">
        <v>305</v>
      </c>
      <c r="AD297">
        <v>6</v>
      </c>
      <c r="AE297" t="s">
        <v>91</v>
      </c>
      <c r="AF297" t="s">
        <v>102</v>
      </c>
      <c r="AH297">
        <v>6173080005</v>
      </c>
      <c r="AI297">
        <v>6173</v>
      </c>
      <c r="AJ297" t="s">
        <v>407</v>
      </c>
    </row>
    <row r="298" spans="1:36">
      <c r="A298" t="s">
        <v>962</v>
      </c>
      <c r="B298" t="s">
        <v>963</v>
      </c>
      <c r="C298">
        <v>3</v>
      </c>
      <c r="D298" t="s">
        <v>174</v>
      </c>
      <c r="E298" t="s">
        <v>79</v>
      </c>
      <c r="F298" t="s">
        <v>79</v>
      </c>
      <c r="G298" t="s">
        <v>80</v>
      </c>
      <c r="H298" t="s">
        <v>81</v>
      </c>
      <c r="I298" t="s">
        <v>82</v>
      </c>
      <c r="J298" t="s">
        <v>301</v>
      </c>
      <c r="K298" t="s">
        <v>406</v>
      </c>
      <c r="L298">
        <v>4</v>
      </c>
      <c r="O298" t="s">
        <v>301</v>
      </c>
      <c r="P298">
        <v>0</v>
      </c>
      <c r="Q298" t="s">
        <v>86</v>
      </c>
      <c r="R298">
        <v>0</v>
      </c>
      <c r="S298">
        <v>0</v>
      </c>
      <c r="T298">
        <v>3000</v>
      </c>
      <c r="V298" t="s">
        <v>87</v>
      </c>
      <c r="W298" t="s">
        <v>404</v>
      </c>
      <c r="AB298" t="s">
        <v>304</v>
      </c>
      <c r="AC298" t="s">
        <v>305</v>
      </c>
      <c r="AD298">
        <v>6</v>
      </c>
      <c r="AE298" t="s">
        <v>91</v>
      </c>
      <c r="AF298" t="s">
        <v>102</v>
      </c>
      <c r="AH298">
        <v>6173080018</v>
      </c>
      <c r="AI298">
        <v>6173</v>
      </c>
      <c r="AJ298" t="s">
        <v>407</v>
      </c>
    </row>
    <row r="299" spans="1:36">
      <c r="A299" t="s">
        <v>964</v>
      </c>
      <c r="B299" t="s">
        <v>965</v>
      </c>
      <c r="C299">
        <v>3</v>
      </c>
      <c r="D299" t="s">
        <v>174</v>
      </c>
      <c r="E299" t="s">
        <v>79</v>
      </c>
      <c r="F299" t="s">
        <v>125</v>
      </c>
      <c r="G299" t="s">
        <v>80</v>
      </c>
      <c r="H299" t="s">
        <v>81</v>
      </c>
      <c r="P299">
        <v>0</v>
      </c>
      <c r="Q299" t="s">
        <v>86</v>
      </c>
      <c r="R299">
        <v>0</v>
      </c>
      <c r="S299">
        <v>0</v>
      </c>
      <c r="T299">
        <v>4885</v>
      </c>
      <c r="U299">
        <v>963195000</v>
      </c>
      <c r="V299" t="s">
        <v>327</v>
      </c>
    </row>
    <row r="300" spans="1:36">
      <c r="A300" t="s">
        <v>966</v>
      </c>
      <c r="B300" t="s">
        <v>967</v>
      </c>
      <c r="C300">
        <v>4</v>
      </c>
      <c r="D300" t="s">
        <v>78</v>
      </c>
      <c r="E300" t="s">
        <v>79</v>
      </c>
      <c r="F300" t="s">
        <v>125</v>
      </c>
      <c r="G300" t="s">
        <v>80</v>
      </c>
      <c r="H300" t="s">
        <v>81</v>
      </c>
      <c r="P300">
        <v>0</v>
      </c>
      <c r="Q300" t="s">
        <v>86</v>
      </c>
      <c r="R300">
        <v>0</v>
      </c>
      <c r="S300">
        <v>0</v>
      </c>
      <c r="T300">
        <v>3000</v>
      </c>
      <c r="V300" t="s">
        <v>327</v>
      </c>
    </row>
    <row r="301" spans="1:36">
      <c r="A301" t="s">
        <v>968</v>
      </c>
      <c r="B301" t="s">
        <v>969</v>
      </c>
      <c r="C301">
        <v>4</v>
      </c>
      <c r="D301" t="s">
        <v>78</v>
      </c>
      <c r="E301" t="s">
        <v>79</v>
      </c>
      <c r="F301" t="s">
        <v>125</v>
      </c>
      <c r="G301" t="s">
        <v>80</v>
      </c>
      <c r="H301" t="s">
        <v>81</v>
      </c>
      <c r="P301">
        <v>0</v>
      </c>
      <c r="Q301" t="s">
        <v>86</v>
      </c>
      <c r="R301">
        <v>0</v>
      </c>
      <c r="S301">
        <v>0</v>
      </c>
      <c r="T301">
        <v>7100</v>
      </c>
      <c r="U301">
        <v>963221100</v>
      </c>
      <c r="V301" t="s">
        <v>327</v>
      </c>
    </row>
    <row r="302" spans="1:36">
      <c r="A302" t="s">
        <v>466</v>
      </c>
      <c r="B302" t="s">
        <v>970</v>
      </c>
      <c r="C302">
        <v>3</v>
      </c>
      <c r="D302" t="s">
        <v>78</v>
      </c>
      <c r="E302" t="s">
        <v>79</v>
      </c>
      <c r="F302" t="s">
        <v>79</v>
      </c>
      <c r="G302" t="s">
        <v>80</v>
      </c>
      <c r="H302" t="s">
        <v>81</v>
      </c>
      <c r="I302" t="s">
        <v>82</v>
      </c>
      <c r="J302" t="s">
        <v>411</v>
      </c>
      <c r="K302" t="s">
        <v>412</v>
      </c>
      <c r="L302">
        <v>1</v>
      </c>
      <c r="O302" t="s">
        <v>411</v>
      </c>
      <c r="P302">
        <v>0</v>
      </c>
      <c r="Q302" t="s">
        <v>86</v>
      </c>
      <c r="R302">
        <v>0</v>
      </c>
      <c r="S302">
        <v>0</v>
      </c>
      <c r="T302">
        <v>9500</v>
      </c>
      <c r="U302">
        <v>96350</v>
      </c>
      <c r="V302">
        <v>4</v>
      </c>
      <c r="W302" t="s">
        <v>413</v>
      </c>
      <c r="AB302" t="s">
        <v>142</v>
      </c>
      <c r="AC302" t="s">
        <v>90</v>
      </c>
      <c r="AD302">
        <v>6</v>
      </c>
      <c r="AE302" t="s">
        <v>91</v>
      </c>
      <c r="AF302" t="s">
        <v>102</v>
      </c>
      <c r="AH302">
        <v>3435098000</v>
      </c>
      <c r="AI302">
        <v>3435</v>
      </c>
      <c r="AJ302" t="s">
        <v>143</v>
      </c>
    </row>
    <row r="303" spans="1:36">
      <c r="A303" t="s">
        <v>562</v>
      </c>
      <c r="B303" t="s">
        <v>971</v>
      </c>
      <c r="C303">
        <v>4</v>
      </c>
      <c r="D303" t="s">
        <v>78</v>
      </c>
      <c r="E303" t="s">
        <v>79</v>
      </c>
      <c r="F303" t="s">
        <v>79</v>
      </c>
      <c r="G303" t="s">
        <v>80</v>
      </c>
      <c r="H303" t="s">
        <v>81</v>
      </c>
      <c r="I303" t="s">
        <v>82</v>
      </c>
      <c r="J303" t="s">
        <v>106</v>
      </c>
      <c r="K303" t="s">
        <v>107</v>
      </c>
      <c r="L303" s="1">
        <v>45328</v>
      </c>
      <c r="N303" t="s">
        <v>108</v>
      </c>
      <c r="O303" t="s">
        <v>98</v>
      </c>
      <c r="P303">
        <v>0</v>
      </c>
      <c r="Q303" t="s">
        <v>86</v>
      </c>
      <c r="R303">
        <v>0</v>
      </c>
      <c r="S303">
        <v>0</v>
      </c>
      <c r="T303">
        <v>9500</v>
      </c>
      <c r="U303">
        <v>963492902</v>
      </c>
      <c r="V303">
        <v>5</v>
      </c>
      <c r="W303" t="s">
        <v>785</v>
      </c>
      <c r="AB303" t="s">
        <v>110</v>
      </c>
      <c r="AC303" t="s">
        <v>90</v>
      </c>
      <c r="AD303">
        <v>6</v>
      </c>
      <c r="AE303" t="s">
        <v>101</v>
      </c>
      <c r="AF303" t="s">
        <v>102</v>
      </c>
      <c r="AH303">
        <v>3483003300</v>
      </c>
      <c r="AI303">
        <v>3483</v>
      </c>
      <c r="AJ303" t="s">
        <v>563</v>
      </c>
    </row>
    <row r="304" spans="1:36">
      <c r="A304" t="s">
        <v>972</v>
      </c>
      <c r="B304" t="s">
        <v>973</v>
      </c>
      <c r="C304">
        <v>4</v>
      </c>
      <c r="D304" t="s">
        <v>78</v>
      </c>
      <c r="E304" t="s">
        <v>79</v>
      </c>
      <c r="F304" t="s">
        <v>79</v>
      </c>
      <c r="G304" t="s">
        <v>80</v>
      </c>
      <c r="H304" t="s">
        <v>81</v>
      </c>
      <c r="I304" t="s">
        <v>82</v>
      </c>
      <c r="J304" t="s">
        <v>175</v>
      </c>
      <c r="K304" t="s">
        <v>176</v>
      </c>
      <c r="L304">
        <v>1</v>
      </c>
      <c r="O304" t="s">
        <v>177</v>
      </c>
      <c r="P304">
        <v>0</v>
      </c>
      <c r="Q304" t="s">
        <v>86</v>
      </c>
      <c r="R304">
        <v>0</v>
      </c>
      <c r="S304">
        <v>0</v>
      </c>
      <c r="T304">
        <v>9500</v>
      </c>
      <c r="U304">
        <v>963492400</v>
      </c>
      <c r="V304">
        <v>3</v>
      </c>
      <c r="W304" t="s">
        <v>974</v>
      </c>
      <c r="AB304" t="s">
        <v>179</v>
      </c>
      <c r="AC304" t="s">
        <v>90</v>
      </c>
      <c r="AD304">
        <v>6</v>
      </c>
      <c r="AE304" t="s">
        <v>91</v>
      </c>
      <c r="AF304" t="s">
        <v>102</v>
      </c>
      <c r="AH304">
        <v>3014051600</v>
      </c>
      <c r="AI304">
        <v>3014</v>
      </c>
      <c r="AJ304" t="s">
        <v>180</v>
      </c>
    </row>
    <row r="305" spans="1:36">
      <c r="A305" t="s">
        <v>975</v>
      </c>
      <c r="B305" t="s">
        <v>976</v>
      </c>
      <c r="C305">
        <v>4</v>
      </c>
      <c r="D305" t="s">
        <v>190</v>
      </c>
      <c r="E305" t="s">
        <v>79</v>
      </c>
      <c r="F305" t="s">
        <v>125</v>
      </c>
      <c r="G305" t="s">
        <v>80</v>
      </c>
      <c r="H305" t="s">
        <v>81</v>
      </c>
      <c r="P305">
        <v>0</v>
      </c>
      <c r="Q305" t="s">
        <v>86</v>
      </c>
      <c r="R305">
        <v>0</v>
      </c>
      <c r="S305">
        <v>0</v>
      </c>
      <c r="T305">
        <v>5615</v>
      </c>
      <c r="U305">
        <v>987700000</v>
      </c>
      <c r="V305" t="s">
        <v>327</v>
      </c>
    </row>
    <row r="306" spans="1:36">
      <c r="A306" t="s">
        <v>977</v>
      </c>
      <c r="B306" t="s">
        <v>978</v>
      </c>
      <c r="C306">
        <v>4</v>
      </c>
      <c r="D306" t="s">
        <v>140</v>
      </c>
      <c r="E306" t="s">
        <v>79</v>
      </c>
      <c r="F306" t="s">
        <v>125</v>
      </c>
      <c r="G306" t="s">
        <v>80</v>
      </c>
      <c r="H306" t="s">
        <v>81</v>
      </c>
      <c r="P306">
        <v>0</v>
      </c>
      <c r="Q306" t="s">
        <v>86</v>
      </c>
      <c r="R306">
        <v>0</v>
      </c>
      <c r="S306">
        <v>0</v>
      </c>
      <c r="T306">
        <v>4885</v>
      </c>
      <c r="U306">
        <v>965190000</v>
      </c>
      <c r="V306" t="s">
        <v>327</v>
      </c>
    </row>
    <row r="307" spans="1:36">
      <c r="A307" t="s">
        <v>979</v>
      </c>
      <c r="B307" t="s">
        <v>980</v>
      </c>
      <c r="C307" t="s">
        <v>139</v>
      </c>
      <c r="D307" t="s">
        <v>140</v>
      </c>
      <c r="E307" t="s">
        <v>79</v>
      </c>
      <c r="F307" t="s">
        <v>125</v>
      </c>
      <c r="G307" t="s">
        <v>80</v>
      </c>
      <c r="H307" t="s">
        <v>81</v>
      </c>
      <c r="P307">
        <v>0</v>
      </c>
      <c r="Q307" t="s">
        <v>86</v>
      </c>
      <c r="R307">
        <v>0</v>
      </c>
      <c r="S307">
        <v>0</v>
      </c>
      <c r="T307">
        <v>9500</v>
      </c>
      <c r="U307">
        <v>963491100</v>
      </c>
      <c r="V307" t="s">
        <v>327</v>
      </c>
    </row>
    <row r="308" spans="1:36">
      <c r="A308" t="s">
        <v>981</v>
      </c>
      <c r="B308" t="s">
        <v>982</v>
      </c>
      <c r="C308">
        <v>3</v>
      </c>
      <c r="D308" t="s">
        <v>78</v>
      </c>
      <c r="E308" t="s">
        <v>79</v>
      </c>
      <c r="F308" t="s">
        <v>125</v>
      </c>
      <c r="G308" t="s">
        <v>80</v>
      </c>
      <c r="H308" t="s">
        <v>81</v>
      </c>
      <c r="P308">
        <v>0</v>
      </c>
      <c r="Q308" t="s">
        <v>86</v>
      </c>
      <c r="R308">
        <v>0</v>
      </c>
      <c r="S308">
        <v>0</v>
      </c>
      <c r="T308">
        <v>7100</v>
      </c>
      <c r="U308">
        <v>966014616</v>
      </c>
      <c r="V308" t="s">
        <v>327</v>
      </c>
    </row>
    <row r="309" spans="1:36">
      <c r="A309" t="s">
        <v>983</v>
      </c>
      <c r="B309" t="s">
        <v>984</v>
      </c>
      <c r="C309">
        <v>4</v>
      </c>
      <c r="D309" t="s">
        <v>78</v>
      </c>
      <c r="E309" t="s">
        <v>79</v>
      </c>
      <c r="F309" t="s">
        <v>79</v>
      </c>
      <c r="G309" t="s">
        <v>80</v>
      </c>
      <c r="H309" t="s">
        <v>81</v>
      </c>
      <c r="I309" t="s">
        <v>82</v>
      </c>
      <c r="J309" t="s">
        <v>95</v>
      </c>
      <c r="K309" t="s">
        <v>389</v>
      </c>
      <c r="L309" s="1">
        <v>45328</v>
      </c>
      <c r="M309" t="s">
        <v>385</v>
      </c>
      <c r="O309" t="s">
        <v>98</v>
      </c>
      <c r="P309">
        <v>0</v>
      </c>
      <c r="Q309" t="s">
        <v>86</v>
      </c>
      <c r="R309">
        <v>0</v>
      </c>
      <c r="S309">
        <v>0</v>
      </c>
      <c r="T309">
        <v>9500</v>
      </c>
      <c r="U309">
        <v>963490051</v>
      </c>
      <c r="V309">
        <v>3</v>
      </c>
      <c r="W309" t="s">
        <v>519</v>
      </c>
      <c r="AB309" t="s">
        <v>100</v>
      </c>
      <c r="AC309" t="s">
        <v>90</v>
      </c>
      <c r="AD309">
        <v>6</v>
      </c>
      <c r="AE309" t="s">
        <v>101</v>
      </c>
      <c r="AF309" t="s">
        <v>102</v>
      </c>
      <c r="AH309">
        <v>3195046600</v>
      </c>
      <c r="AI309">
        <v>3195</v>
      </c>
      <c r="AJ309" t="s">
        <v>985</v>
      </c>
    </row>
    <row r="310" spans="1:36">
      <c r="A310" t="s">
        <v>986</v>
      </c>
      <c r="B310" t="s">
        <v>987</v>
      </c>
      <c r="C310">
        <v>4</v>
      </c>
      <c r="D310" t="s">
        <v>140</v>
      </c>
      <c r="E310" t="s">
        <v>125</v>
      </c>
      <c r="F310" t="s">
        <v>125</v>
      </c>
      <c r="G310" t="s">
        <v>80</v>
      </c>
      <c r="H310" t="s">
        <v>81</v>
      </c>
      <c r="P310">
        <v>0</v>
      </c>
      <c r="Q310" t="s">
        <v>86</v>
      </c>
      <c r="R310">
        <v>0</v>
      </c>
      <c r="S310">
        <v>0</v>
      </c>
      <c r="T310">
        <v>9999</v>
      </c>
      <c r="U310">
        <v>987700000</v>
      </c>
      <c r="V310" t="s">
        <v>327</v>
      </c>
      <c r="AH310">
        <v>5701900</v>
      </c>
      <c r="AI310">
        <v>5701</v>
      </c>
    </row>
    <row r="311" spans="1:36">
      <c r="A311" t="s">
        <v>988</v>
      </c>
      <c r="B311" t="s">
        <v>989</v>
      </c>
      <c r="C311" t="s">
        <v>139</v>
      </c>
      <c r="D311" t="s">
        <v>507</v>
      </c>
      <c r="E311" t="s">
        <v>79</v>
      </c>
      <c r="F311" t="s">
        <v>125</v>
      </c>
      <c r="G311" t="s">
        <v>80</v>
      </c>
      <c r="H311" t="s">
        <v>81</v>
      </c>
      <c r="P311">
        <v>0</v>
      </c>
      <c r="Q311" t="s">
        <v>86</v>
      </c>
      <c r="R311">
        <v>0</v>
      </c>
      <c r="S311">
        <v>0</v>
      </c>
      <c r="T311">
        <v>7100</v>
      </c>
      <c r="U311">
        <v>987660000</v>
      </c>
      <c r="V311" t="s">
        <v>327</v>
      </c>
      <c r="AH311">
        <v>3128900</v>
      </c>
      <c r="AI311">
        <v>3128</v>
      </c>
    </row>
    <row r="312" spans="1:36">
      <c r="A312" t="s">
        <v>990</v>
      </c>
      <c r="B312" t="s">
        <v>991</v>
      </c>
      <c r="C312">
        <v>3</v>
      </c>
      <c r="D312" t="s">
        <v>78</v>
      </c>
      <c r="E312" t="s">
        <v>79</v>
      </c>
      <c r="F312" t="s">
        <v>125</v>
      </c>
      <c r="G312" t="s">
        <v>80</v>
      </c>
      <c r="H312" t="s">
        <v>81</v>
      </c>
      <c r="I312" t="s">
        <v>82</v>
      </c>
      <c r="P312">
        <v>0</v>
      </c>
      <c r="Q312" t="s">
        <v>86</v>
      </c>
      <c r="R312">
        <v>0</v>
      </c>
      <c r="S312">
        <v>0</v>
      </c>
      <c r="T312">
        <v>9500</v>
      </c>
      <c r="U312">
        <v>963501690</v>
      </c>
      <c r="V312" t="s">
        <v>327</v>
      </c>
      <c r="AH312">
        <v>2742960</v>
      </c>
      <c r="AI312">
        <v>2742</v>
      </c>
    </row>
    <row r="313" spans="1:36">
      <c r="A313" t="s">
        <v>992</v>
      </c>
      <c r="B313" t="s">
        <v>993</v>
      </c>
      <c r="C313">
        <v>1</v>
      </c>
      <c r="D313" t="s">
        <v>140</v>
      </c>
      <c r="E313" t="s">
        <v>79</v>
      </c>
      <c r="F313" t="s">
        <v>125</v>
      </c>
      <c r="G313" t="s">
        <v>80</v>
      </c>
      <c r="H313" t="s">
        <v>81</v>
      </c>
      <c r="P313">
        <v>0</v>
      </c>
      <c r="Q313" t="s">
        <v>86</v>
      </c>
      <c r="R313">
        <v>0</v>
      </c>
      <c r="S313">
        <v>0</v>
      </c>
      <c r="T313">
        <v>9999</v>
      </c>
      <c r="V313" t="s">
        <v>327</v>
      </c>
      <c r="AH313">
        <v>4488925</v>
      </c>
      <c r="AI313">
        <v>4488</v>
      </c>
    </row>
    <row r="314" spans="1:36">
      <c r="A314" t="s">
        <v>994</v>
      </c>
      <c r="B314" t="s">
        <v>995</v>
      </c>
      <c r="C314">
        <v>4</v>
      </c>
      <c r="D314" t="s">
        <v>140</v>
      </c>
      <c r="E314" t="s">
        <v>79</v>
      </c>
      <c r="F314" t="s">
        <v>125</v>
      </c>
      <c r="G314" t="s">
        <v>80</v>
      </c>
      <c r="H314" t="s">
        <v>81</v>
      </c>
      <c r="P314">
        <v>0</v>
      </c>
      <c r="Q314" t="s">
        <v>86</v>
      </c>
      <c r="R314">
        <v>0</v>
      </c>
      <c r="S314">
        <v>0</v>
      </c>
      <c r="T314">
        <v>9999</v>
      </c>
      <c r="U314">
        <v>963700060</v>
      </c>
      <c r="V314" t="s">
        <v>327</v>
      </c>
    </row>
    <row r="315" spans="1:36">
      <c r="A315" t="s">
        <v>996</v>
      </c>
      <c r="B315" t="s">
        <v>997</v>
      </c>
      <c r="C315">
        <v>1</v>
      </c>
      <c r="D315" t="s">
        <v>78</v>
      </c>
      <c r="E315" t="s">
        <v>79</v>
      </c>
      <c r="F315" t="s">
        <v>125</v>
      </c>
      <c r="G315" t="s">
        <v>80</v>
      </c>
      <c r="H315" t="s">
        <v>81</v>
      </c>
      <c r="P315">
        <v>0</v>
      </c>
      <c r="Q315" t="s">
        <v>86</v>
      </c>
      <c r="R315">
        <v>0</v>
      </c>
      <c r="S315">
        <v>0</v>
      </c>
      <c r="T315">
        <v>9999</v>
      </c>
      <c r="U315">
        <v>987680000</v>
      </c>
      <c r="V315" t="s">
        <v>327</v>
      </c>
      <c r="AH315">
        <v>5293000</v>
      </c>
      <c r="AI315">
        <v>5293</v>
      </c>
    </row>
    <row r="316" spans="1:36">
      <c r="A316" t="s">
        <v>998</v>
      </c>
      <c r="B316" t="s">
        <v>999</v>
      </c>
      <c r="C316">
        <v>3</v>
      </c>
      <c r="D316" t="s">
        <v>174</v>
      </c>
      <c r="E316" t="s">
        <v>79</v>
      </c>
      <c r="F316" t="s">
        <v>79</v>
      </c>
      <c r="G316" t="s">
        <v>80</v>
      </c>
      <c r="H316" t="s">
        <v>81</v>
      </c>
      <c r="I316" t="s">
        <v>82</v>
      </c>
      <c r="J316" t="s">
        <v>95</v>
      </c>
      <c r="K316" t="s">
        <v>184</v>
      </c>
      <c r="L316">
        <v>98</v>
      </c>
      <c r="N316" t="s">
        <v>185</v>
      </c>
      <c r="O316" t="s">
        <v>98</v>
      </c>
      <c r="P316">
        <v>0</v>
      </c>
      <c r="Q316" t="s">
        <v>86</v>
      </c>
      <c r="R316">
        <v>0</v>
      </c>
      <c r="S316">
        <v>0</v>
      </c>
      <c r="T316">
        <v>4885</v>
      </c>
      <c r="U316">
        <v>96319</v>
      </c>
      <c r="V316" t="s">
        <v>87</v>
      </c>
      <c r="W316" t="s">
        <v>204</v>
      </c>
      <c r="AB316" t="s">
        <v>205</v>
      </c>
      <c r="AC316" t="s">
        <v>90</v>
      </c>
      <c r="AD316">
        <v>6</v>
      </c>
      <c r="AE316" t="s">
        <v>101</v>
      </c>
      <c r="AF316" t="s">
        <v>102</v>
      </c>
      <c r="AH316">
        <v>2333092010</v>
      </c>
      <c r="AI316">
        <v>2333</v>
      </c>
      <c r="AJ316" t="s">
        <v>206</v>
      </c>
    </row>
    <row r="317" spans="1:36">
      <c r="A317" t="s">
        <v>1000</v>
      </c>
      <c r="B317" t="s">
        <v>1001</v>
      </c>
      <c r="C317">
        <v>3</v>
      </c>
      <c r="D317" t="s">
        <v>130</v>
      </c>
      <c r="E317" t="s">
        <v>79</v>
      </c>
      <c r="F317" t="s">
        <v>79</v>
      </c>
      <c r="G317" t="s">
        <v>80</v>
      </c>
      <c r="H317" t="s">
        <v>81</v>
      </c>
      <c r="I317" t="s">
        <v>82</v>
      </c>
      <c r="J317" t="s">
        <v>153</v>
      </c>
      <c r="K317" t="s">
        <v>1002</v>
      </c>
      <c r="L317">
        <v>96</v>
      </c>
      <c r="N317" t="s">
        <v>155</v>
      </c>
      <c r="O317" t="s">
        <v>156</v>
      </c>
      <c r="P317">
        <v>0</v>
      </c>
      <c r="Q317" t="s">
        <v>86</v>
      </c>
      <c r="R317">
        <v>0</v>
      </c>
      <c r="S317">
        <v>0</v>
      </c>
      <c r="T317">
        <v>7100</v>
      </c>
      <c r="V317" t="s">
        <v>87</v>
      </c>
      <c r="W317" t="s">
        <v>1003</v>
      </c>
      <c r="AB317" t="s">
        <v>216</v>
      </c>
      <c r="AC317" t="s">
        <v>90</v>
      </c>
      <c r="AD317">
        <v>6</v>
      </c>
      <c r="AE317" t="s">
        <v>160</v>
      </c>
      <c r="AF317" t="s">
        <v>102</v>
      </c>
      <c r="AH317">
        <v>1980850014</v>
      </c>
      <c r="AI317">
        <v>1980</v>
      </c>
      <c r="AJ317" t="s">
        <v>620</v>
      </c>
    </row>
    <row r="318" spans="1:36">
      <c r="A318" t="s">
        <v>1004</v>
      </c>
      <c r="B318" t="s">
        <v>1005</v>
      </c>
      <c r="C318">
        <v>4</v>
      </c>
      <c r="D318" t="s">
        <v>78</v>
      </c>
      <c r="E318" t="s">
        <v>79</v>
      </c>
      <c r="F318" t="s">
        <v>125</v>
      </c>
      <c r="G318" t="s">
        <v>80</v>
      </c>
      <c r="H318" t="s">
        <v>81</v>
      </c>
      <c r="P318">
        <v>0</v>
      </c>
      <c r="Q318" t="s">
        <v>86</v>
      </c>
      <c r="R318">
        <v>0</v>
      </c>
      <c r="S318">
        <v>0</v>
      </c>
      <c r="T318">
        <v>9500</v>
      </c>
      <c r="V318" t="s">
        <v>327</v>
      </c>
      <c r="AH318">
        <v>6520602</v>
      </c>
      <c r="AI318">
        <v>6520</v>
      </c>
    </row>
    <row r="319" spans="1:36">
      <c r="A319" t="s">
        <v>1006</v>
      </c>
      <c r="B319" t="s">
        <v>1007</v>
      </c>
      <c r="C319">
        <v>3</v>
      </c>
      <c r="D319" t="s">
        <v>174</v>
      </c>
      <c r="E319" t="s">
        <v>79</v>
      </c>
      <c r="F319" t="s">
        <v>79</v>
      </c>
      <c r="G319" t="s">
        <v>80</v>
      </c>
      <c r="H319" t="s">
        <v>81</v>
      </c>
      <c r="I319" t="s">
        <v>82</v>
      </c>
      <c r="J319" t="s">
        <v>1008</v>
      </c>
      <c r="K319" t="s">
        <v>1008</v>
      </c>
      <c r="L319" t="s">
        <v>84</v>
      </c>
      <c r="O319" t="s">
        <v>85</v>
      </c>
      <c r="P319">
        <v>0</v>
      </c>
      <c r="Q319" t="s">
        <v>86</v>
      </c>
      <c r="R319">
        <v>0</v>
      </c>
      <c r="S319">
        <v>0</v>
      </c>
      <c r="T319">
        <v>600</v>
      </c>
      <c r="V319" t="s">
        <v>87</v>
      </c>
      <c r="W319" t="s">
        <v>1009</v>
      </c>
      <c r="AB319" t="s">
        <v>1008</v>
      </c>
      <c r="AC319" t="s">
        <v>90</v>
      </c>
      <c r="AD319">
        <v>6</v>
      </c>
      <c r="AE319" t="s">
        <v>91</v>
      </c>
      <c r="AF319" t="s">
        <v>92</v>
      </c>
      <c r="AH319">
        <v>9575040012</v>
      </c>
      <c r="AI319">
        <v>9575</v>
      </c>
      <c r="AJ319" t="s">
        <v>1008</v>
      </c>
    </row>
    <row r="320" spans="1:36">
      <c r="A320" t="s">
        <v>1010</v>
      </c>
      <c r="B320" t="s">
        <v>1011</v>
      </c>
      <c r="C320">
        <v>3</v>
      </c>
      <c r="D320" t="s">
        <v>190</v>
      </c>
      <c r="E320" t="s">
        <v>79</v>
      </c>
      <c r="F320" t="s">
        <v>79</v>
      </c>
      <c r="G320" t="s">
        <v>80</v>
      </c>
      <c r="H320" t="s">
        <v>81</v>
      </c>
      <c r="I320" t="s">
        <v>82</v>
      </c>
      <c r="J320" t="s">
        <v>223</v>
      </c>
      <c r="K320" t="s">
        <v>224</v>
      </c>
      <c r="L320" t="s">
        <v>84</v>
      </c>
      <c r="O320" t="s">
        <v>85</v>
      </c>
      <c r="P320">
        <v>0</v>
      </c>
      <c r="Q320" t="s">
        <v>86</v>
      </c>
      <c r="R320">
        <v>0</v>
      </c>
      <c r="S320">
        <v>0</v>
      </c>
      <c r="T320">
        <v>2100</v>
      </c>
      <c r="V320" t="s">
        <v>87</v>
      </c>
      <c r="W320" t="s">
        <v>225</v>
      </c>
      <c r="AB320" t="s">
        <v>226</v>
      </c>
      <c r="AC320" t="s">
        <v>90</v>
      </c>
      <c r="AD320">
        <v>6</v>
      </c>
      <c r="AE320" t="s">
        <v>91</v>
      </c>
      <c r="AF320" t="s">
        <v>92</v>
      </c>
      <c r="AH320">
        <v>9515000229</v>
      </c>
      <c r="AI320">
        <v>9515</v>
      </c>
      <c r="AJ320" t="s">
        <v>227</v>
      </c>
    </row>
    <row r="321" spans="1:36">
      <c r="A321" t="s">
        <v>1012</v>
      </c>
      <c r="B321" t="s">
        <v>1013</v>
      </c>
      <c r="C321">
        <v>3</v>
      </c>
      <c r="D321" t="s">
        <v>183</v>
      </c>
      <c r="E321" t="s">
        <v>79</v>
      </c>
      <c r="F321" t="s">
        <v>125</v>
      </c>
      <c r="G321" t="s">
        <v>80</v>
      </c>
      <c r="H321" t="s">
        <v>81</v>
      </c>
      <c r="I321" t="s">
        <v>82</v>
      </c>
      <c r="P321">
        <v>0</v>
      </c>
      <c r="Q321" t="s">
        <v>86</v>
      </c>
      <c r="R321">
        <v>0</v>
      </c>
      <c r="S321">
        <v>0</v>
      </c>
      <c r="T321">
        <v>3800</v>
      </c>
      <c r="V321" t="s">
        <v>87</v>
      </c>
      <c r="W321" t="s">
        <v>413</v>
      </c>
      <c r="AB321" t="s">
        <v>1014</v>
      </c>
      <c r="AC321" t="s">
        <v>90</v>
      </c>
      <c r="AD321">
        <v>6</v>
      </c>
      <c r="AH321">
        <v>4170032025</v>
      </c>
      <c r="AI321">
        <v>4170</v>
      </c>
      <c r="AJ321" t="s">
        <v>1015</v>
      </c>
    </row>
    <row r="322" spans="1:36">
      <c r="A322" t="s">
        <v>1016</v>
      </c>
      <c r="B322" t="s">
        <v>1017</v>
      </c>
      <c r="C322">
        <v>3</v>
      </c>
      <c r="D322" t="s">
        <v>133</v>
      </c>
      <c r="E322" t="s">
        <v>79</v>
      </c>
      <c r="F322" t="s">
        <v>79</v>
      </c>
      <c r="G322" t="s">
        <v>80</v>
      </c>
      <c r="H322" t="s">
        <v>81</v>
      </c>
      <c r="I322" t="s">
        <v>82</v>
      </c>
      <c r="J322" t="s">
        <v>114</v>
      </c>
      <c r="K322" t="s">
        <v>115</v>
      </c>
      <c r="L322">
        <v>4</v>
      </c>
      <c r="O322" t="s">
        <v>98</v>
      </c>
      <c r="P322">
        <v>0</v>
      </c>
      <c r="Q322" t="s">
        <v>86</v>
      </c>
      <c r="R322">
        <v>0</v>
      </c>
      <c r="S322">
        <v>0</v>
      </c>
      <c r="T322">
        <v>3950</v>
      </c>
      <c r="U322">
        <v>963701100</v>
      </c>
      <c r="V322" t="s">
        <v>87</v>
      </c>
      <c r="W322" t="s">
        <v>133</v>
      </c>
      <c r="AB322" t="s">
        <v>116</v>
      </c>
      <c r="AC322" t="s">
        <v>90</v>
      </c>
      <c r="AD322">
        <v>6</v>
      </c>
      <c r="AE322" t="s">
        <v>91</v>
      </c>
      <c r="AF322" t="s">
        <v>102</v>
      </c>
      <c r="AH322">
        <v>1087001102</v>
      </c>
      <c r="AI322">
        <v>1087</v>
      </c>
      <c r="AJ322" t="s">
        <v>117</v>
      </c>
    </row>
    <row r="323" spans="1:36">
      <c r="A323" t="s">
        <v>1018</v>
      </c>
      <c r="B323" t="s">
        <v>1019</v>
      </c>
      <c r="C323" t="s">
        <v>139</v>
      </c>
      <c r="D323" t="s">
        <v>140</v>
      </c>
      <c r="E323" t="s">
        <v>79</v>
      </c>
      <c r="F323" t="s">
        <v>125</v>
      </c>
      <c r="G323" t="s">
        <v>80</v>
      </c>
      <c r="H323" t="s">
        <v>81</v>
      </c>
      <c r="I323" t="s">
        <v>82</v>
      </c>
      <c r="P323">
        <v>0</v>
      </c>
      <c r="Q323" t="s">
        <v>86</v>
      </c>
      <c r="R323">
        <v>0</v>
      </c>
      <c r="S323">
        <v>0</v>
      </c>
      <c r="T323">
        <v>3800</v>
      </c>
      <c r="V323" t="s">
        <v>87</v>
      </c>
      <c r="W323" t="s">
        <v>1020</v>
      </c>
      <c r="AB323">
        <v>2700</v>
      </c>
      <c r="AC323" t="s">
        <v>90</v>
      </c>
      <c r="AH323">
        <v>8139011513</v>
      </c>
      <c r="AI323">
        <v>8139</v>
      </c>
      <c r="AJ323" t="s">
        <v>1021</v>
      </c>
    </row>
    <row r="324" spans="1:36">
      <c r="A324" t="s">
        <v>1022</v>
      </c>
      <c r="B324" t="s">
        <v>1023</v>
      </c>
      <c r="C324" t="s">
        <v>139</v>
      </c>
      <c r="D324" t="s">
        <v>140</v>
      </c>
      <c r="E324" t="s">
        <v>79</v>
      </c>
      <c r="F324" t="s">
        <v>125</v>
      </c>
      <c r="G324" t="s">
        <v>80</v>
      </c>
      <c r="H324" t="s">
        <v>81</v>
      </c>
      <c r="I324" t="s">
        <v>82</v>
      </c>
      <c r="P324">
        <v>0</v>
      </c>
      <c r="Q324" t="s">
        <v>86</v>
      </c>
      <c r="R324">
        <v>0</v>
      </c>
      <c r="S324">
        <v>0</v>
      </c>
      <c r="T324">
        <v>2100</v>
      </c>
      <c r="V324" t="s">
        <v>87</v>
      </c>
      <c r="W324" t="s">
        <v>1024</v>
      </c>
      <c r="AB324">
        <v>2700</v>
      </c>
      <c r="AC324" t="s">
        <v>90</v>
      </c>
      <c r="AH324">
        <v>8145016011</v>
      </c>
      <c r="AI324">
        <v>8145</v>
      </c>
      <c r="AJ324" t="s">
        <v>703</v>
      </c>
    </row>
    <row r="325" spans="1:36">
      <c r="A325" t="s">
        <v>1025</v>
      </c>
      <c r="B325" t="s">
        <v>1026</v>
      </c>
      <c r="C325" t="s">
        <v>139</v>
      </c>
      <c r="D325" t="s">
        <v>1025</v>
      </c>
      <c r="E325" t="s">
        <v>79</v>
      </c>
      <c r="F325" t="s">
        <v>125</v>
      </c>
      <c r="G325" t="s">
        <v>80</v>
      </c>
      <c r="H325" t="s">
        <v>81</v>
      </c>
      <c r="P325">
        <v>0</v>
      </c>
      <c r="Q325" t="s">
        <v>86</v>
      </c>
      <c r="R325">
        <v>0</v>
      </c>
      <c r="S325">
        <v>0</v>
      </c>
      <c r="T325">
        <v>600</v>
      </c>
      <c r="V325" t="s">
        <v>327</v>
      </c>
    </row>
    <row r="326" spans="1:36">
      <c r="A326" t="s">
        <v>1027</v>
      </c>
      <c r="B326" t="s">
        <v>1028</v>
      </c>
      <c r="C326" t="s">
        <v>139</v>
      </c>
      <c r="D326" t="s">
        <v>140</v>
      </c>
      <c r="E326" t="s">
        <v>79</v>
      </c>
      <c r="F326" t="s">
        <v>125</v>
      </c>
      <c r="G326" t="s">
        <v>80</v>
      </c>
      <c r="H326" t="s">
        <v>81</v>
      </c>
      <c r="P326">
        <v>0</v>
      </c>
      <c r="Q326" t="s">
        <v>86</v>
      </c>
      <c r="R326">
        <v>0</v>
      </c>
      <c r="S326">
        <v>0</v>
      </c>
      <c r="T326">
        <v>9500</v>
      </c>
      <c r="V326" t="s">
        <v>327</v>
      </c>
    </row>
    <row r="327" spans="1:36">
      <c r="A327" t="s">
        <v>1029</v>
      </c>
      <c r="B327" t="s">
        <v>1030</v>
      </c>
      <c r="C327">
        <v>3</v>
      </c>
      <c r="D327" t="s">
        <v>78</v>
      </c>
      <c r="E327" t="s">
        <v>79</v>
      </c>
      <c r="F327" t="s">
        <v>79</v>
      </c>
      <c r="G327" t="s">
        <v>80</v>
      </c>
      <c r="H327" t="s">
        <v>81</v>
      </c>
      <c r="I327" t="s">
        <v>82</v>
      </c>
      <c r="J327" t="s">
        <v>83</v>
      </c>
      <c r="K327" t="s">
        <v>83</v>
      </c>
      <c r="L327" t="s">
        <v>84</v>
      </c>
      <c r="O327" t="s">
        <v>85</v>
      </c>
      <c r="P327">
        <v>0</v>
      </c>
      <c r="Q327" t="s">
        <v>86</v>
      </c>
      <c r="R327">
        <v>0</v>
      </c>
      <c r="S327">
        <v>0</v>
      </c>
      <c r="T327">
        <v>9500</v>
      </c>
      <c r="V327" t="s">
        <v>87</v>
      </c>
      <c r="W327" t="s">
        <v>1031</v>
      </c>
      <c r="AB327" t="s">
        <v>441</v>
      </c>
      <c r="AC327" t="s">
        <v>442</v>
      </c>
      <c r="AD327">
        <v>6</v>
      </c>
      <c r="AE327" t="s">
        <v>91</v>
      </c>
      <c r="AF327" t="s">
        <v>92</v>
      </c>
      <c r="AH327">
        <v>9570004520</v>
      </c>
      <c r="AI327">
        <v>9570</v>
      </c>
      <c r="AJ327" t="s">
        <v>83</v>
      </c>
    </row>
    <row r="328" spans="1:36">
      <c r="A328" t="s">
        <v>1032</v>
      </c>
      <c r="B328" t="s">
        <v>1033</v>
      </c>
      <c r="C328">
        <v>3</v>
      </c>
      <c r="D328" t="s">
        <v>78</v>
      </c>
      <c r="E328" t="s">
        <v>125</v>
      </c>
      <c r="F328" t="s">
        <v>125</v>
      </c>
      <c r="G328" t="s">
        <v>80</v>
      </c>
      <c r="H328" t="s">
        <v>81</v>
      </c>
      <c r="I328" t="s">
        <v>82</v>
      </c>
      <c r="P328">
        <v>0</v>
      </c>
      <c r="Q328" t="s">
        <v>86</v>
      </c>
      <c r="R328">
        <v>0</v>
      </c>
      <c r="S328">
        <v>0</v>
      </c>
      <c r="T328">
        <v>9500</v>
      </c>
      <c r="V328" t="s">
        <v>87</v>
      </c>
      <c r="W328" t="s">
        <v>426</v>
      </c>
      <c r="AB328" t="s">
        <v>1034</v>
      </c>
      <c r="AC328" t="s">
        <v>90</v>
      </c>
      <c r="AD328">
        <v>4</v>
      </c>
      <c r="AH328">
        <v>4450110311</v>
      </c>
      <c r="AI328">
        <v>4450</v>
      </c>
      <c r="AJ328" t="s">
        <v>111</v>
      </c>
    </row>
    <row r="329" spans="1:36">
      <c r="A329" t="s">
        <v>1035</v>
      </c>
      <c r="B329" t="s">
        <v>1036</v>
      </c>
      <c r="C329">
        <v>3</v>
      </c>
      <c r="D329" t="s">
        <v>133</v>
      </c>
      <c r="E329" t="s">
        <v>79</v>
      </c>
      <c r="F329" t="s">
        <v>79</v>
      </c>
      <c r="G329" t="s">
        <v>80</v>
      </c>
      <c r="H329" t="s">
        <v>81</v>
      </c>
      <c r="I329" t="s">
        <v>82</v>
      </c>
      <c r="J329" t="s">
        <v>95</v>
      </c>
      <c r="K329" t="s">
        <v>1037</v>
      </c>
      <c r="L329">
        <v>95</v>
      </c>
      <c r="N329" t="s">
        <v>270</v>
      </c>
      <c r="O329" t="s">
        <v>98</v>
      </c>
      <c r="P329">
        <v>0</v>
      </c>
      <c r="Q329" t="s">
        <v>86</v>
      </c>
      <c r="R329">
        <v>0</v>
      </c>
      <c r="S329">
        <v>0</v>
      </c>
      <c r="T329">
        <v>1125</v>
      </c>
      <c r="U329">
        <v>963700059</v>
      </c>
      <c r="V329" t="s">
        <v>87</v>
      </c>
      <c r="W329" t="s">
        <v>1038</v>
      </c>
      <c r="AB329" t="s">
        <v>210</v>
      </c>
      <c r="AC329" t="s">
        <v>90</v>
      </c>
      <c r="AD329">
        <v>6</v>
      </c>
      <c r="AE329" t="s">
        <v>101</v>
      </c>
      <c r="AF329" t="s">
        <v>102</v>
      </c>
      <c r="AH329">
        <v>2553004420</v>
      </c>
      <c r="AI329">
        <v>2553</v>
      </c>
      <c r="AJ329" t="s">
        <v>1039</v>
      </c>
    </row>
    <row r="330" spans="1:36">
      <c r="A330" t="s">
        <v>1040</v>
      </c>
      <c r="B330" t="s">
        <v>1041</v>
      </c>
      <c r="C330">
        <v>4</v>
      </c>
      <c r="D330" t="s">
        <v>78</v>
      </c>
      <c r="E330" t="s">
        <v>79</v>
      </c>
      <c r="F330" t="s">
        <v>125</v>
      </c>
      <c r="G330" t="s">
        <v>80</v>
      </c>
      <c r="H330" t="s">
        <v>81</v>
      </c>
      <c r="P330">
        <v>0</v>
      </c>
      <c r="Q330" t="s">
        <v>86</v>
      </c>
      <c r="R330">
        <v>0</v>
      </c>
      <c r="S330">
        <v>0</v>
      </c>
      <c r="T330">
        <v>9500</v>
      </c>
      <c r="U330">
        <v>963492904</v>
      </c>
      <c r="V330" t="s">
        <v>327</v>
      </c>
    </row>
    <row r="331" spans="1:36">
      <c r="A331" t="s">
        <v>1042</v>
      </c>
      <c r="B331" t="s">
        <v>1043</v>
      </c>
      <c r="C331">
        <v>4</v>
      </c>
      <c r="D331" t="s">
        <v>174</v>
      </c>
      <c r="E331" t="s">
        <v>79</v>
      </c>
      <c r="F331" t="s">
        <v>79</v>
      </c>
      <c r="G331" t="s">
        <v>80</v>
      </c>
      <c r="H331" t="s">
        <v>81</v>
      </c>
      <c r="I331" t="s">
        <v>82</v>
      </c>
      <c r="J331" t="s">
        <v>153</v>
      </c>
      <c r="K331" t="s">
        <v>618</v>
      </c>
      <c r="L331">
        <v>98</v>
      </c>
      <c r="N331" t="s">
        <v>185</v>
      </c>
      <c r="O331" t="s">
        <v>156</v>
      </c>
      <c r="P331">
        <v>0</v>
      </c>
      <c r="Q331" t="s">
        <v>86</v>
      </c>
      <c r="R331">
        <v>0</v>
      </c>
      <c r="S331">
        <v>0</v>
      </c>
      <c r="T331">
        <v>600</v>
      </c>
      <c r="V331" t="s">
        <v>157</v>
      </c>
      <c r="W331" t="s">
        <v>616</v>
      </c>
      <c r="AD331" t="s">
        <v>159</v>
      </c>
      <c r="AE331" t="s">
        <v>160</v>
      </c>
      <c r="AF331" t="s">
        <v>102</v>
      </c>
    </row>
    <row r="332" spans="1:36">
      <c r="A332" t="s">
        <v>1044</v>
      </c>
      <c r="B332" t="s">
        <v>1045</v>
      </c>
      <c r="C332">
        <v>3</v>
      </c>
      <c r="D332" t="s">
        <v>174</v>
      </c>
      <c r="E332" t="s">
        <v>79</v>
      </c>
      <c r="F332" t="s">
        <v>79</v>
      </c>
      <c r="G332" t="s">
        <v>80</v>
      </c>
      <c r="H332" t="s">
        <v>81</v>
      </c>
      <c r="I332" t="s">
        <v>82</v>
      </c>
      <c r="J332" t="s">
        <v>95</v>
      </c>
      <c r="K332" t="s">
        <v>184</v>
      </c>
      <c r="L332">
        <v>98</v>
      </c>
      <c r="N332" t="s">
        <v>185</v>
      </c>
      <c r="O332" t="s">
        <v>98</v>
      </c>
      <c r="P332">
        <v>0</v>
      </c>
      <c r="Q332" t="s">
        <v>86</v>
      </c>
      <c r="R332">
        <v>0</v>
      </c>
      <c r="S332">
        <v>0</v>
      </c>
      <c r="T332">
        <v>4885</v>
      </c>
      <c r="U332">
        <v>96319</v>
      </c>
      <c r="V332" t="s">
        <v>87</v>
      </c>
      <c r="W332" t="s">
        <v>204</v>
      </c>
      <c r="AB332" t="s">
        <v>205</v>
      </c>
      <c r="AC332" t="s">
        <v>90</v>
      </c>
      <c r="AD332">
        <v>6</v>
      </c>
      <c r="AE332" t="s">
        <v>101</v>
      </c>
      <c r="AF332" t="s">
        <v>102</v>
      </c>
      <c r="AH332">
        <v>2333092006</v>
      </c>
      <c r="AI332">
        <v>2333</v>
      </c>
      <c r="AJ332" t="s">
        <v>206</v>
      </c>
    </row>
    <row r="333" spans="1:36">
      <c r="A333" t="s">
        <v>1046</v>
      </c>
      <c r="B333" t="s">
        <v>1047</v>
      </c>
      <c r="C333">
        <v>3</v>
      </c>
      <c r="D333" t="s">
        <v>174</v>
      </c>
      <c r="E333" t="s">
        <v>125</v>
      </c>
      <c r="F333" t="s">
        <v>79</v>
      </c>
      <c r="G333" t="s">
        <v>80</v>
      </c>
      <c r="H333" t="s">
        <v>81</v>
      </c>
      <c r="I333" t="s">
        <v>82</v>
      </c>
      <c r="J333" t="s">
        <v>95</v>
      </c>
      <c r="K333" t="s">
        <v>184</v>
      </c>
      <c r="L333">
        <v>98</v>
      </c>
      <c r="N333" t="s">
        <v>185</v>
      </c>
      <c r="O333" t="s">
        <v>98</v>
      </c>
      <c r="P333">
        <v>0</v>
      </c>
      <c r="Q333" t="s">
        <v>86</v>
      </c>
      <c r="R333">
        <v>0</v>
      </c>
      <c r="S333">
        <v>0</v>
      </c>
      <c r="T333">
        <v>4885</v>
      </c>
      <c r="V333" t="s">
        <v>87</v>
      </c>
      <c r="W333" t="s">
        <v>347</v>
      </c>
      <c r="AB333" t="s">
        <v>1048</v>
      </c>
      <c r="AC333" t="s">
        <v>90</v>
      </c>
      <c r="AD333">
        <v>4</v>
      </c>
      <c r="AE333" t="s">
        <v>165</v>
      </c>
      <c r="AF333" t="s">
        <v>102</v>
      </c>
      <c r="AH333">
        <v>2350000102</v>
      </c>
      <c r="AI333">
        <v>2350</v>
      </c>
      <c r="AJ333" t="s">
        <v>349</v>
      </c>
    </row>
    <row r="334" spans="1:36">
      <c r="A334" t="s">
        <v>1049</v>
      </c>
      <c r="B334" t="s">
        <v>1050</v>
      </c>
      <c r="C334">
        <v>3</v>
      </c>
      <c r="D334" t="s">
        <v>174</v>
      </c>
      <c r="E334" t="s">
        <v>79</v>
      </c>
      <c r="F334" t="s">
        <v>79</v>
      </c>
      <c r="G334" t="s">
        <v>80</v>
      </c>
      <c r="H334" t="s">
        <v>81</v>
      </c>
      <c r="I334" t="s">
        <v>82</v>
      </c>
      <c r="J334" t="s">
        <v>411</v>
      </c>
      <c r="K334" t="s">
        <v>412</v>
      </c>
      <c r="L334">
        <v>1</v>
      </c>
      <c r="O334" t="s">
        <v>411</v>
      </c>
      <c r="P334">
        <v>0</v>
      </c>
      <c r="Q334" t="s">
        <v>86</v>
      </c>
      <c r="R334">
        <v>0</v>
      </c>
      <c r="S334">
        <v>0</v>
      </c>
      <c r="T334">
        <v>4885</v>
      </c>
      <c r="V334" t="s">
        <v>87</v>
      </c>
      <c r="W334" t="s">
        <v>466</v>
      </c>
      <c r="AB334" t="s">
        <v>142</v>
      </c>
      <c r="AC334" t="s">
        <v>90</v>
      </c>
      <c r="AD334">
        <v>6</v>
      </c>
      <c r="AE334" t="s">
        <v>91</v>
      </c>
      <c r="AF334" t="s">
        <v>102</v>
      </c>
      <c r="AH334">
        <v>3435098015</v>
      </c>
      <c r="AI334">
        <v>3435</v>
      </c>
      <c r="AJ334" t="s">
        <v>143</v>
      </c>
    </row>
    <row r="335" spans="1:36">
      <c r="A335" t="s">
        <v>1051</v>
      </c>
      <c r="B335" t="s">
        <v>1052</v>
      </c>
      <c r="C335">
        <v>4</v>
      </c>
      <c r="D335" t="s">
        <v>78</v>
      </c>
      <c r="E335" t="s">
        <v>79</v>
      </c>
      <c r="F335" t="s">
        <v>125</v>
      </c>
      <c r="G335" t="s">
        <v>80</v>
      </c>
      <c r="H335" t="s">
        <v>81</v>
      </c>
      <c r="P335">
        <v>0</v>
      </c>
      <c r="Q335" t="s">
        <v>86</v>
      </c>
      <c r="R335">
        <v>0</v>
      </c>
      <c r="S335">
        <v>0</v>
      </c>
      <c r="T335">
        <v>9500</v>
      </c>
      <c r="U335">
        <v>963493003</v>
      </c>
      <c r="V335" t="s">
        <v>327</v>
      </c>
    </row>
    <row r="336" spans="1:36">
      <c r="A336" t="s">
        <v>1053</v>
      </c>
      <c r="B336" t="s">
        <v>1054</v>
      </c>
      <c r="C336">
        <v>3</v>
      </c>
      <c r="D336" t="s">
        <v>133</v>
      </c>
      <c r="E336" t="s">
        <v>79</v>
      </c>
      <c r="F336" t="s">
        <v>125</v>
      </c>
      <c r="G336" t="s">
        <v>80</v>
      </c>
      <c r="H336" t="s">
        <v>81</v>
      </c>
      <c r="I336" t="s">
        <v>82</v>
      </c>
      <c r="P336">
        <v>0</v>
      </c>
      <c r="Q336" t="s">
        <v>86</v>
      </c>
      <c r="R336">
        <v>0</v>
      </c>
      <c r="S336">
        <v>0</v>
      </c>
      <c r="T336">
        <v>5075</v>
      </c>
      <c r="V336" t="s">
        <v>87</v>
      </c>
      <c r="W336" t="s">
        <v>1055</v>
      </c>
      <c r="AB336">
        <v>2700</v>
      </c>
      <c r="AC336" t="s">
        <v>90</v>
      </c>
      <c r="AH336">
        <v>8640000320</v>
      </c>
      <c r="AI336">
        <v>8640</v>
      </c>
      <c r="AJ336" t="s">
        <v>1056</v>
      </c>
    </row>
    <row r="337" spans="1:36">
      <c r="A337" t="s">
        <v>1057</v>
      </c>
      <c r="B337" t="s">
        <v>1058</v>
      </c>
      <c r="C337">
        <v>4</v>
      </c>
      <c r="D337" t="s">
        <v>190</v>
      </c>
      <c r="E337" t="s">
        <v>79</v>
      </c>
      <c r="F337" t="s">
        <v>125</v>
      </c>
      <c r="G337" t="s">
        <v>80</v>
      </c>
      <c r="H337" t="s">
        <v>81</v>
      </c>
      <c r="P337">
        <v>0</v>
      </c>
      <c r="Q337" t="s">
        <v>86</v>
      </c>
      <c r="R337">
        <v>0</v>
      </c>
      <c r="S337">
        <v>0</v>
      </c>
      <c r="T337">
        <v>1060</v>
      </c>
      <c r="V337" t="s">
        <v>327</v>
      </c>
    </row>
    <row r="338" spans="1:36">
      <c r="A338" t="s">
        <v>1059</v>
      </c>
      <c r="B338" t="s">
        <v>1060</v>
      </c>
      <c r="C338">
        <v>3</v>
      </c>
      <c r="D338" t="s">
        <v>183</v>
      </c>
      <c r="E338" t="s">
        <v>79</v>
      </c>
      <c r="F338" t="s">
        <v>125</v>
      </c>
      <c r="G338" t="s">
        <v>80</v>
      </c>
      <c r="H338" t="s">
        <v>81</v>
      </c>
      <c r="I338" t="s">
        <v>82</v>
      </c>
      <c r="P338">
        <v>0</v>
      </c>
      <c r="Q338" t="s">
        <v>86</v>
      </c>
      <c r="R338">
        <v>0</v>
      </c>
      <c r="S338">
        <v>0</v>
      </c>
      <c r="T338">
        <v>3800</v>
      </c>
      <c r="V338" t="s">
        <v>87</v>
      </c>
      <c r="W338" t="s">
        <v>225</v>
      </c>
      <c r="AB338" t="s">
        <v>226</v>
      </c>
      <c r="AC338" t="s">
        <v>90</v>
      </c>
      <c r="AD338">
        <v>6</v>
      </c>
      <c r="AH338">
        <v>9515000207</v>
      </c>
      <c r="AI338">
        <v>9515</v>
      </c>
      <c r="AJ338" t="s">
        <v>227</v>
      </c>
    </row>
    <row r="339" spans="1:36">
      <c r="A339" t="s">
        <v>1061</v>
      </c>
      <c r="B339" t="s">
        <v>1062</v>
      </c>
      <c r="C339">
        <v>3</v>
      </c>
      <c r="D339" t="s">
        <v>183</v>
      </c>
      <c r="E339" t="s">
        <v>79</v>
      </c>
      <c r="F339" t="s">
        <v>79</v>
      </c>
      <c r="G339" t="s">
        <v>80</v>
      </c>
      <c r="H339" t="s">
        <v>81</v>
      </c>
      <c r="I339" t="s">
        <v>82</v>
      </c>
      <c r="J339" t="s">
        <v>106</v>
      </c>
      <c r="K339" t="s">
        <v>107</v>
      </c>
      <c r="L339" s="1">
        <v>45328</v>
      </c>
      <c r="N339" t="s">
        <v>108</v>
      </c>
      <c r="O339" t="s">
        <v>98</v>
      </c>
      <c r="P339">
        <v>0</v>
      </c>
      <c r="Q339" t="s">
        <v>86</v>
      </c>
      <c r="R339">
        <v>0</v>
      </c>
      <c r="S339">
        <v>0</v>
      </c>
      <c r="T339">
        <v>3800</v>
      </c>
      <c r="U339">
        <v>96310</v>
      </c>
      <c r="V339" t="s">
        <v>87</v>
      </c>
      <c r="W339" t="s">
        <v>330</v>
      </c>
      <c r="AB339" t="s">
        <v>147</v>
      </c>
      <c r="AC339" t="s">
        <v>90</v>
      </c>
      <c r="AD339">
        <v>6</v>
      </c>
      <c r="AE339" t="s">
        <v>101</v>
      </c>
      <c r="AF339" t="s">
        <v>102</v>
      </c>
      <c r="AH339">
        <v>2477000910</v>
      </c>
      <c r="AI339">
        <v>2477</v>
      </c>
      <c r="AJ339" t="s">
        <v>331</v>
      </c>
    </row>
    <row r="340" spans="1:36">
      <c r="A340" t="s">
        <v>1063</v>
      </c>
      <c r="B340" t="s">
        <v>1064</v>
      </c>
      <c r="C340">
        <v>3</v>
      </c>
      <c r="D340" t="s">
        <v>190</v>
      </c>
      <c r="E340" t="s">
        <v>79</v>
      </c>
      <c r="F340" t="s">
        <v>79</v>
      </c>
      <c r="G340" t="s">
        <v>80</v>
      </c>
      <c r="H340" t="s">
        <v>81</v>
      </c>
      <c r="I340" t="s">
        <v>82</v>
      </c>
      <c r="J340" t="s">
        <v>223</v>
      </c>
      <c r="K340" t="s">
        <v>224</v>
      </c>
      <c r="L340" t="s">
        <v>84</v>
      </c>
      <c r="O340" t="s">
        <v>85</v>
      </c>
      <c r="P340">
        <v>0</v>
      </c>
      <c r="Q340" t="s">
        <v>86</v>
      </c>
      <c r="R340">
        <v>0</v>
      </c>
      <c r="S340">
        <v>0</v>
      </c>
      <c r="T340">
        <v>1065</v>
      </c>
      <c r="V340" t="s">
        <v>87</v>
      </c>
      <c r="W340" t="s">
        <v>225</v>
      </c>
      <c r="AB340" t="s">
        <v>226</v>
      </c>
      <c r="AC340" t="s">
        <v>90</v>
      </c>
      <c r="AD340">
        <v>6</v>
      </c>
      <c r="AE340" t="s">
        <v>91</v>
      </c>
      <c r="AF340" t="s">
        <v>92</v>
      </c>
      <c r="AH340">
        <v>9515000232</v>
      </c>
      <c r="AI340">
        <v>9515</v>
      </c>
      <c r="AJ340" t="s">
        <v>227</v>
      </c>
    </row>
    <row r="341" spans="1:36">
      <c r="A341" t="s">
        <v>1065</v>
      </c>
      <c r="B341" t="s">
        <v>1066</v>
      </c>
      <c r="C341">
        <v>3</v>
      </c>
      <c r="D341" t="s">
        <v>78</v>
      </c>
      <c r="E341" t="s">
        <v>79</v>
      </c>
      <c r="F341" t="s">
        <v>79</v>
      </c>
      <c r="G341" t="s">
        <v>80</v>
      </c>
      <c r="H341" t="s">
        <v>81</v>
      </c>
      <c r="I341" t="s">
        <v>82</v>
      </c>
      <c r="J341" t="s">
        <v>223</v>
      </c>
      <c r="K341" t="s">
        <v>224</v>
      </c>
      <c r="L341" t="s">
        <v>84</v>
      </c>
      <c r="O341" t="s">
        <v>85</v>
      </c>
      <c r="P341">
        <v>0</v>
      </c>
      <c r="Q341" t="s">
        <v>86</v>
      </c>
      <c r="R341">
        <v>0</v>
      </c>
      <c r="S341">
        <v>0</v>
      </c>
      <c r="T341">
        <v>9510</v>
      </c>
      <c r="V341" t="s">
        <v>87</v>
      </c>
      <c r="W341" t="s">
        <v>225</v>
      </c>
      <c r="AB341" t="s">
        <v>226</v>
      </c>
      <c r="AC341" t="s">
        <v>90</v>
      </c>
      <c r="AD341">
        <v>6</v>
      </c>
      <c r="AE341" t="s">
        <v>91</v>
      </c>
      <c r="AF341" t="s">
        <v>92</v>
      </c>
      <c r="AH341">
        <v>951000209</v>
      </c>
      <c r="AI341">
        <v>9510</v>
      </c>
      <c r="AJ341" t="s">
        <v>287</v>
      </c>
    </row>
    <row r="342" spans="1:36">
      <c r="A342" t="s">
        <v>1067</v>
      </c>
      <c r="B342" t="s">
        <v>1068</v>
      </c>
      <c r="C342">
        <v>3</v>
      </c>
      <c r="D342" t="s">
        <v>78</v>
      </c>
      <c r="E342" t="s">
        <v>125</v>
      </c>
      <c r="F342" t="s">
        <v>79</v>
      </c>
      <c r="G342" t="s">
        <v>80</v>
      </c>
      <c r="H342" t="s">
        <v>81</v>
      </c>
      <c r="I342" t="s">
        <v>82</v>
      </c>
      <c r="J342" t="s">
        <v>106</v>
      </c>
      <c r="K342" t="s">
        <v>107</v>
      </c>
      <c r="L342" s="1">
        <v>45328</v>
      </c>
      <c r="N342" t="s">
        <v>108</v>
      </c>
      <c r="O342" t="s">
        <v>98</v>
      </c>
      <c r="P342">
        <v>0</v>
      </c>
      <c r="Q342" t="s">
        <v>86</v>
      </c>
      <c r="R342">
        <v>0</v>
      </c>
      <c r="S342">
        <v>0</v>
      </c>
      <c r="T342">
        <v>9500</v>
      </c>
      <c r="V342" t="s">
        <v>87</v>
      </c>
      <c r="W342" t="s">
        <v>1069</v>
      </c>
      <c r="AB342">
        <v>9999</v>
      </c>
      <c r="AC342" t="s">
        <v>90</v>
      </c>
      <c r="AD342">
        <v>4</v>
      </c>
      <c r="AE342" t="s">
        <v>165</v>
      </c>
      <c r="AF342" t="s">
        <v>102</v>
      </c>
      <c r="AH342">
        <v>3673200018</v>
      </c>
      <c r="AI342">
        <v>3673</v>
      </c>
      <c r="AJ342" t="s">
        <v>1070</v>
      </c>
    </row>
    <row r="343" spans="1:36">
      <c r="A343" t="s">
        <v>1071</v>
      </c>
      <c r="B343" t="s">
        <v>578</v>
      </c>
      <c r="C343">
        <v>3</v>
      </c>
      <c r="D343" t="s">
        <v>183</v>
      </c>
      <c r="E343" t="s">
        <v>79</v>
      </c>
      <c r="F343" t="s">
        <v>79</v>
      </c>
      <c r="J343" t="s">
        <v>191</v>
      </c>
      <c r="O343" t="s">
        <v>243</v>
      </c>
      <c r="P343">
        <v>0</v>
      </c>
      <c r="Q343" t="s">
        <v>86</v>
      </c>
      <c r="R343">
        <v>0</v>
      </c>
      <c r="S343">
        <v>0</v>
      </c>
      <c r="T343">
        <v>3800</v>
      </c>
      <c r="V343" t="s">
        <v>87</v>
      </c>
      <c r="W343" t="s">
        <v>1072</v>
      </c>
      <c r="AF343" t="s">
        <v>102</v>
      </c>
      <c r="AH343" t="s">
        <v>1073</v>
      </c>
      <c r="AI343" t="s">
        <v>1074</v>
      </c>
    </row>
    <row r="344" spans="1:36">
      <c r="A344" t="s">
        <v>1075</v>
      </c>
      <c r="B344" t="s">
        <v>1076</v>
      </c>
      <c r="C344">
        <v>3</v>
      </c>
      <c r="D344" t="s">
        <v>190</v>
      </c>
      <c r="E344" t="s">
        <v>79</v>
      </c>
      <c r="F344" t="s">
        <v>125</v>
      </c>
      <c r="P344">
        <v>0</v>
      </c>
      <c r="Q344" t="s">
        <v>86</v>
      </c>
      <c r="R344">
        <v>0</v>
      </c>
      <c r="S344">
        <v>0</v>
      </c>
      <c r="T344">
        <v>9999</v>
      </c>
      <c r="U344">
        <v>966037101</v>
      </c>
      <c r="V344" t="s">
        <v>327</v>
      </c>
      <c r="AI344" t="s">
        <v>324</v>
      </c>
    </row>
    <row r="345" spans="1:36">
      <c r="A345" t="s">
        <v>1077</v>
      </c>
      <c r="B345" t="s">
        <v>1078</v>
      </c>
      <c r="C345" t="s">
        <v>139</v>
      </c>
      <c r="D345" t="s">
        <v>140</v>
      </c>
      <c r="E345" t="s">
        <v>79</v>
      </c>
      <c r="F345" t="s">
        <v>125</v>
      </c>
      <c r="P345">
        <v>0</v>
      </c>
      <c r="Q345" t="s">
        <v>86</v>
      </c>
      <c r="R345">
        <v>0</v>
      </c>
      <c r="S345">
        <v>0</v>
      </c>
      <c r="T345">
        <v>5615</v>
      </c>
      <c r="U345">
        <v>987730000</v>
      </c>
      <c r="V345" t="s">
        <v>327</v>
      </c>
      <c r="AI345" t="s">
        <v>1079</v>
      </c>
    </row>
    <row r="346" spans="1:36">
      <c r="A346" t="s">
        <v>1080</v>
      </c>
      <c r="B346" t="s">
        <v>1081</v>
      </c>
      <c r="C346">
        <v>3</v>
      </c>
      <c r="D346" t="s">
        <v>78</v>
      </c>
      <c r="E346" t="s">
        <v>79</v>
      </c>
      <c r="F346" t="s">
        <v>79</v>
      </c>
      <c r="J346" t="s">
        <v>191</v>
      </c>
      <c r="O346" t="s">
        <v>243</v>
      </c>
      <c r="P346">
        <v>0</v>
      </c>
      <c r="Q346" t="s">
        <v>86</v>
      </c>
      <c r="R346">
        <v>0</v>
      </c>
      <c r="S346">
        <v>0</v>
      </c>
      <c r="T346">
        <v>9510</v>
      </c>
      <c r="V346" t="s">
        <v>87</v>
      </c>
      <c r="W346" t="s">
        <v>1082</v>
      </c>
      <c r="AF346" t="s">
        <v>102</v>
      </c>
      <c r="AH346" t="s">
        <v>1083</v>
      </c>
      <c r="AI346" t="s">
        <v>251</v>
      </c>
    </row>
    <row r="347" spans="1:36">
      <c r="A347" t="s">
        <v>1084</v>
      </c>
      <c r="B347" t="s">
        <v>1085</v>
      </c>
      <c r="C347">
        <v>3</v>
      </c>
      <c r="D347" t="s">
        <v>190</v>
      </c>
      <c r="E347" t="s">
        <v>79</v>
      </c>
      <c r="F347" t="s">
        <v>79</v>
      </c>
      <c r="G347" t="s">
        <v>80</v>
      </c>
      <c r="H347" t="s">
        <v>81</v>
      </c>
      <c r="I347" t="s">
        <v>82</v>
      </c>
      <c r="J347" t="s">
        <v>411</v>
      </c>
      <c r="K347" t="s">
        <v>412</v>
      </c>
      <c r="L347">
        <v>1</v>
      </c>
      <c r="O347" t="s">
        <v>411</v>
      </c>
      <c r="P347">
        <v>0</v>
      </c>
      <c r="Q347" t="s">
        <v>86</v>
      </c>
      <c r="R347">
        <v>0</v>
      </c>
      <c r="S347">
        <v>0</v>
      </c>
      <c r="T347">
        <v>1070</v>
      </c>
      <c r="V347" t="s">
        <v>87</v>
      </c>
      <c r="W347" t="s">
        <v>466</v>
      </c>
      <c r="AB347" t="s">
        <v>142</v>
      </c>
      <c r="AC347" t="s">
        <v>90</v>
      </c>
      <c r="AD347">
        <v>6</v>
      </c>
      <c r="AE347" t="s">
        <v>91</v>
      </c>
      <c r="AF347" t="s">
        <v>102</v>
      </c>
      <c r="AH347">
        <v>3435098005</v>
      </c>
      <c r="AI347">
        <v>3435</v>
      </c>
      <c r="AJ347" t="s">
        <v>143</v>
      </c>
    </row>
    <row r="348" spans="1:36">
      <c r="A348" t="s">
        <v>1086</v>
      </c>
      <c r="B348" t="s">
        <v>1087</v>
      </c>
      <c r="C348">
        <v>4</v>
      </c>
      <c r="D348" t="s">
        <v>183</v>
      </c>
      <c r="E348" t="s">
        <v>125</v>
      </c>
      <c r="F348" t="s">
        <v>79</v>
      </c>
      <c r="G348" t="s">
        <v>80</v>
      </c>
      <c r="H348" t="s">
        <v>81</v>
      </c>
      <c r="I348" t="s">
        <v>82</v>
      </c>
      <c r="J348" t="s">
        <v>191</v>
      </c>
      <c r="K348" t="s">
        <v>192</v>
      </c>
      <c r="L348">
        <v>1</v>
      </c>
      <c r="P348">
        <v>0</v>
      </c>
      <c r="Q348" t="s">
        <v>86</v>
      </c>
      <c r="R348">
        <v>0</v>
      </c>
      <c r="S348">
        <v>0</v>
      </c>
      <c r="T348">
        <v>3800</v>
      </c>
      <c r="V348" t="s">
        <v>87</v>
      </c>
      <c r="W348" t="s">
        <v>1088</v>
      </c>
      <c r="AB348">
        <v>2700</v>
      </c>
      <c r="AC348" t="s">
        <v>90</v>
      </c>
      <c r="AD348">
        <v>4</v>
      </c>
      <c r="AE348" t="s">
        <v>101</v>
      </c>
      <c r="AF348" t="s">
        <v>102</v>
      </c>
      <c r="AH348">
        <v>8456003304</v>
      </c>
      <c r="AI348">
        <v>8456</v>
      </c>
      <c r="AJ348" t="s">
        <v>593</v>
      </c>
    </row>
    <row r="349" spans="1:36">
      <c r="A349" t="s">
        <v>1089</v>
      </c>
      <c r="B349" t="s">
        <v>1090</v>
      </c>
      <c r="C349">
        <v>3</v>
      </c>
      <c r="D349" t="s">
        <v>183</v>
      </c>
      <c r="E349" t="s">
        <v>79</v>
      </c>
      <c r="F349" t="s">
        <v>79</v>
      </c>
      <c r="G349" t="s">
        <v>80</v>
      </c>
      <c r="H349" t="s">
        <v>81</v>
      </c>
      <c r="I349" t="s">
        <v>82</v>
      </c>
      <c r="J349" t="s">
        <v>95</v>
      </c>
      <c r="K349" t="s">
        <v>184</v>
      </c>
      <c r="L349">
        <v>98</v>
      </c>
      <c r="N349" t="s">
        <v>185</v>
      </c>
      <c r="O349" t="s">
        <v>98</v>
      </c>
      <c r="P349">
        <v>0</v>
      </c>
      <c r="Q349" t="s">
        <v>86</v>
      </c>
      <c r="R349">
        <v>0</v>
      </c>
      <c r="S349">
        <v>0</v>
      </c>
      <c r="T349">
        <v>3800</v>
      </c>
      <c r="U349">
        <v>96310</v>
      </c>
      <c r="V349" t="s">
        <v>87</v>
      </c>
      <c r="W349" t="s">
        <v>204</v>
      </c>
      <c r="AB349" t="s">
        <v>205</v>
      </c>
      <c r="AC349" t="s">
        <v>90</v>
      </c>
      <c r="AD349">
        <v>6</v>
      </c>
      <c r="AE349" t="s">
        <v>101</v>
      </c>
      <c r="AF349" t="s">
        <v>102</v>
      </c>
      <c r="AH349">
        <v>2333092015</v>
      </c>
      <c r="AI349">
        <v>2333</v>
      </c>
      <c r="AJ349" t="s">
        <v>206</v>
      </c>
    </row>
    <row r="350" spans="1:36">
      <c r="A350" t="s">
        <v>1020</v>
      </c>
      <c r="B350" t="s">
        <v>1091</v>
      </c>
      <c r="C350">
        <v>4</v>
      </c>
      <c r="D350" t="s">
        <v>183</v>
      </c>
      <c r="E350" t="s">
        <v>79</v>
      </c>
      <c r="F350" t="s">
        <v>79</v>
      </c>
      <c r="G350" t="s">
        <v>80</v>
      </c>
      <c r="H350" t="s">
        <v>81</v>
      </c>
      <c r="I350" t="s">
        <v>82</v>
      </c>
      <c r="J350" t="s">
        <v>191</v>
      </c>
      <c r="K350" t="s">
        <v>1092</v>
      </c>
      <c r="L350">
        <v>1</v>
      </c>
      <c r="P350">
        <v>0</v>
      </c>
      <c r="Q350" t="s">
        <v>86</v>
      </c>
      <c r="R350">
        <v>0</v>
      </c>
      <c r="S350">
        <v>0</v>
      </c>
      <c r="T350">
        <v>3800</v>
      </c>
      <c r="V350" t="s">
        <v>87</v>
      </c>
      <c r="W350" t="s">
        <v>702</v>
      </c>
      <c r="AB350">
        <v>2700</v>
      </c>
      <c r="AC350" t="s">
        <v>90</v>
      </c>
      <c r="AD350">
        <v>6</v>
      </c>
      <c r="AE350" t="s">
        <v>91</v>
      </c>
      <c r="AF350" t="s">
        <v>102</v>
      </c>
      <c r="AH350">
        <v>8145010305</v>
      </c>
      <c r="AI350">
        <v>8145</v>
      </c>
      <c r="AJ350" t="s">
        <v>703</v>
      </c>
    </row>
    <row r="351" spans="1:36">
      <c r="A351" t="s">
        <v>1093</v>
      </c>
      <c r="B351" t="s">
        <v>1094</v>
      </c>
      <c r="C351">
        <v>4</v>
      </c>
      <c r="D351" t="s">
        <v>190</v>
      </c>
      <c r="E351" t="s">
        <v>125</v>
      </c>
      <c r="F351" t="s">
        <v>79</v>
      </c>
      <c r="G351" t="s">
        <v>80</v>
      </c>
      <c r="H351" t="s">
        <v>81</v>
      </c>
      <c r="I351" t="s">
        <v>82</v>
      </c>
      <c r="J351" t="s">
        <v>191</v>
      </c>
      <c r="K351" t="s">
        <v>192</v>
      </c>
      <c r="L351">
        <v>1</v>
      </c>
      <c r="P351">
        <v>0</v>
      </c>
      <c r="Q351" t="s">
        <v>86</v>
      </c>
      <c r="R351">
        <v>0</v>
      </c>
      <c r="S351">
        <v>0</v>
      </c>
      <c r="T351">
        <v>1060</v>
      </c>
      <c r="V351" t="s">
        <v>87</v>
      </c>
      <c r="W351" t="s">
        <v>1055</v>
      </c>
      <c r="AB351">
        <v>2700</v>
      </c>
      <c r="AC351" t="s">
        <v>90</v>
      </c>
      <c r="AD351">
        <v>4</v>
      </c>
      <c r="AE351" t="s">
        <v>101</v>
      </c>
      <c r="AF351" t="s">
        <v>102</v>
      </c>
      <c r="AH351">
        <v>8640003020</v>
      </c>
      <c r="AI351">
        <v>8640</v>
      </c>
      <c r="AJ351" t="s">
        <v>1056</v>
      </c>
    </row>
    <row r="352" spans="1:36">
      <c r="A352" t="s">
        <v>193</v>
      </c>
      <c r="B352" t="s">
        <v>1095</v>
      </c>
      <c r="C352">
        <v>3</v>
      </c>
      <c r="D352" t="s">
        <v>190</v>
      </c>
      <c r="E352" t="s">
        <v>125</v>
      </c>
      <c r="F352" t="s">
        <v>79</v>
      </c>
      <c r="G352" t="s">
        <v>80</v>
      </c>
      <c r="H352" t="s">
        <v>81</v>
      </c>
      <c r="I352" t="s">
        <v>82</v>
      </c>
      <c r="J352" t="s">
        <v>191</v>
      </c>
      <c r="K352" t="s">
        <v>192</v>
      </c>
      <c r="L352">
        <v>1</v>
      </c>
      <c r="P352">
        <v>0</v>
      </c>
      <c r="Q352" t="s">
        <v>86</v>
      </c>
      <c r="R352">
        <v>0</v>
      </c>
      <c r="S352">
        <v>0</v>
      </c>
      <c r="T352">
        <v>1060</v>
      </c>
      <c r="V352">
        <v>4</v>
      </c>
      <c r="W352" t="s">
        <v>1096</v>
      </c>
      <c r="AB352">
        <v>2700</v>
      </c>
      <c r="AC352" t="s">
        <v>90</v>
      </c>
      <c r="AD352">
        <v>4</v>
      </c>
      <c r="AE352" t="s">
        <v>101</v>
      </c>
      <c r="AF352" t="s">
        <v>102</v>
      </c>
      <c r="AH352">
        <v>8454003300</v>
      </c>
      <c r="AI352">
        <v>8454</v>
      </c>
      <c r="AJ352" t="s">
        <v>194</v>
      </c>
    </row>
    <row r="353" spans="1:36">
      <c r="A353" t="s">
        <v>1055</v>
      </c>
      <c r="B353" t="s">
        <v>1097</v>
      </c>
      <c r="C353">
        <v>3</v>
      </c>
      <c r="D353" t="s">
        <v>190</v>
      </c>
      <c r="E353" t="s">
        <v>125</v>
      </c>
      <c r="F353" t="s">
        <v>79</v>
      </c>
      <c r="G353" t="s">
        <v>80</v>
      </c>
      <c r="H353" t="s">
        <v>81</v>
      </c>
      <c r="I353" t="s">
        <v>82</v>
      </c>
      <c r="J353" t="s">
        <v>191</v>
      </c>
      <c r="K353" t="s">
        <v>192</v>
      </c>
      <c r="L353">
        <v>1</v>
      </c>
      <c r="P353">
        <v>0</v>
      </c>
      <c r="Q353" t="s">
        <v>86</v>
      </c>
      <c r="R353">
        <v>0</v>
      </c>
      <c r="S353">
        <v>0</v>
      </c>
      <c r="T353">
        <v>2100</v>
      </c>
      <c r="V353">
        <v>5</v>
      </c>
      <c r="W353" t="s">
        <v>193</v>
      </c>
      <c r="AB353">
        <v>2700</v>
      </c>
      <c r="AC353" t="s">
        <v>90</v>
      </c>
      <c r="AD353">
        <v>4</v>
      </c>
      <c r="AE353" t="s">
        <v>101</v>
      </c>
      <c r="AF353" t="s">
        <v>102</v>
      </c>
      <c r="AH353">
        <v>8640003000</v>
      </c>
      <c r="AI353">
        <v>8640</v>
      </c>
      <c r="AJ353" t="s">
        <v>1056</v>
      </c>
    </row>
    <row r="354" spans="1:36">
      <c r="A354" t="s">
        <v>1024</v>
      </c>
      <c r="B354" t="s">
        <v>1098</v>
      </c>
      <c r="C354">
        <v>3</v>
      </c>
      <c r="D354" t="s">
        <v>190</v>
      </c>
      <c r="E354" t="s">
        <v>79</v>
      </c>
      <c r="F354" t="s">
        <v>79</v>
      </c>
      <c r="G354" t="s">
        <v>80</v>
      </c>
      <c r="H354" t="s">
        <v>81</v>
      </c>
      <c r="I354" t="s">
        <v>82</v>
      </c>
      <c r="J354" t="s">
        <v>191</v>
      </c>
      <c r="K354" t="s">
        <v>1092</v>
      </c>
      <c r="L354">
        <v>1</v>
      </c>
      <c r="P354">
        <v>0</v>
      </c>
      <c r="Q354" t="s">
        <v>86</v>
      </c>
      <c r="R354">
        <v>0</v>
      </c>
      <c r="S354">
        <v>0</v>
      </c>
      <c r="T354">
        <v>2100</v>
      </c>
      <c r="V354" t="s">
        <v>87</v>
      </c>
      <c r="W354" t="s">
        <v>702</v>
      </c>
      <c r="AB354">
        <v>2700</v>
      </c>
      <c r="AC354" t="s">
        <v>90</v>
      </c>
      <c r="AD354">
        <v>6</v>
      </c>
      <c r="AE354" t="s">
        <v>91</v>
      </c>
      <c r="AF354" t="s">
        <v>102</v>
      </c>
      <c r="AH354">
        <v>8145010320</v>
      </c>
      <c r="AI354">
        <v>8145</v>
      </c>
      <c r="AJ354" t="s">
        <v>703</v>
      </c>
    </row>
    <row r="355" spans="1:36">
      <c r="A355" t="s">
        <v>918</v>
      </c>
      <c r="B355" t="s">
        <v>1099</v>
      </c>
      <c r="C355">
        <v>3</v>
      </c>
      <c r="D355" t="s">
        <v>190</v>
      </c>
      <c r="E355" t="s">
        <v>125</v>
      </c>
      <c r="F355" t="s">
        <v>79</v>
      </c>
      <c r="G355" t="s">
        <v>80</v>
      </c>
      <c r="H355" t="s">
        <v>81</v>
      </c>
      <c r="I355" t="s">
        <v>82</v>
      </c>
      <c r="J355" t="s">
        <v>191</v>
      </c>
      <c r="K355" t="s">
        <v>192</v>
      </c>
      <c r="L355">
        <v>1</v>
      </c>
      <c r="P355">
        <v>0</v>
      </c>
      <c r="Q355" t="s">
        <v>86</v>
      </c>
      <c r="R355">
        <v>0</v>
      </c>
      <c r="S355">
        <v>0</v>
      </c>
      <c r="T355">
        <v>1065</v>
      </c>
      <c r="V355">
        <v>6</v>
      </c>
      <c r="W355" t="s">
        <v>592</v>
      </c>
      <c r="AB355">
        <v>2700</v>
      </c>
      <c r="AC355" t="s">
        <v>90</v>
      </c>
      <c r="AD355">
        <v>4</v>
      </c>
      <c r="AE355" t="s">
        <v>101</v>
      </c>
      <c r="AF355" t="s">
        <v>102</v>
      </c>
      <c r="AH355">
        <v>8456003200</v>
      </c>
      <c r="AI355">
        <v>8456</v>
      </c>
      <c r="AJ355" t="s">
        <v>593</v>
      </c>
    </row>
    <row r="356" spans="1:36">
      <c r="A356" t="s">
        <v>1088</v>
      </c>
      <c r="B356" t="s">
        <v>1100</v>
      </c>
      <c r="C356">
        <v>4</v>
      </c>
      <c r="D356" t="s">
        <v>190</v>
      </c>
      <c r="E356" t="s">
        <v>125</v>
      </c>
      <c r="F356" t="s">
        <v>79</v>
      </c>
      <c r="G356" t="s">
        <v>80</v>
      </c>
      <c r="H356" t="s">
        <v>81</v>
      </c>
      <c r="I356" t="s">
        <v>82</v>
      </c>
      <c r="J356" t="s">
        <v>191</v>
      </c>
      <c r="K356" t="s">
        <v>192</v>
      </c>
      <c r="L356">
        <v>1</v>
      </c>
      <c r="P356">
        <v>0</v>
      </c>
      <c r="Q356" t="s">
        <v>86</v>
      </c>
      <c r="R356">
        <v>0</v>
      </c>
      <c r="S356">
        <v>0</v>
      </c>
      <c r="T356">
        <v>1065</v>
      </c>
      <c r="V356">
        <v>6</v>
      </c>
      <c r="W356" t="s">
        <v>592</v>
      </c>
      <c r="AB356">
        <v>2700</v>
      </c>
      <c r="AC356" t="s">
        <v>90</v>
      </c>
      <c r="AD356">
        <v>4</v>
      </c>
      <c r="AE356" t="s">
        <v>101</v>
      </c>
      <c r="AF356" t="s">
        <v>102</v>
      </c>
      <c r="AH356">
        <v>8456003300</v>
      </c>
      <c r="AI356">
        <v>8456</v>
      </c>
      <c r="AJ356" t="s">
        <v>593</v>
      </c>
    </row>
    <row r="357" spans="1:36">
      <c r="A357" t="s">
        <v>1101</v>
      </c>
      <c r="B357" t="s">
        <v>1102</v>
      </c>
      <c r="C357">
        <v>4</v>
      </c>
      <c r="D357" t="s">
        <v>190</v>
      </c>
      <c r="E357" t="s">
        <v>125</v>
      </c>
      <c r="F357" t="s">
        <v>79</v>
      </c>
      <c r="G357" t="s">
        <v>80</v>
      </c>
      <c r="H357" t="s">
        <v>81</v>
      </c>
      <c r="I357" t="s">
        <v>82</v>
      </c>
      <c r="J357" t="s">
        <v>191</v>
      </c>
      <c r="K357" t="s">
        <v>192</v>
      </c>
      <c r="L357">
        <v>1</v>
      </c>
      <c r="P357">
        <v>0</v>
      </c>
      <c r="Q357" t="s">
        <v>86</v>
      </c>
      <c r="R357">
        <v>0</v>
      </c>
      <c r="S357">
        <v>0</v>
      </c>
      <c r="T357">
        <v>1065</v>
      </c>
      <c r="V357" t="s">
        <v>87</v>
      </c>
      <c r="W357" t="s">
        <v>1088</v>
      </c>
      <c r="AB357">
        <v>2700</v>
      </c>
      <c r="AC357" t="s">
        <v>90</v>
      </c>
      <c r="AD357">
        <v>4</v>
      </c>
      <c r="AE357" t="s">
        <v>101</v>
      </c>
      <c r="AF357" t="s">
        <v>102</v>
      </c>
      <c r="AH357">
        <v>8456003301</v>
      </c>
      <c r="AI357">
        <v>8456</v>
      </c>
      <c r="AJ357" t="s">
        <v>593</v>
      </c>
    </row>
    <row r="358" spans="1:36">
      <c r="A358" t="s">
        <v>1103</v>
      </c>
      <c r="B358" t="s">
        <v>1104</v>
      </c>
      <c r="C358">
        <v>4</v>
      </c>
      <c r="D358" t="s">
        <v>190</v>
      </c>
      <c r="E358" t="s">
        <v>125</v>
      </c>
      <c r="F358" t="s">
        <v>79</v>
      </c>
      <c r="G358" t="s">
        <v>80</v>
      </c>
      <c r="H358" t="s">
        <v>81</v>
      </c>
      <c r="I358" t="s">
        <v>82</v>
      </c>
      <c r="J358" t="s">
        <v>191</v>
      </c>
      <c r="K358" t="s">
        <v>192</v>
      </c>
      <c r="L358">
        <v>1</v>
      </c>
      <c r="P358">
        <v>0</v>
      </c>
      <c r="Q358" t="s">
        <v>86</v>
      </c>
      <c r="R358">
        <v>0</v>
      </c>
      <c r="S358">
        <v>0</v>
      </c>
      <c r="T358">
        <v>1065</v>
      </c>
      <c r="V358" t="s">
        <v>87</v>
      </c>
      <c r="W358" t="s">
        <v>1088</v>
      </c>
      <c r="AB358">
        <v>2700</v>
      </c>
      <c r="AC358" t="s">
        <v>90</v>
      </c>
      <c r="AD358">
        <v>4</v>
      </c>
      <c r="AE358" t="s">
        <v>101</v>
      </c>
      <c r="AF358" t="s">
        <v>102</v>
      </c>
      <c r="AH358">
        <v>8456003303</v>
      </c>
      <c r="AI358">
        <v>8456</v>
      </c>
      <c r="AJ358" t="s">
        <v>593</v>
      </c>
    </row>
    <row r="359" spans="1:36">
      <c r="A359" t="s">
        <v>592</v>
      </c>
      <c r="B359" t="s">
        <v>1105</v>
      </c>
      <c r="C359">
        <v>3</v>
      </c>
      <c r="D359" t="s">
        <v>190</v>
      </c>
      <c r="E359" t="s">
        <v>125</v>
      </c>
      <c r="F359" t="s">
        <v>79</v>
      </c>
      <c r="G359" t="s">
        <v>80</v>
      </c>
      <c r="H359" t="s">
        <v>81</v>
      </c>
      <c r="I359" t="s">
        <v>82</v>
      </c>
      <c r="J359" t="s">
        <v>191</v>
      </c>
      <c r="K359" t="s">
        <v>192</v>
      </c>
      <c r="L359">
        <v>1</v>
      </c>
      <c r="P359">
        <v>0</v>
      </c>
      <c r="Q359" t="s">
        <v>86</v>
      </c>
      <c r="R359">
        <v>0</v>
      </c>
      <c r="S359">
        <v>0</v>
      </c>
      <c r="T359">
        <v>1065</v>
      </c>
      <c r="V359">
        <v>5</v>
      </c>
      <c r="W359" t="s">
        <v>193</v>
      </c>
      <c r="AB359">
        <v>2700</v>
      </c>
      <c r="AC359" t="s">
        <v>90</v>
      </c>
      <c r="AD359">
        <v>4</v>
      </c>
      <c r="AE359" t="s">
        <v>101</v>
      </c>
      <c r="AF359" t="s">
        <v>102</v>
      </c>
      <c r="AH359">
        <v>8456003100</v>
      </c>
      <c r="AI359">
        <v>8456</v>
      </c>
      <c r="AJ359" t="s">
        <v>593</v>
      </c>
    </row>
    <row r="360" spans="1:36">
      <c r="A360" t="s">
        <v>1106</v>
      </c>
      <c r="B360" t="s">
        <v>1107</v>
      </c>
      <c r="C360">
        <v>3</v>
      </c>
      <c r="D360" t="s">
        <v>190</v>
      </c>
      <c r="E360" t="s">
        <v>79</v>
      </c>
      <c r="F360" t="s">
        <v>125</v>
      </c>
      <c r="G360" t="s">
        <v>80</v>
      </c>
      <c r="H360" t="s">
        <v>81</v>
      </c>
      <c r="I360" t="s">
        <v>82</v>
      </c>
      <c r="P360">
        <v>0</v>
      </c>
      <c r="Q360" t="s">
        <v>86</v>
      </c>
      <c r="R360">
        <v>0</v>
      </c>
      <c r="S360">
        <v>0</v>
      </c>
      <c r="T360">
        <v>1065</v>
      </c>
      <c r="V360" t="s">
        <v>87</v>
      </c>
      <c r="W360" t="s">
        <v>413</v>
      </c>
      <c r="AB360" t="s">
        <v>1014</v>
      </c>
      <c r="AC360" t="s">
        <v>90</v>
      </c>
      <c r="AH360">
        <v>4170032015</v>
      </c>
      <c r="AI360">
        <v>4170</v>
      </c>
      <c r="AJ360" t="s">
        <v>1015</v>
      </c>
    </row>
    <row r="361" spans="1:36">
      <c r="A361" t="s">
        <v>1108</v>
      </c>
      <c r="B361" t="s">
        <v>1109</v>
      </c>
      <c r="C361">
        <v>3</v>
      </c>
      <c r="D361" t="s">
        <v>133</v>
      </c>
      <c r="E361" t="s">
        <v>79</v>
      </c>
      <c r="F361" t="s">
        <v>79</v>
      </c>
      <c r="G361" t="s">
        <v>80</v>
      </c>
      <c r="H361" t="s">
        <v>81</v>
      </c>
      <c r="I361" t="s">
        <v>82</v>
      </c>
      <c r="J361" t="s">
        <v>411</v>
      </c>
      <c r="K361" t="s">
        <v>412</v>
      </c>
      <c r="L361">
        <v>1</v>
      </c>
      <c r="O361" t="s">
        <v>411</v>
      </c>
      <c r="P361">
        <v>0</v>
      </c>
      <c r="Q361" t="s">
        <v>86</v>
      </c>
      <c r="R361">
        <v>0</v>
      </c>
      <c r="S361">
        <v>0</v>
      </c>
      <c r="T361">
        <v>1180</v>
      </c>
      <c r="V361" t="s">
        <v>87</v>
      </c>
      <c r="W361" t="s">
        <v>141</v>
      </c>
      <c r="AB361" t="s">
        <v>1110</v>
      </c>
      <c r="AC361" t="s">
        <v>90</v>
      </c>
      <c r="AD361">
        <v>6</v>
      </c>
      <c r="AE361" t="s">
        <v>91</v>
      </c>
      <c r="AF361" t="s">
        <v>102</v>
      </c>
      <c r="AH361">
        <v>3435007528</v>
      </c>
      <c r="AI361">
        <v>3435</v>
      </c>
      <c r="AJ361" t="s">
        <v>143</v>
      </c>
    </row>
    <row r="362" spans="1:36">
      <c r="A362" t="s">
        <v>323</v>
      </c>
      <c r="B362" t="s">
        <v>1111</v>
      </c>
      <c r="C362">
        <v>3</v>
      </c>
      <c r="D362" t="s">
        <v>190</v>
      </c>
      <c r="E362" t="s">
        <v>125</v>
      </c>
      <c r="F362" t="s">
        <v>79</v>
      </c>
      <c r="G362" t="s">
        <v>80</v>
      </c>
      <c r="H362" t="s">
        <v>81</v>
      </c>
      <c r="I362" t="s">
        <v>82</v>
      </c>
      <c r="J362" t="s">
        <v>191</v>
      </c>
      <c r="K362" t="s">
        <v>192</v>
      </c>
      <c r="L362">
        <v>1</v>
      </c>
      <c r="P362">
        <v>0</v>
      </c>
      <c r="Q362" t="s">
        <v>86</v>
      </c>
      <c r="R362">
        <v>0</v>
      </c>
      <c r="S362">
        <v>0</v>
      </c>
      <c r="T362">
        <v>1065</v>
      </c>
      <c r="V362">
        <v>4</v>
      </c>
      <c r="W362" t="s">
        <v>1096</v>
      </c>
      <c r="AB362">
        <v>2700</v>
      </c>
      <c r="AC362" t="s">
        <v>90</v>
      </c>
      <c r="AD362">
        <v>4</v>
      </c>
      <c r="AE362" t="s">
        <v>101</v>
      </c>
      <c r="AF362" t="s">
        <v>102</v>
      </c>
      <c r="AH362">
        <v>8000001000</v>
      </c>
      <c r="AI362">
        <v>8000</v>
      </c>
      <c r="AJ362" t="s">
        <v>324</v>
      </c>
    </row>
    <row r="363" spans="1:36">
      <c r="A363" t="s">
        <v>1112</v>
      </c>
      <c r="B363" t="s">
        <v>1113</v>
      </c>
      <c r="C363">
        <v>4</v>
      </c>
      <c r="D363" t="s">
        <v>190</v>
      </c>
      <c r="E363" t="s">
        <v>79</v>
      </c>
      <c r="F363" t="s">
        <v>79</v>
      </c>
      <c r="G363" t="s">
        <v>80</v>
      </c>
      <c r="H363" t="s">
        <v>81</v>
      </c>
      <c r="I363" t="s">
        <v>82</v>
      </c>
      <c r="J363" t="s">
        <v>191</v>
      </c>
      <c r="K363" t="s">
        <v>1092</v>
      </c>
      <c r="L363">
        <v>1</v>
      </c>
      <c r="P363">
        <v>0</v>
      </c>
      <c r="Q363" t="s">
        <v>86</v>
      </c>
      <c r="R363">
        <v>0</v>
      </c>
      <c r="S363">
        <v>0</v>
      </c>
      <c r="T363">
        <v>2600</v>
      </c>
      <c r="V363" t="s">
        <v>87</v>
      </c>
      <c r="W363" t="s">
        <v>702</v>
      </c>
      <c r="AB363">
        <v>2700</v>
      </c>
      <c r="AC363" t="s">
        <v>90</v>
      </c>
      <c r="AD363">
        <v>6</v>
      </c>
      <c r="AE363" t="s">
        <v>91</v>
      </c>
      <c r="AF363" t="s">
        <v>102</v>
      </c>
      <c r="AH363">
        <v>8145010315</v>
      </c>
      <c r="AI363">
        <v>8145</v>
      </c>
      <c r="AJ363" t="s">
        <v>703</v>
      </c>
    </row>
    <row r="364" spans="1:36">
      <c r="A364" t="s">
        <v>1114</v>
      </c>
      <c r="B364" t="s">
        <v>1115</v>
      </c>
      <c r="C364">
        <v>3</v>
      </c>
      <c r="D364" t="s">
        <v>133</v>
      </c>
      <c r="E364" t="s">
        <v>125</v>
      </c>
      <c r="F364" t="s">
        <v>125</v>
      </c>
      <c r="G364" t="s">
        <v>80</v>
      </c>
      <c r="H364" t="s">
        <v>81</v>
      </c>
      <c r="I364" t="s">
        <v>82</v>
      </c>
      <c r="P364">
        <v>0</v>
      </c>
      <c r="Q364" t="s">
        <v>86</v>
      </c>
      <c r="R364">
        <v>0</v>
      </c>
      <c r="S364">
        <v>0</v>
      </c>
      <c r="T364">
        <v>3950</v>
      </c>
      <c r="V364" t="s">
        <v>87</v>
      </c>
      <c r="W364" t="s">
        <v>1116</v>
      </c>
      <c r="AB364">
        <v>5700</v>
      </c>
      <c r="AC364" t="s">
        <v>90</v>
      </c>
      <c r="AD364">
        <v>4</v>
      </c>
      <c r="AH364">
        <v>9701001021</v>
      </c>
      <c r="AI364">
        <v>9701</v>
      </c>
      <c r="AJ364" t="s">
        <v>1117</v>
      </c>
    </row>
    <row r="365" spans="1:36">
      <c r="A365" t="s">
        <v>1118</v>
      </c>
      <c r="B365" t="s">
        <v>1119</v>
      </c>
      <c r="C365">
        <v>3</v>
      </c>
      <c r="D365" t="s">
        <v>133</v>
      </c>
      <c r="E365" t="s">
        <v>79</v>
      </c>
      <c r="F365" t="s">
        <v>125</v>
      </c>
      <c r="G365" t="s">
        <v>80</v>
      </c>
      <c r="H365" t="s">
        <v>81</v>
      </c>
      <c r="I365" t="s">
        <v>82</v>
      </c>
      <c r="P365">
        <v>0</v>
      </c>
      <c r="Q365" t="s">
        <v>86</v>
      </c>
      <c r="R365">
        <v>0</v>
      </c>
      <c r="S365">
        <v>0</v>
      </c>
      <c r="T365">
        <v>3950</v>
      </c>
      <c r="V365" t="s">
        <v>87</v>
      </c>
      <c r="W365" t="s">
        <v>541</v>
      </c>
      <c r="AB365">
        <v>7474</v>
      </c>
      <c r="AC365" t="s">
        <v>305</v>
      </c>
      <c r="AD365">
        <v>6</v>
      </c>
      <c r="AH365">
        <v>2037014224</v>
      </c>
      <c r="AI365">
        <v>2037</v>
      </c>
      <c r="AJ365" t="s">
        <v>122</v>
      </c>
    </row>
    <row r="366" spans="1:36">
      <c r="A366" t="s">
        <v>1120</v>
      </c>
      <c r="B366" t="s">
        <v>1121</v>
      </c>
      <c r="C366">
        <v>3</v>
      </c>
      <c r="D366" t="s">
        <v>133</v>
      </c>
      <c r="E366" t="s">
        <v>79</v>
      </c>
      <c r="F366" t="s">
        <v>79</v>
      </c>
      <c r="G366" t="s">
        <v>80</v>
      </c>
      <c r="H366" t="s">
        <v>81</v>
      </c>
      <c r="I366" t="s">
        <v>82</v>
      </c>
      <c r="J366" t="s">
        <v>83</v>
      </c>
      <c r="K366" t="s">
        <v>83</v>
      </c>
      <c r="L366" t="s">
        <v>84</v>
      </c>
      <c r="O366" t="s">
        <v>85</v>
      </c>
      <c r="P366">
        <v>0</v>
      </c>
      <c r="Q366" t="s">
        <v>86</v>
      </c>
      <c r="R366">
        <v>0</v>
      </c>
      <c r="S366">
        <v>0</v>
      </c>
      <c r="T366">
        <v>5615</v>
      </c>
      <c r="V366" t="s">
        <v>87</v>
      </c>
      <c r="W366" t="s">
        <v>88</v>
      </c>
      <c r="AB366" t="s">
        <v>441</v>
      </c>
      <c r="AC366" t="s">
        <v>442</v>
      </c>
      <c r="AD366">
        <v>6</v>
      </c>
      <c r="AE366" t="s">
        <v>91</v>
      </c>
      <c r="AF366" t="s">
        <v>92</v>
      </c>
      <c r="AH366">
        <v>9570008301</v>
      </c>
      <c r="AI366">
        <v>9570</v>
      </c>
      <c r="AJ366" t="s">
        <v>83</v>
      </c>
    </row>
    <row r="367" spans="1:36">
      <c r="A367" t="s">
        <v>1122</v>
      </c>
      <c r="B367" t="s">
        <v>1123</v>
      </c>
      <c r="C367">
        <v>3</v>
      </c>
      <c r="D367" t="s">
        <v>133</v>
      </c>
      <c r="E367" t="s">
        <v>79</v>
      </c>
      <c r="F367" t="s">
        <v>79</v>
      </c>
      <c r="G367" t="s">
        <v>80</v>
      </c>
      <c r="H367" t="s">
        <v>81</v>
      </c>
      <c r="I367" t="s">
        <v>82</v>
      </c>
      <c r="J367" t="s">
        <v>119</v>
      </c>
      <c r="K367" t="s">
        <v>81</v>
      </c>
      <c r="L367">
        <v>4</v>
      </c>
      <c r="O367" t="s">
        <v>119</v>
      </c>
      <c r="P367">
        <v>0</v>
      </c>
      <c r="Q367" t="s">
        <v>86</v>
      </c>
      <c r="R367">
        <v>0</v>
      </c>
      <c r="S367">
        <v>0</v>
      </c>
      <c r="T367">
        <v>5615</v>
      </c>
      <c r="V367" t="s">
        <v>87</v>
      </c>
      <c r="W367" t="s">
        <v>80</v>
      </c>
      <c r="AB367" t="s">
        <v>121</v>
      </c>
      <c r="AC367" t="s">
        <v>90</v>
      </c>
      <c r="AD367">
        <v>6</v>
      </c>
      <c r="AE367" t="s">
        <v>91</v>
      </c>
      <c r="AF367" t="s">
        <v>102</v>
      </c>
      <c r="AH367">
        <v>2037013217</v>
      </c>
      <c r="AI367">
        <v>2037</v>
      </c>
      <c r="AJ367" t="s">
        <v>122</v>
      </c>
    </row>
    <row r="368" spans="1:36">
      <c r="A368" t="s">
        <v>1124</v>
      </c>
      <c r="B368" t="s">
        <v>1125</v>
      </c>
      <c r="C368">
        <v>4</v>
      </c>
      <c r="D368" t="s">
        <v>78</v>
      </c>
      <c r="E368" t="s">
        <v>79</v>
      </c>
      <c r="F368" t="s">
        <v>79</v>
      </c>
      <c r="G368" t="s">
        <v>80</v>
      </c>
      <c r="H368" t="s">
        <v>81</v>
      </c>
      <c r="I368" t="s">
        <v>82</v>
      </c>
      <c r="J368" t="s">
        <v>301</v>
      </c>
      <c r="P368">
        <v>0</v>
      </c>
      <c r="Q368" t="s">
        <v>86</v>
      </c>
      <c r="R368">
        <v>0</v>
      </c>
      <c r="S368">
        <v>0</v>
      </c>
      <c r="T368">
        <v>8000</v>
      </c>
      <c r="V368" t="s">
        <v>87</v>
      </c>
      <c r="W368" t="s">
        <v>303</v>
      </c>
      <c r="AD368">
        <v>6</v>
      </c>
      <c r="AE368" t="s">
        <v>91</v>
      </c>
      <c r="AF368" t="s">
        <v>102</v>
      </c>
    </row>
    <row r="369" spans="1:36">
      <c r="A369" t="s">
        <v>1126</v>
      </c>
      <c r="B369" t="s">
        <v>1127</v>
      </c>
      <c r="C369">
        <v>4</v>
      </c>
      <c r="D369" t="s">
        <v>130</v>
      </c>
      <c r="E369" t="s">
        <v>79</v>
      </c>
      <c r="F369" t="s">
        <v>79</v>
      </c>
      <c r="G369" t="s">
        <v>80</v>
      </c>
      <c r="H369" t="s">
        <v>81</v>
      </c>
      <c r="I369" t="s">
        <v>82</v>
      </c>
      <c r="J369" t="s">
        <v>301</v>
      </c>
      <c r="P369">
        <v>0</v>
      </c>
      <c r="Q369" t="s">
        <v>86</v>
      </c>
      <c r="R369">
        <v>0</v>
      </c>
      <c r="S369">
        <v>0</v>
      </c>
      <c r="T369">
        <v>5000</v>
      </c>
      <c r="V369" t="s">
        <v>87</v>
      </c>
      <c r="W369" t="s">
        <v>303</v>
      </c>
      <c r="AD369">
        <v>6</v>
      </c>
      <c r="AE369" t="s">
        <v>91</v>
      </c>
      <c r="AF369" t="s">
        <v>102</v>
      </c>
    </row>
    <row r="370" spans="1:36">
      <c r="A370" t="s">
        <v>1128</v>
      </c>
      <c r="B370" t="s">
        <v>1129</v>
      </c>
      <c r="C370">
        <v>3</v>
      </c>
      <c r="D370" t="s">
        <v>78</v>
      </c>
      <c r="E370" t="s">
        <v>79</v>
      </c>
      <c r="F370" t="s">
        <v>125</v>
      </c>
      <c r="G370" t="s">
        <v>80</v>
      </c>
      <c r="H370" t="s">
        <v>81</v>
      </c>
      <c r="I370" t="s">
        <v>82</v>
      </c>
      <c r="P370">
        <v>0</v>
      </c>
      <c r="Q370" t="s">
        <v>86</v>
      </c>
      <c r="R370">
        <v>0</v>
      </c>
      <c r="S370">
        <v>0</v>
      </c>
      <c r="T370">
        <v>9500</v>
      </c>
      <c r="V370" t="s">
        <v>87</v>
      </c>
      <c r="W370" t="s">
        <v>426</v>
      </c>
      <c r="AB370" t="s">
        <v>100</v>
      </c>
      <c r="AC370" t="s">
        <v>90</v>
      </c>
      <c r="AD370">
        <v>6</v>
      </c>
      <c r="AH370">
        <v>4450110326</v>
      </c>
      <c r="AI370">
        <v>4450</v>
      </c>
      <c r="AJ370" t="s">
        <v>111</v>
      </c>
    </row>
    <row r="371" spans="1:36">
      <c r="A371" t="s">
        <v>1130</v>
      </c>
      <c r="B371" t="s">
        <v>1131</v>
      </c>
      <c r="C371">
        <v>4</v>
      </c>
      <c r="D371" t="s">
        <v>953</v>
      </c>
      <c r="E371" t="s">
        <v>125</v>
      </c>
      <c r="F371" t="s">
        <v>79</v>
      </c>
      <c r="G371" t="s">
        <v>80</v>
      </c>
      <c r="H371" t="s">
        <v>81</v>
      </c>
      <c r="I371" t="s">
        <v>82</v>
      </c>
      <c r="J371" t="s">
        <v>95</v>
      </c>
      <c r="K371" t="s">
        <v>163</v>
      </c>
      <c r="L371">
        <v>95</v>
      </c>
      <c r="N371" t="s">
        <v>155</v>
      </c>
      <c r="O371" t="s">
        <v>98</v>
      </c>
      <c r="P371">
        <v>0</v>
      </c>
      <c r="Q371" t="s">
        <v>86</v>
      </c>
      <c r="R371">
        <v>0</v>
      </c>
      <c r="S371">
        <v>0</v>
      </c>
      <c r="T371">
        <v>7100</v>
      </c>
      <c r="U371">
        <v>235212438</v>
      </c>
      <c r="V371">
        <v>5</v>
      </c>
      <c r="W371" t="s">
        <v>1132</v>
      </c>
      <c r="AB371" t="s">
        <v>100</v>
      </c>
      <c r="AC371" t="s">
        <v>90</v>
      </c>
      <c r="AD371">
        <v>4</v>
      </c>
      <c r="AE371" t="s">
        <v>165</v>
      </c>
      <c r="AF371" t="s">
        <v>102</v>
      </c>
      <c r="AH371">
        <v>575004800</v>
      </c>
      <c r="AI371">
        <v>575</v>
      </c>
      <c r="AJ371" t="s">
        <v>1133</v>
      </c>
    </row>
    <row r="372" spans="1:36">
      <c r="A372" t="s">
        <v>1134</v>
      </c>
      <c r="B372" t="s">
        <v>1135</v>
      </c>
      <c r="C372">
        <v>4</v>
      </c>
      <c r="D372" t="s">
        <v>78</v>
      </c>
      <c r="E372" t="s">
        <v>125</v>
      </c>
      <c r="F372" t="s">
        <v>79</v>
      </c>
      <c r="G372" t="s">
        <v>80</v>
      </c>
      <c r="H372" t="s">
        <v>81</v>
      </c>
      <c r="I372" t="s">
        <v>82</v>
      </c>
      <c r="J372" t="s">
        <v>95</v>
      </c>
      <c r="K372" t="s">
        <v>163</v>
      </c>
      <c r="L372">
        <v>96</v>
      </c>
      <c r="N372" t="s">
        <v>155</v>
      </c>
      <c r="O372" t="s">
        <v>98</v>
      </c>
      <c r="P372">
        <v>0</v>
      </c>
      <c r="Q372" t="s">
        <v>86</v>
      </c>
      <c r="R372">
        <v>0</v>
      </c>
      <c r="S372">
        <v>0</v>
      </c>
      <c r="T372">
        <v>9500</v>
      </c>
      <c r="U372">
        <v>966671274</v>
      </c>
      <c r="V372">
        <v>5</v>
      </c>
      <c r="W372" t="s">
        <v>164</v>
      </c>
      <c r="AB372" t="s">
        <v>100</v>
      </c>
      <c r="AC372" t="s">
        <v>90</v>
      </c>
      <c r="AD372">
        <v>4</v>
      </c>
      <c r="AE372" t="s">
        <v>165</v>
      </c>
      <c r="AF372" t="s">
        <v>102</v>
      </c>
      <c r="AH372">
        <v>442008300</v>
      </c>
      <c r="AI372">
        <v>442</v>
      </c>
      <c r="AJ372" t="s">
        <v>169</v>
      </c>
    </row>
    <row r="373" spans="1:36">
      <c r="A373" t="s">
        <v>1136</v>
      </c>
      <c r="B373" t="s">
        <v>1137</v>
      </c>
      <c r="C373">
        <v>4</v>
      </c>
      <c r="D373" t="s">
        <v>190</v>
      </c>
      <c r="E373" t="s">
        <v>125</v>
      </c>
      <c r="F373" t="s">
        <v>79</v>
      </c>
      <c r="G373" t="s">
        <v>80</v>
      </c>
      <c r="H373" t="s">
        <v>81</v>
      </c>
      <c r="I373" t="s">
        <v>82</v>
      </c>
      <c r="J373" t="s">
        <v>191</v>
      </c>
      <c r="K373" t="s">
        <v>192</v>
      </c>
      <c r="L373">
        <v>1</v>
      </c>
      <c r="P373">
        <v>0</v>
      </c>
      <c r="Q373" t="s">
        <v>86</v>
      </c>
      <c r="R373">
        <v>0</v>
      </c>
      <c r="S373">
        <v>0</v>
      </c>
      <c r="T373">
        <v>1065</v>
      </c>
      <c r="V373" t="s">
        <v>87</v>
      </c>
      <c r="W373" t="s">
        <v>592</v>
      </c>
      <c r="AB373">
        <v>2700</v>
      </c>
      <c r="AC373" t="s">
        <v>90</v>
      </c>
      <c r="AD373">
        <v>4</v>
      </c>
      <c r="AE373" t="s">
        <v>101</v>
      </c>
      <c r="AF373" t="s">
        <v>102</v>
      </c>
      <c r="AH373">
        <v>8456003117</v>
      </c>
      <c r="AI373">
        <v>8456</v>
      </c>
      <c r="AJ373" t="s">
        <v>593</v>
      </c>
    </row>
    <row r="374" spans="1:36">
      <c r="A374" t="s">
        <v>1138</v>
      </c>
      <c r="B374" t="s">
        <v>1139</v>
      </c>
      <c r="C374">
        <v>4</v>
      </c>
      <c r="D374" t="s">
        <v>78</v>
      </c>
      <c r="E374" t="s">
        <v>125</v>
      </c>
      <c r="F374" t="s">
        <v>79</v>
      </c>
      <c r="G374" t="s">
        <v>80</v>
      </c>
      <c r="H374" t="s">
        <v>81</v>
      </c>
      <c r="I374" t="s">
        <v>82</v>
      </c>
      <c r="J374" t="s">
        <v>95</v>
      </c>
      <c r="K374" t="s">
        <v>163</v>
      </c>
      <c r="L374">
        <v>96</v>
      </c>
      <c r="N374" t="s">
        <v>155</v>
      </c>
      <c r="O374" t="s">
        <v>98</v>
      </c>
      <c r="P374">
        <v>0</v>
      </c>
      <c r="Q374" t="s">
        <v>86</v>
      </c>
      <c r="R374">
        <v>0</v>
      </c>
      <c r="S374">
        <v>0</v>
      </c>
      <c r="T374">
        <v>9500</v>
      </c>
      <c r="V374">
        <v>5</v>
      </c>
      <c r="W374" t="s">
        <v>164</v>
      </c>
      <c r="AB374" t="s">
        <v>100</v>
      </c>
      <c r="AC374" t="s">
        <v>90</v>
      </c>
      <c r="AD374">
        <v>4</v>
      </c>
      <c r="AE374" t="s">
        <v>165</v>
      </c>
      <c r="AF374" t="s">
        <v>102</v>
      </c>
      <c r="AH374">
        <v>442008600</v>
      </c>
      <c r="AI374">
        <v>442</v>
      </c>
      <c r="AJ374" t="s">
        <v>169</v>
      </c>
    </row>
    <row r="375" spans="1:36">
      <c r="A375" t="s">
        <v>1140</v>
      </c>
      <c r="B375" t="s">
        <v>1141</v>
      </c>
      <c r="C375">
        <v>4</v>
      </c>
      <c r="D375" t="s">
        <v>78</v>
      </c>
      <c r="E375" t="s">
        <v>125</v>
      </c>
      <c r="F375" t="s">
        <v>79</v>
      </c>
      <c r="G375" t="s">
        <v>80</v>
      </c>
      <c r="H375" t="s">
        <v>81</v>
      </c>
      <c r="I375" t="s">
        <v>82</v>
      </c>
      <c r="J375" t="s">
        <v>95</v>
      </c>
      <c r="K375" t="s">
        <v>163</v>
      </c>
      <c r="L375">
        <v>96</v>
      </c>
      <c r="N375" t="s">
        <v>155</v>
      </c>
      <c r="O375" t="s">
        <v>98</v>
      </c>
      <c r="P375">
        <v>0</v>
      </c>
      <c r="Q375" t="s">
        <v>86</v>
      </c>
      <c r="R375">
        <v>0</v>
      </c>
      <c r="S375">
        <v>0</v>
      </c>
      <c r="T375">
        <v>9500</v>
      </c>
      <c r="U375">
        <v>966721275</v>
      </c>
      <c r="V375">
        <v>5</v>
      </c>
      <c r="W375" t="s">
        <v>164</v>
      </c>
      <c r="AB375" t="s">
        <v>100</v>
      </c>
      <c r="AC375" t="s">
        <v>90</v>
      </c>
      <c r="AD375">
        <v>2</v>
      </c>
      <c r="AE375" t="s">
        <v>165</v>
      </c>
      <c r="AF375" t="s">
        <v>102</v>
      </c>
      <c r="AH375">
        <v>442008500</v>
      </c>
      <c r="AI375">
        <v>442</v>
      </c>
      <c r="AJ375" t="s">
        <v>169</v>
      </c>
    </row>
    <row r="376" spans="1:36">
      <c r="A376" t="s">
        <v>1142</v>
      </c>
      <c r="B376" t="s">
        <v>1143</v>
      </c>
      <c r="C376">
        <v>4</v>
      </c>
      <c r="D376" t="s">
        <v>78</v>
      </c>
      <c r="E376" t="s">
        <v>125</v>
      </c>
      <c r="F376" t="s">
        <v>79</v>
      </c>
      <c r="G376" t="s">
        <v>80</v>
      </c>
      <c r="H376" t="s">
        <v>81</v>
      </c>
      <c r="I376" t="s">
        <v>82</v>
      </c>
      <c r="J376" t="s">
        <v>95</v>
      </c>
      <c r="K376" t="s">
        <v>184</v>
      </c>
      <c r="L376">
        <v>98</v>
      </c>
      <c r="N376" t="s">
        <v>185</v>
      </c>
      <c r="O376" t="s">
        <v>98</v>
      </c>
      <c r="P376">
        <v>0</v>
      </c>
      <c r="Q376" t="s">
        <v>86</v>
      </c>
      <c r="R376">
        <v>0</v>
      </c>
      <c r="S376">
        <v>0</v>
      </c>
      <c r="T376">
        <v>9500</v>
      </c>
      <c r="U376">
        <v>966162876</v>
      </c>
      <c r="V376">
        <v>4</v>
      </c>
      <c r="W376" t="s">
        <v>649</v>
      </c>
      <c r="AB376" t="s">
        <v>100</v>
      </c>
      <c r="AC376" t="s">
        <v>90</v>
      </c>
      <c r="AD376">
        <v>4</v>
      </c>
      <c r="AE376" t="s">
        <v>165</v>
      </c>
      <c r="AF376" t="s">
        <v>102</v>
      </c>
      <c r="AH376">
        <v>407007600</v>
      </c>
      <c r="AI376">
        <v>407</v>
      </c>
      <c r="AJ376" t="s">
        <v>1144</v>
      </c>
    </row>
    <row r="377" spans="1:36">
      <c r="A377" t="s">
        <v>1145</v>
      </c>
      <c r="B377" t="s">
        <v>1146</v>
      </c>
      <c r="C377">
        <v>3</v>
      </c>
      <c r="D377" t="s">
        <v>78</v>
      </c>
      <c r="E377" t="s">
        <v>79</v>
      </c>
      <c r="F377" t="s">
        <v>79</v>
      </c>
      <c r="G377" t="s">
        <v>80</v>
      </c>
      <c r="H377" t="s">
        <v>81</v>
      </c>
      <c r="I377" t="s">
        <v>82</v>
      </c>
      <c r="J377" t="s">
        <v>106</v>
      </c>
      <c r="K377" t="s">
        <v>107</v>
      </c>
      <c r="L377" s="1">
        <v>45328</v>
      </c>
      <c r="N377" t="s">
        <v>108</v>
      </c>
      <c r="O377" t="s">
        <v>98</v>
      </c>
      <c r="P377">
        <v>0</v>
      </c>
      <c r="Q377" t="s">
        <v>86</v>
      </c>
      <c r="R377">
        <v>0</v>
      </c>
      <c r="S377">
        <v>0</v>
      </c>
      <c r="T377">
        <v>9500</v>
      </c>
      <c r="U377">
        <v>963491100</v>
      </c>
      <c r="V377" t="s">
        <v>87</v>
      </c>
      <c r="W377" t="s">
        <v>1147</v>
      </c>
      <c r="AB377">
        <v>9999</v>
      </c>
      <c r="AC377" t="s">
        <v>90</v>
      </c>
      <c r="AD377">
        <v>6</v>
      </c>
      <c r="AE377" t="s">
        <v>101</v>
      </c>
      <c r="AF377" t="s">
        <v>102</v>
      </c>
      <c r="AH377">
        <v>3675400009</v>
      </c>
      <c r="AI377">
        <v>3675</v>
      </c>
      <c r="AJ377" t="s">
        <v>1148</v>
      </c>
    </row>
    <row r="378" spans="1:36">
      <c r="A378" t="s">
        <v>1149</v>
      </c>
      <c r="B378" t="s">
        <v>1150</v>
      </c>
      <c r="C378">
        <v>3</v>
      </c>
      <c r="D378" t="s">
        <v>78</v>
      </c>
      <c r="E378" t="s">
        <v>79</v>
      </c>
      <c r="F378" t="s">
        <v>79</v>
      </c>
      <c r="G378" t="s">
        <v>80</v>
      </c>
      <c r="H378" t="s">
        <v>81</v>
      </c>
      <c r="I378" t="s">
        <v>82</v>
      </c>
      <c r="J378" t="s">
        <v>114</v>
      </c>
      <c r="K378" t="s">
        <v>115</v>
      </c>
      <c r="L378">
        <v>4</v>
      </c>
      <c r="O378" t="s">
        <v>98</v>
      </c>
      <c r="P378">
        <v>0</v>
      </c>
      <c r="Q378" t="s">
        <v>86</v>
      </c>
      <c r="R378">
        <v>0</v>
      </c>
      <c r="S378">
        <v>0</v>
      </c>
      <c r="T378">
        <v>9500</v>
      </c>
      <c r="V378" t="s">
        <v>87</v>
      </c>
      <c r="W378" t="s">
        <v>78</v>
      </c>
      <c r="AB378" t="s">
        <v>116</v>
      </c>
      <c r="AC378" t="s">
        <v>90</v>
      </c>
      <c r="AD378">
        <v>6</v>
      </c>
      <c r="AE378" t="s">
        <v>91</v>
      </c>
      <c r="AF378" t="s">
        <v>102</v>
      </c>
      <c r="AH378">
        <v>1087001008</v>
      </c>
      <c r="AI378">
        <v>1087</v>
      </c>
      <c r="AJ378" t="s">
        <v>117</v>
      </c>
    </row>
    <row r="379" spans="1:36">
      <c r="A379" t="s">
        <v>1151</v>
      </c>
      <c r="B379" t="s">
        <v>1152</v>
      </c>
      <c r="C379">
        <v>3</v>
      </c>
      <c r="D379" t="s">
        <v>174</v>
      </c>
      <c r="E379" t="s">
        <v>79</v>
      </c>
      <c r="F379" t="s">
        <v>79</v>
      </c>
      <c r="G379" t="s">
        <v>80</v>
      </c>
      <c r="H379" t="s">
        <v>81</v>
      </c>
      <c r="I379" t="s">
        <v>82</v>
      </c>
      <c r="J379" t="s">
        <v>223</v>
      </c>
      <c r="K379" t="s">
        <v>224</v>
      </c>
      <c r="L379" t="s">
        <v>84</v>
      </c>
      <c r="O379" t="s">
        <v>85</v>
      </c>
      <c r="P379">
        <v>0</v>
      </c>
      <c r="Q379" t="s">
        <v>86</v>
      </c>
      <c r="R379">
        <v>0</v>
      </c>
      <c r="S379">
        <v>0</v>
      </c>
      <c r="T379">
        <v>4885</v>
      </c>
      <c r="V379">
        <v>3</v>
      </c>
      <c r="W379" t="s">
        <v>225</v>
      </c>
      <c r="AB379" t="s">
        <v>226</v>
      </c>
      <c r="AC379" t="s">
        <v>90</v>
      </c>
      <c r="AD379">
        <v>6</v>
      </c>
      <c r="AE379" t="s">
        <v>91</v>
      </c>
      <c r="AF379" t="s">
        <v>92</v>
      </c>
      <c r="AH379">
        <v>9515000300</v>
      </c>
      <c r="AI379">
        <v>9515</v>
      </c>
      <c r="AJ379" t="s">
        <v>227</v>
      </c>
    </row>
    <row r="380" spans="1:36">
      <c r="A380" t="s">
        <v>1153</v>
      </c>
      <c r="B380" t="s">
        <v>1154</v>
      </c>
      <c r="C380">
        <v>3</v>
      </c>
      <c r="D380" t="s">
        <v>130</v>
      </c>
      <c r="E380" t="s">
        <v>79</v>
      </c>
      <c r="F380" t="s">
        <v>79</v>
      </c>
      <c r="G380" t="s">
        <v>80</v>
      </c>
      <c r="H380" t="s">
        <v>81</v>
      </c>
      <c r="I380" t="s">
        <v>82</v>
      </c>
      <c r="J380" t="s">
        <v>114</v>
      </c>
      <c r="K380" t="s">
        <v>115</v>
      </c>
      <c r="L380">
        <v>4</v>
      </c>
      <c r="O380" t="s">
        <v>98</v>
      </c>
      <c r="P380">
        <v>0</v>
      </c>
      <c r="Q380" t="s">
        <v>86</v>
      </c>
      <c r="R380">
        <v>0</v>
      </c>
      <c r="S380">
        <v>0</v>
      </c>
      <c r="T380">
        <v>7100</v>
      </c>
      <c r="V380" t="s">
        <v>87</v>
      </c>
      <c r="W380" t="s">
        <v>130</v>
      </c>
      <c r="AB380" t="s">
        <v>116</v>
      </c>
      <c r="AC380" t="s">
        <v>90</v>
      </c>
      <c r="AD380">
        <v>6</v>
      </c>
      <c r="AE380" t="s">
        <v>91</v>
      </c>
      <c r="AF380" t="s">
        <v>102</v>
      </c>
      <c r="AH380">
        <v>1087001204</v>
      </c>
      <c r="AI380">
        <v>1087</v>
      </c>
      <c r="AJ380" t="s">
        <v>117</v>
      </c>
    </row>
    <row r="381" spans="1:36">
      <c r="A381" t="s">
        <v>1155</v>
      </c>
      <c r="B381" t="s">
        <v>1156</v>
      </c>
      <c r="C381">
        <v>3</v>
      </c>
      <c r="D381" t="s">
        <v>133</v>
      </c>
      <c r="E381" t="s">
        <v>125</v>
      </c>
      <c r="F381" t="s">
        <v>79</v>
      </c>
      <c r="G381" t="s">
        <v>80</v>
      </c>
      <c r="H381" t="s">
        <v>81</v>
      </c>
      <c r="I381" t="s">
        <v>82</v>
      </c>
      <c r="J381" t="s">
        <v>95</v>
      </c>
      <c r="K381" t="s">
        <v>184</v>
      </c>
      <c r="L381">
        <v>98</v>
      </c>
      <c r="N381" t="s">
        <v>185</v>
      </c>
      <c r="O381" t="s">
        <v>98</v>
      </c>
      <c r="P381">
        <v>0</v>
      </c>
      <c r="Q381" t="s">
        <v>86</v>
      </c>
      <c r="R381">
        <v>0</v>
      </c>
      <c r="S381">
        <v>0</v>
      </c>
      <c r="T381">
        <v>3950</v>
      </c>
      <c r="V381" t="s">
        <v>87</v>
      </c>
      <c r="W381" t="s">
        <v>347</v>
      </c>
      <c r="AB381" t="s">
        <v>1048</v>
      </c>
      <c r="AC381" t="s">
        <v>90</v>
      </c>
      <c r="AD381">
        <v>4</v>
      </c>
      <c r="AE381" t="s">
        <v>165</v>
      </c>
      <c r="AF381" t="s">
        <v>102</v>
      </c>
      <c r="AH381">
        <v>2350000101</v>
      </c>
      <c r="AI381">
        <v>2350</v>
      </c>
      <c r="AJ381" t="s">
        <v>349</v>
      </c>
    </row>
    <row r="382" spans="1:36">
      <c r="A382" t="s">
        <v>1157</v>
      </c>
      <c r="B382" t="s">
        <v>1158</v>
      </c>
      <c r="C382">
        <v>3</v>
      </c>
      <c r="D382" t="s">
        <v>133</v>
      </c>
      <c r="E382" t="s">
        <v>79</v>
      </c>
      <c r="F382" t="s">
        <v>79</v>
      </c>
      <c r="G382" t="s">
        <v>80</v>
      </c>
      <c r="H382" t="s">
        <v>81</v>
      </c>
      <c r="I382" t="s">
        <v>82</v>
      </c>
      <c r="J382" t="s">
        <v>114</v>
      </c>
      <c r="K382" t="s">
        <v>115</v>
      </c>
      <c r="L382">
        <v>4</v>
      </c>
      <c r="O382" t="s">
        <v>98</v>
      </c>
      <c r="P382">
        <v>0</v>
      </c>
      <c r="Q382" t="s">
        <v>86</v>
      </c>
      <c r="R382">
        <v>0</v>
      </c>
      <c r="S382">
        <v>0</v>
      </c>
      <c r="T382">
        <v>8750</v>
      </c>
      <c r="V382" t="s">
        <v>87</v>
      </c>
      <c r="W382" t="s">
        <v>133</v>
      </c>
      <c r="AB382" t="s">
        <v>116</v>
      </c>
      <c r="AC382" t="s">
        <v>90</v>
      </c>
      <c r="AD382">
        <v>6</v>
      </c>
      <c r="AE382" t="s">
        <v>91</v>
      </c>
      <c r="AF382" t="s">
        <v>102</v>
      </c>
      <c r="AH382">
        <v>1087001104</v>
      </c>
      <c r="AI382">
        <v>1087</v>
      </c>
      <c r="AJ382" t="s">
        <v>117</v>
      </c>
    </row>
    <row r="383" spans="1:36">
      <c r="A383" t="s">
        <v>1159</v>
      </c>
      <c r="B383" t="s">
        <v>1160</v>
      </c>
      <c r="C383">
        <v>4</v>
      </c>
      <c r="D383" t="s">
        <v>78</v>
      </c>
      <c r="E383" t="s">
        <v>125</v>
      </c>
      <c r="F383" t="s">
        <v>79</v>
      </c>
      <c r="G383" t="s">
        <v>80</v>
      </c>
      <c r="H383" t="s">
        <v>81</v>
      </c>
      <c r="I383" t="s">
        <v>82</v>
      </c>
      <c r="J383" t="s">
        <v>95</v>
      </c>
      <c r="K383" t="s">
        <v>163</v>
      </c>
      <c r="L383">
        <v>96</v>
      </c>
      <c r="N383" t="s">
        <v>155</v>
      </c>
      <c r="O383" t="s">
        <v>98</v>
      </c>
      <c r="P383">
        <v>0</v>
      </c>
      <c r="Q383" t="s">
        <v>86</v>
      </c>
      <c r="R383">
        <v>0</v>
      </c>
      <c r="S383">
        <v>0</v>
      </c>
      <c r="T383">
        <v>9500</v>
      </c>
      <c r="V383">
        <v>5</v>
      </c>
      <c r="W383" t="s">
        <v>164</v>
      </c>
      <c r="AB383" t="s">
        <v>100</v>
      </c>
      <c r="AC383" t="s">
        <v>90</v>
      </c>
      <c r="AD383">
        <v>4</v>
      </c>
      <c r="AE383" t="s">
        <v>165</v>
      </c>
      <c r="AF383" t="s">
        <v>102</v>
      </c>
      <c r="AH383">
        <v>442011300</v>
      </c>
      <c r="AI383">
        <v>442</v>
      </c>
      <c r="AJ383" t="s">
        <v>169</v>
      </c>
    </row>
    <row r="384" spans="1:36">
      <c r="A384" t="s">
        <v>1161</v>
      </c>
      <c r="B384" t="s">
        <v>1162</v>
      </c>
      <c r="C384">
        <v>3</v>
      </c>
      <c r="D384" t="s">
        <v>78</v>
      </c>
      <c r="E384" t="s">
        <v>79</v>
      </c>
      <c r="F384" t="s">
        <v>79</v>
      </c>
      <c r="G384" t="s">
        <v>80</v>
      </c>
      <c r="H384" t="s">
        <v>81</v>
      </c>
      <c r="I384" t="s">
        <v>82</v>
      </c>
      <c r="J384" t="s">
        <v>114</v>
      </c>
      <c r="K384" t="s">
        <v>115</v>
      </c>
      <c r="L384">
        <v>4</v>
      </c>
      <c r="O384" t="s">
        <v>98</v>
      </c>
      <c r="P384">
        <v>0</v>
      </c>
      <c r="Q384" t="s">
        <v>86</v>
      </c>
      <c r="R384">
        <v>0</v>
      </c>
      <c r="S384">
        <v>0</v>
      </c>
      <c r="T384">
        <v>9500</v>
      </c>
      <c r="V384" t="s">
        <v>87</v>
      </c>
      <c r="W384" t="s">
        <v>755</v>
      </c>
      <c r="AB384" t="s">
        <v>116</v>
      </c>
      <c r="AC384" t="s">
        <v>90</v>
      </c>
      <c r="AD384">
        <v>6</v>
      </c>
      <c r="AE384" t="s">
        <v>91</v>
      </c>
      <c r="AF384" t="s">
        <v>102</v>
      </c>
      <c r="AH384">
        <v>3352000302</v>
      </c>
      <c r="AI384">
        <v>3352</v>
      </c>
      <c r="AJ384" t="s">
        <v>756</v>
      </c>
    </row>
    <row r="385" spans="1:36">
      <c r="A385" t="s">
        <v>1163</v>
      </c>
      <c r="B385" t="s">
        <v>1164</v>
      </c>
      <c r="C385">
        <v>3</v>
      </c>
      <c r="D385" t="s">
        <v>78</v>
      </c>
      <c r="E385" t="s">
        <v>79</v>
      </c>
      <c r="F385" t="s">
        <v>79</v>
      </c>
      <c r="G385" t="s">
        <v>80</v>
      </c>
      <c r="H385" t="s">
        <v>81</v>
      </c>
      <c r="I385" t="s">
        <v>82</v>
      </c>
      <c r="J385" t="s">
        <v>95</v>
      </c>
      <c r="K385" t="s">
        <v>389</v>
      </c>
      <c r="L385">
        <v>95</v>
      </c>
      <c r="M385" t="s">
        <v>385</v>
      </c>
      <c r="O385" t="s">
        <v>98</v>
      </c>
      <c r="P385">
        <v>0</v>
      </c>
      <c r="Q385" t="s">
        <v>86</v>
      </c>
      <c r="R385">
        <v>0</v>
      </c>
      <c r="S385">
        <v>0</v>
      </c>
      <c r="T385">
        <v>8000</v>
      </c>
      <c r="V385" t="s">
        <v>87</v>
      </c>
      <c r="W385" t="s">
        <v>983</v>
      </c>
      <c r="AB385" t="s">
        <v>100</v>
      </c>
      <c r="AC385" t="s">
        <v>90</v>
      </c>
      <c r="AD385">
        <v>6</v>
      </c>
      <c r="AE385" t="s">
        <v>101</v>
      </c>
      <c r="AF385" t="s">
        <v>102</v>
      </c>
      <c r="AH385">
        <v>3195046605</v>
      </c>
      <c r="AI385">
        <v>3195</v>
      </c>
      <c r="AJ385" t="s">
        <v>985</v>
      </c>
    </row>
    <row r="386" spans="1:36">
      <c r="A386" t="s">
        <v>1165</v>
      </c>
      <c r="B386" t="s">
        <v>1166</v>
      </c>
      <c r="C386">
        <v>3</v>
      </c>
      <c r="D386" t="s">
        <v>130</v>
      </c>
      <c r="E386" t="s">
        <v>79</v>
      </c>
      <c r="F386" t="s">
        <v>125</v>
      </c>
      <c r="G386" t="s">
        <v>80</v>
      </c>
      <c r="H386" t="s">
        <v>81</v>
      </c>
      <c r="I386" t="s">
        <v>82</v>
      </c>
      <c r="P386">
        <v>0</v>
      </c>
      <c r="Q386" t="s">
        <v>86</v>
      </c>
      <c r="R386">
        <v>0</v>
      </c>
      <c r="S386">
        <v>0</v>
      </c>
      <c r="T386">
        <v>7100</v>
      </c>
      <c r="V386" t="s">
        <v>87</v>
      </c>
      <c r="W386" t="s">
        <v>541</v>
      </c>
      <c r="AB386">
        <v>7474</v>
      </c>
      <c r="AC386" t="s">
        <v>305</v>
      </c>
      <c r="AD386">
        <v>6</v>
      </c>
      <c r="AH386">
        <v>2037014211</v>
      </c>
      <c r="AI386">
        <v>2037</v>
      </c>
      <c r="AJ386" t="s">
        <v>122</v>
      </c>
    </row>
    <row r="387" spans="1:36">
      <c r="A387" t="s">
        <v>1167</v>
      </c>
      <c r="B387" t="s">
        <v>1168</v>
      </c>
      <c r="C387">
        <v>3</v>
      </c>
      <c r="D387" t="s">
        <v>78</v>
      </c>
      <c r="E387" t="s">
        <v>125</v>
      </c>
      <c r="F387" t="s">
        <v>79</v>
      </c>
      <c r="G387" t="s">
        <v>80</v>
      </c>
      <c r="H387" t="s">
        <v>81</v>
      </c>
      <c r="I387" t="s">
        <v>82</v>
      </c>
      <c r="J387" t="s">
        <v>95</v>
      </c>
      <c r="K387" t="s">
        <v>184</v>
      </c>
      <c r="L387">
        <v>98</v>
      </c>
      <c r="N387" t="s">
        <v>185</v>
      </c>
      <c r="O387" t="s">
        <v>98</v>
      </c>
      <c r="P387">
        <v>0</v>
      </c>
      <c r="Q387" t="s">
        <v>86</v>
      </c>
      <c r="R387">
        <v>0</v>
      </c>
      <c r="S387">
        <v>0</v>
      </c>
      <c r="T387">
        <v>9500</v>
      </c>
      <c r="U387">
        <v>966015702</v>
      </c>
      <c r="V387">
        <v>5</v>
      </c>
      <c r="W387" t="s">
        <v>1169</v>
      </c>
      <c r="AB387" t="s">
        <v>205</v>
      </c>
      <c r="AC387" t="s">
        <v>90</v>
      </c>
      <c r="AD387">
        <v>4</v>
      </c>
      <c r="AE387" t="s">
        <v>165</v>
      </c>
      <c r="AF387" t="s">
        <v>102</v>
      </c>
      <c r="AH387">
        <v>6631000200</v>
      </c>
      <c r="AI387">
        <v>6631</v>
      </c>
      <c r="AJ387" t="s">
        <v>1170</v>
      </c>
    </row>
    <row r="388" spans="1:36">
      <c r="A388" t="s">
        <v>1171</v>
      </c>
      <c r="B388" t="s">
        <v>1172</v>
      </c>
      <c r="C388">
        <v>4</v>
      </c>
      <c r="D388" t="s">
        <v>130</v>
      </c>
      <c r="E388" t="s">
        <v>125</v>
      </c>
      <c r="F388" t="s">
        <v>125</v>
      </c>
      <c r="G388" t="s">
        <v>80</v>
      </c>
      <c r="H388" t="s">
        <v>81</v>
      </c>
      <c r="I388" t="s">
        <v>82</v>
      </c>
      <c r="P388">
        <v>0</v>
      </c>
      <c r="Q388" t="s">
        <v>86</v>
      </c>
      <c r="R388">
        <v>0</v>
      </c>
      <c r="S388">
        <v>0</v>
      </c>
      <c r="T388">
        <v>7100</v>
      </c>
      <c r="U388">
        <v>966630000</v>
      </c>
      <c r="V388">
        <v>5</v>
      </c>
      <c r="W388" t="s">
        <v>209</v>
      </c>
      <c r="AB388" t="s">
        <v>100</v>
      </c>
      <c r="AC388" t="s">
        <v>90</v>
      </c>
      <c r="AH388">
        <v>560000900</v>
      </c>
      <c r="AI388">
        <v>560</v>
      </c>
      <c r="AJ388" t="s">
        <v>1173</v>
      </c>
    </row>
    <row r="389" spans="1:36">
      <c r="A389" t="s">
        <v>1174</v>
      </c>
      <c r="B389" t="s">
        <v>1175</v>
      </c>
      <c r="C389">
        <v>3</v>
      </c>
      <c r="D389" t="s">
        <v>183</v>
      </c>
      <c r="E389" t="s">
        <v>125</v>
      </c>
      <c r="F389" t="s">
        <v>79</v>
      </c>
      <c r="G389" t="s">
        <v>80</v>
      </c>
      <c r="H389" t="s">
        <v>81</v>
      </c>
      <c r="I389" t="s">
        <v>82</v>
      </c>
      <c r="J389" t="s">
        <v>95</v>
      </c>
      <c r="K389" t="s">
        <v>184</v>
      </c>
      <c r="L389">
        <v>98</v>
      </c>
      <c r="N389" t="s">
        <v>185</v>
      </c>
      <c r="O389" t="s">
        <v>98</v>
      </c>
      <c r="P389">
        <v>0</v>
      </c>
      <c r="Q389" t="s">
        <v>86</v>
      </c>
      <c r="R389">
        <v>0</v>
      </c>
      <c r="S389">
        <v>0</v>
      </c>
      <c r="T389">
        <v>3800</v>
      </c>
      <c r="U389">
        <v>95076412</v>
      </c>
      <c r="V389">
        <v>5</v>
      </c>
      <c r="W389" t="s">
        <v>1176</v>
      </c>
      <c r="AB389" t="s">
        <v>205</v>
      </c>
      <c r="AC389" t="s">
        <v>90</v>
      </c>
      <c r="AD389">
        <v>4</v>
      </c>
      <c r="AE389" t="s">
        <v>165</v>
      </c>
      <c r="AF389" t="s">
        <v>102</v>
      </c>
      <c r="AH389">
        <v>6763012500</v>
      </c>
      <c r="AI389">
        <v>6763</v>
      </c>
      <c r="AJ389" t="s">
        <v>1177</v>
      </c>
    </row>
    <row r="390" spans="1:36">
      <c r="A390" t="s">
        <v>1178</v>
      </c>
      <c r="B390" t="s">
        <v>1179</v>
      </c>
      <c r="C390" t="s">
        <v>139</v>
      </c>
      <c r="D390" t="s">
        <v>625</v>
      </c>
      <c r="E390" t="s">
        <v>125</v>
      </c>
      <c r="F390" t="s">
        <v>125</v>
      </c>
      <c r="G390" t="s">
        <v>80</v>
      </c>
      <c r="H390" t="s">
        <v>81</v>
      </c>
      <c r="P390">
        <v>0</v>
      </c>
      <c r="Q390" t="s">
        <v>86</v>
      </c>
      <c r="R390">
        <v>0</v>
      </c>
      <c r="S390">
        <v>0</v>
      </c>
      <c r="T390">
        <v>9999</v>
      </c>
      <c r="U390">
        <v>964542700</v>
      </c>
      <c r="V390" t="s">
        <v>327</v>
      </c>
    </row>
    <row r="391" spans="1:36">
      <c r="A391" t="s">
        <v>1180</v>
      </c>
      <c r="B391" t="s">
        <v>1181</v>
      </c>
      <c r="C391">
        <v>3</v>
      </c>
      <c r="D391" t="s">
        <v>130</v>
      </c>
      <c r="E391" t="s">
        <v>79</v>
      </c>
      <c r="F391" t="s">
        <v>79</v>
      </c>
      <c r="G391" t="s">
        <v>80</v>
      </c>
      <c r="H391" t="s">
        <v>81</v>
      </c>
      <c r="I391" t="s">
        <v>82</v>
      </c>
      <c r="J391" t="s">
        <v>95</v>
      </c>
      <c r="K391" t="s">
        <v>384</v>
      </c>
      <c r="L391">
        <v>95</v>
      </c>
      <c r="M391" t="s">
        <v>385</v>
      </c>
      <c r="O391" t="s">
        <v>98</v>
      </c>
      <c r="P391">
        <v>0</v>
      </c>
      <c r="Q391" t="s">
        <v>86</v>
      </c>
      <c r="R391">
        <v>0</v>
      </c>
      <c r="S391">
        <v>0</v>
      </c>
      <c r="T391">
        <v>7100</v>
      </c>
      <c r="U391">
        <v>963220014</v>
      </c>
      <c r="V391" t="s">
        <v>87</v>
      </c>
      <c r="W391" t="s">
        <v>1182</v>
      </c>
      <c r="AB391" t="s">
        <v>100</v>
      </c>
      <c r="AC391" t="s">
        <v>90</v>
      </c>
      <c r="AD391">
        <v>6</v>
      </c>
      <c r="AE391" t="s">
        <v>101</v>
      </c>
      <c r="AF391" t="s">
        <v>102</v>
      </c>
      <c r="AH391">
        <v>4768000121</v>
      </c>
      <c r="AI391">
        <v>4768</v>
      </c>
      <c r="AJ391" t="s">
        <v>1183</v>
      </c>
    </row>
    <row r="392" spans="1:36">
      <c r="A392" t="s">
        <v>1184</v>
      </c>
      <c r="B392" t="s">
        <v>1185</v>
      </c>
      <c r="C392" t="s">
        <v>139</v>
      </c>
      <c r="D392" t="s">
        <v>1184</v>
      </c>
      <c r="E392" t="s">
        <v>79</v>
      </c>
      <c r="F392" t="s">
        <v>125</v>
      </c>
      <c r="G392" t="s">
        <v>80</v>
      </c>
      <c r="H392" t="s">
        <v>81</v>
      </c>
      <c r="P392">
        <v>0</v>
      </c>
      <c r="Q392" t="s">
        <v>86</v>
      </c>
      <c r="R392">
        <v>0</v>
      </c>
      <c r="S392">
        <v>0</v>
      </c>
      <c r="T392">
        <v>9999</v>
      </c>
      <c r="V392" t="s">
        <v>327</v>
      </c>
    </row>
    <row r="393" spans="1:36">
      <c r="A393" t="s">
        <v>1186</v>
      </c>
      <c r="B393" t="s">
        <v>1187</v>
      </c>
      <c r="C393">
        <v>3</v>
      </c>
      <c r="D393" t="s">
        <v>130</v>
      </c>
      <c r="E393" t="s">
        <v>125</v>
      </c>
      <c r="F393" t="s">
        <v>125</v>
      </c>
      <c r="G393" t="s">
        <v>80</v>
      </c>
      <c r="H393" t="s">
        <v>81</v>
      </c>
      <c r="I393" t="s">
        <v>82</v>
      </c>
      <c r="P393">
        <v>0</v>
      </c>
      <c r="Q393" t="s">
        <v>86</v>
      </c>
      <c r="R393">
        <v>0</v>
      </c>
      <c r="S393">
        <v>0</v>
      </c>
      <c r="T393">
        <v>7100</v>
      </c>
      <c r="U393">
        <v>963225000</v>
      </c>
      <c r="V393" t="s">
        <v>87</v>
      </c>
      <c r="W393" t="s">
        <v>1188</v>
      </c>
      <c r="AB393" t="s">
        <v>210</v>
      </c>
      <c r="AC393" t="s">
        <v>90</v>
      </c>
      <c r="AD393">
        <v>4</v>
      </c>
      <c r="AH393">
        <v>4630000515</v>
      </c>
      <c r="AI393">
        <v>4630</v>
      </c>
      <c r="AJ393" t="s">
        <v>1189</v>
      </c>
    </row>
    <row r="394" spans="1:36">
      <c r="A394" t="s">
        <v>1190</v>
      </c>
      <c r="B394" t="s">
        <v>1191</v>
      </c>
      <c r="C394">
        <v>3</v>
      </c>
      <c r="D394" t="s">
        <v>78</v>
      </c>
      <c r="E394" t="s">
        <v>79</v>
      </c>
      <c r="F394" t="s">
        <v>125</v>
      </c>
      <c r="G394" t="s">
        <v>80</v>
      </c>
      <c r="H394" t="s">
        <v>81</v>
      </c>
      <c r="I394" t="s">
        <v>82</v>
      </c>
      <c r="P394">
        <v>0</v>
      </c>
      <c r="Q394" t="s">
        <v>86</v>
      </c>
      <c r="R394">
        <v>0</v>
      </c>
      <c r="S394">
        <v>0</v>
      </c>
      <c r="T394">
        <v>9500</v>
      </c>
      <c r="U394">
        <v>963492902</v>
      </c>
      <c r="V394" t="s">
        <v>87</v>
      </c>
      <c r="W394" t="s">
        <v>1192</v>
      </c>
      <c r="AB394" t="s">
        <v>179</v>
      </c>
      <c r="AC394" t="s">
        <v>90</v>
      </c>
      <c r="AD394">
        <v>6</v>
      </c>
      <c r="AH394">
        <v>5744001008</v>
      </c>
      <c r="AI394">
        <v>5744</v>
      </c>
      <c r="AJ394" t="s">
        <v>1193</v>
      </c>
    </row>
    <row r="395" spans="1:36">
      <c r="A395" t="s">
        <v>1194</v>
      </c>
      <c r="B395" t="s">
        <v>1195</v>
      </c>
      <c r="C395">
        <v>3</v>
      </c>
      <c r="D395" t="s">
        <v>78</v>
      </c>
      <c r="E395" t="s">
        <v>125</v>
      </c>
      <c r="F395" t="s">
        <v>79</v>
      </c>
      <c r="G395" t="s">
        <v>80</v>
      </c>
      <c r="H395" t="s">
        <v>81</v>
      </c>
      <c r="I395" t="s">
        <v>82</v>
      </c>
      <c r="J395" t="s">
        <v>341</v>
      </c>
      <c r="K395" t="s">
        <v>342</v>
      </c>
      <c r="L395" t="s">
        <v>343</v>
      </c>
      <c r="O395" t="s">
        <v>177</v>
      </c>
      <c r="P395">
        <v>0</v>
      </c>
      <c r="Q395" t="s">
        <v>86</v>
      </c>
      <c r="R395">
        <v>0</v>
      </c>
      <c r="S395">
        <v>0</v>
      </c>
      <c r="T395">
        <v>9500</v>
      </c>
      <c r="V395" t="s">
        <v>87</v>
      </c>
      <c r="W395" t="s">
        <v>344</v>
      </c>
      <c r="AB395" t="s">
        <v>291</v>
      </c>
      <c r="AC395" t="s">
        <v>90</v>
      </c>
      <c r="AD395">
        <v>4</v>
      </c>
      <c r="AE395" t="s">
        <v>101</v>
      </c>
      <c r="AF395" t="s">
        <v>102</v>
      </c>
      <c r="AH395">
        <v>3710001649</v>
      </c>
      <c r="AI395">
        <v>3710</v>
      </c>
      <c r="AJ395" t="s">
        <v>292</v>
      </c>
    </row>
    <row r="396" spans="1:36">
      <c r="A396" t="s">
        <v>1196</v>
      </c>
      <c r="B396" t="s">
        <v>1197</v>
      </c>
      <c r="C396">
        <v>3</v>
      </c>
      <c r="D396" t="s">
        <v>78</v>
      </c>
      <c r="E396" t="s">
        <v>79</v>
      </c>
      <c r="F396" t="s">
        <v>79</v>
      </c>
      <c r="G396" t="s">
        <v>80</v>
      </c>
      <c r="H396" t="s">
        <v>81</v>
      </c>
      <c r="I396" t="s">
        <v>82</v>
      </c>
      <c r="J396" t="s">
        <v>95</v>
      </c>
      <c r="K396" t="s">
        <v>96</v>
      </c>
      <c r="L396">
        <v>97</v>
      </c>
      <c r="N396" t="s">
        <v>97</v>
      </c>
      <c r="O396" t="s">
        <v>98</v>
      </c>
      <c r="P396">
        <v>0</v>
      </c>
      <c r="Q396" t="s">
        <v>86</v>
      </c>
      <c r="R396">
        <v>0</v>
      </c>
      <c r="S396">
        <v>0</v>
      </c>
      <c r="T396">
        <v>9500</v>
      </c>
      <c r="V396" t="s">
        <v>87</v>
      </c>
      <c r="W396" t="s">
        <v>352</v>
      </c>
      <c r="AB396" t="s">
        <v>147</v>
      </c>
      <c r="AC396" t="s">
        <v>90</v>
      </c>
      <c r="AD396">
        <v>6</v>
      </c>
      <c r="AE396" t="s">
        <v>101</v>
      </c>
      <c r="AF396" t="s">
        <v>102</v>
      </c>
      <c r="AH396">
        <v>6086000712</v>
      </c>
      <c r="AI396">
        <v>6086</v>
      </c>
      <c r="AJ396" t="s">
        <v>355</v>
      </c>
    </row>
    <row r="397" spans="1:36">
      <c r="A397" t="s">
        <v>1198</v>
      </c>
      <c r="B397" t="s">
        <v>1199</v>
      </c>
      <c r="C397" t="s">
        <v>139</v>
      </c>
      <c r="D397" t="s">
        <v>140</v>
      </c>
      <c r="E397" t="s">
        <v>79</v>
      </c>
      <c r="F397" t="s">
        <v>125</v>
      </c>
      <c r="G397" t="s">
        <v>80</v>
      </c>
      <c r="H397" t="s">
        <v>81</v>
      </c>
      <c r="P397">
        <v>0</v>
      </c>
      <c r="Q397" t="s">
        <v>86</v>
      </c>
      <c r="R397">
        <v>0</v>
      </c>
      <c r="S397">
        <v>0</v>
      </c>
      <c r="T397">
        <v>5615</v>
      </c>
      <c r="U397">
        <v>963754298</v>
      </c>
      <c r="V397" t="s">
        <v>327</v>
      </c>
    </row>
    <row r="398" spans="1:36">
      <c r="A398" t="s">
        <v>1200</v>
      </c>
      <c r="B398" t="s">
        <v>1201</v>
      </c>
      <c r="C398" t="s">
        <v>139</v>
      </c>
      <c r="D398" t="s">
        <v>140</v>
      </c>
      <c r="E398" t="s">
        <v>79</v>
      </c>
      <c r="F398" t="s">
        <v>125</v>
      </c>
      <c r="G398" t="s">
        <v>80</v>
      </c>
      <c r="H398" t="s">
        <v>81</v>
      </c>
      <c r="P398">
        <v>0</v>
      </c>
      <c r="Q398" t="s">
        <v>86</v>
      </c>
      <c r="R398">
        <v>0</v>
      </c>
      <c r="S398">
        <v>0</v>
      </c>
      <c r="T398">
        <v>8000</v>
      </c>
      <c r="V398" t="s">
        <v>327</v>
      </c>
    </row>
    <row r="399" spans="1:36">
      <c r="A399" t="s">
        <v>1202</v>
      </c>
      <c r="B399" t="s">
        <v>1203</v>
      </c>
      <c r="C399" t="s">
        <v>139</v>
      </c>
      <c r="D399" t="s">
        <v>140</v>
      </c>
      <c r="E399" t="s">
        <v>79</v>
      </c>
      <c r="F399" t="s">
        <v>125</v>
      </c>
      <c r="G399" t="s">
        <v>80</v>
      </c>
      <c r="H399" t="s">
        <v>81</v>
      </c>
      <c r="I399" t="s">
        <v>82</v>
      </c>
      <c r="P399">
        <v>0</v>
      </c>
      <c r="Q399" t="s">
        <v>86</v>
      </c>
      <c r="R399">
        <v>0</v>
      </c>
      <c r="S399">
        <v>0</v>
      </c>
      <c r="T399">
        <v>600</v>
      </c>
      <c r="V399" t="s">
        <v>87</v>
      </c>
      <c r="W399" t="s">
        <v>1009</v>
      </c>
      <c r="AB399" t="s">
        <v>1008</v>
      </c>
      <c r="AC399" t="s">
        <v>90</v>
      </c>
      <c r="AH399">
        <v>9575040015</v>
      </c>
      <c r="AI399">
        <v>9575</v>
      </c>
      <c r="AJ399" t="s">
        <v>1008</v>
      </c>
    </row>
    <row r="400" spans="1:36">
      <c r="A400" t="s">
        <v>1204</v>
      </c>
      <c r="B400" t="s">
        <v>1205</v>
      </c>
      <c r="C400">
        <v>3</v>
      </c>
      <c r="D400" t="s">
        <v>78</v>
      </c>
      <c r="E400" t="s">
        <v>79</v>
      </c>
      <c r="F400" t="s">
        <v>125</v>
      </c>
      <c r="G400" t="s">
        <v>80</v>
      </c>
      <c r="H400" t="s">
        <v>81</v>
      </c>
      <c r="P400">
        <v>0</v>
      </c>
      <c r="Q400" t="s">
        <v>86</v>
      </c>
      <c r="R400">
        <v>0</v>
      </c>
      <c r="S400">
        <v>0</v>
      </c>
      <c r="T400">
        <v>9500</v>
      </c>
      <c r="U400">
        <v>963491100</v>
      </c>
      <c r="V400" t="s">
        <v>327</v>
      </c>
    </row>
    <row r="401" spans="1:36">
      <c r="A401" t="s">
        <v>1206</v>
      </c>
      <c r="B401" t="s">
        <v>1207</v>
      </c>
      <c r="C401">
        <v>4</v>
      </c>
      <c r="D401" t="s">
        <v>78</v>
      </c>
      <c r="E401" t="s">
        <v>79</v>
      </c>
      <c r="F401" t="s">
        <v>125</v>
      </c>
      <c r="G401" t="s">
        <v>80</v>
      </c>
      <c r="H401" t="s">
        <v>81</v>
      </c>
      <c r="P401">
        <v>0</v>
      </c>
      <c r="Q401" t="s">
        <v>86</v>
      </c>
      <c r="R401">
        <v>0</v>
      </c>
      <c r="S401">
        <v>0</v>
      </c>
      <c r="T401">
        <v>9500</v>
      </c>
      <c r="U401">
        <v>963491100</v>
      </c>
      <c r="V401" t="s">
        <v>327</v>
      </c>
    </row>
    <row r="402" spans="1:36">
      <c r="A402" t="s">
        <v>1208</v>
      </c>
      <c r="B402" t="s">
        <v>1209</v>
      </c>
      <c r="C402">
        <v>3</v>
      </c>
      <c r="D402" t="s">
        <v>78</v>
      </c>
      <c r="E402" t="s">
        <v>79</v>
      </c>
      <c r="F402" t="s">
        <v>125</v>
      </c>
      <c r="G402" t="s">
        <v>80</v>
      </c>
      <c r="H402" t="s">
        <v>81</v>
      </c>
      <c r="I402" t="s">
        <v>82</v>
      </c>
      <c r="P402">
        <v>0</v>
      </c>
      <c r="Q402" t="s">
        <v>86</v>
      </c>
      <c r="R402">
        <v>0</v>
      </c>
      <c r="S402">
        <v>0</v>
      </c>
      <c r="T402">
        <v>9500</v>
      </c>
      <c r="V402" t="s">
        <v>87</v>
      </c>
      <c r="W402" t="s">
        <v>1210</v>
      </c>
      <c r="AB402" t="s">
        <v>216</v>
      </c>
      <c r="AC402" t="s">
        <v>90</v>
      </c>
      <c r="AD402">
        <v>6</v>
      </c>
      <c r="AH402">
        <v>1980704004</v>
      </c>
      <c r="AI402">
        <v>1980</v>
      </c>
      <c r="AJ402" t="s">
        <v>620</v>
      </c>
    </row>
    <row r="403" spans="1:36">
      <c r="A403" t="s">
        <v>1211</v>
      </c>
      <c r="B403" t="s">
        <v>1212</v>
      </c>
      <c r="C403">
        <v>3</v>
      </c>
      <c r="D403" t="s">
        <v>174</v>
      </c>
      <c r="E403" t="s">
        <v>79</v>
      </c>
      <c r="F403" t="s">
        <v>125</v>
      </c>
      <c r="G403" t="s">
        <v>80</v>
      </c>
      <c r="H403" t="s">
        <v>81</v>
      </c>
      <c r="I403" t="s">
        <v>82</v>
      </c>
      <c r="P403">
        <v>0</v>
      </c>
      <c r="Q403" t="s">
        <v>86</v>
      </c>
      <c r="R403">
        <v>0</v>
      </c>
      <c r="S403">
        <v>0</v>
      </c>
      <c r="T403">
        <v>4885</v>
      </c>
      <c r="U403">
        <v>963061209</v>
      </c>
      <c r="V403" t="s">
        <v>87</v>
      </c>
      <c r="W403" t="s">
        <v>486</v>
      </c>
      <c r="AB403">
        <v>9999</v>
      </c>
      <c r="AC403" t="s">
        <v>90</v>
      </c>
      <c r="AH403">
        <v>5790006086</v>
      </c>
      <c r="AI403">
        <v>5790</v>
      </c>
      <c r="AJ403" t="s">
        <v>199</v>
      </c>
    </row>
    <row r="404" spans="1:36">
      <c r="A404" t="s">
        <v>1213</v>
      </c>
      <c r="B404" t="s">
        <v>1214</v>
      </c>
      <c r="C404">
        <v>4</v>
      </c>
      <c r="D404" t="s">
        <v>78</v>
      </c>
      <c r="E404" t="s">
        <v>125</v>
      </c>
      <c r="F404" t="s">
        <v>79</v>
      </c>
      <c r="G404" t="s">
        <v>80</v>
      </c>
      <c r="H404" t="s">
        <v>81</v>
      </c>
      <c r="I404" t="s">
        <v>82</v>
      </c>
      <c r="J404" t="s">
        <v>95</v>
      </c>
      <c r="K404" t="s">
        <v>163</v>
      </c>
      <c r="L404">
        <v>96</v>
      </c>
      <c r="N404" t="s">
        <v>155</v>
      </c>
      <c r="O404" t="s">
        <v>98</v>
      </c>
      <c r="P404">
        <v>0</v>
      </c>
      <c r="Q404" t="s">
        <v>86</v>
      </c>
      <c r="R404">
        <v>0</v>
      </c>
      <c r="S404">
        <v>0</v>
      </c>
      <c r="T404">
        <v>9500</v>
      </c>
      <c r="V404">
        <v>5</v>
      </c>
      <c r="W404" t="s">
        <v>164</v>
      </c>
      <c r="AB404" t="s">
        <v>100</v>
      </c>
      <c r="AC404" t="s">
        <v>90</v>
      </c>
      <c r="AD404">
        <v>4</v>
      </c>
      <c r="AE404" t="s">
        <v>165</v>
      </c>
      <c r="AF404" t="s">
        <v>102</v>
      </c>
      <c r="AH404">
        <v>442006900</v>
      </c>
      <c r="AI404">
        <v>442</v>
      </c>
      <c r="AJ404" t="s">
        <v>169</v>
      </c>
    </row>
    <row r="405" spans="1:36">
      <c r="A405" t="s">
        <v>1215</v>
      </c>
      <c r="B405" t="s">
        <v>1216</v>
      </c>
      <c r="C405">
        <v>4</v>
      </c>
      <c r="D405" t="s">
        <v>78</v>
      </c>
      <c r="E405" t="s">
        <v>125</v>
      </c>
      <c r="F405" t="s">
        <v>79</v>
      </c>
      <c r="G405" t="s">
        <v>80</v>
      </c>
      <c r="H405" t="s">
        <v>81</v>
      </c>
      <c r="I405" t="s">
        <v>82</v>
      </c>
      <c r="J405" t="s">
        <v>95</v>
      </c>
      <c r="K405" t="s">
        <v>163</v>
      </c>
      <c r="L405">
        <v>96</v>
      </c>
      <c r="N405" t="s">
        <v>155</v>
      </c>
      <c r="O405" t="s">
        <v>98</v>
      </c>
      <c r="P405">
        <v>0</v>
      </c>
      <c r="Q405" t="s">
        <v>86</v>
      </c>
      <c r="R405">
        <v>0</v>
      </c>
      <c r="S405">
        <v>0</v>
      </c>
      <c r="T405">
        <v>9500</v>
      </c>
      <c r="V405">
        <v>5</v>
      </c>
      <c r="W405" t="s">
        <v>164</v>
      </c>
      <c r="AB405" t="s">
        <v>100</v>
      </c>
      <c r="AC405" t="s">
        <v>90</v>
      </c>
      <c r="AD405">
        <v>4</v>
      </c>
      <c r="AE405" t="s">
        <v>165</v>
      </c>
      <c r="AF405" t="s">
        <v>102</v>
      </c>
      <c r="AH405">
        <v>442006500</v>
      </c>
      <c r="AI405">
        <v>442</v>
      </c>
      <c r="AJ405" t="s">
        <v>169</v>
      </c>
    </row>
    <row r="406" spans="1:36">
      <c r="A406" t="s">
        <v>1217</v>
      </c>
      <c r="B406" t="s">
        <v>1218</v>
      </c>
      <c r="C406">
        <v>4</v>
      </c>
      <c r="D406" t="s">
        <v>130</v>
      </c>
      <c r="E406" t="s">
        <v>79</v>
      </c>
      <c r="F406" t="s">
        <v>79</v>
      </c>
      <c r="G406" t="s">
        <v>80</v>
      </c>
      <c r="H406" t="s">
        <v>81</v>
      </c>
      <c r="I406" t="s">
        <v>82</v>
      </c>
      <c r="J406" t="s">
        <v>95</v>
      </c>
      <c r="K406" t="s">
        <v>163</v>
      </c>
      <c r="L406">
        <v>95</v>
      </c>
      <c r="N406" t="s">
        <v>155</v>
      </c>
      <c r="O406" t="s">
        <v>98</v>
      </c>
      <c r="P406">
        <v>0</v>
      </c>
      <c r="Q406" t="s">
        <v>86</v>
      </c>
      <c r="R406">
        <v>0</v>
      </c>
      <c r="S406">
        <v>0</v>
      </c>
      <c r="T406">
        <v>7100</v>
      </c>
      <c r="V406">
        <v>5</v>
      </c>
      <c r="W406" t="s">
        <v>164</v>
      </c>
      <c r="AB406" t="s">
        <v>100</v>
      </c>
      <c r="AC406" t="s">
        <v>90</v>
      </c>
      <c r="AD406">
        <v>4</v>
      </c>
      <c r="AE406" t="s">
        <v>101</v>
      </c>
      <c r="AF406" t="s">
        <v>102</v>
      </c>
      <c r="AH406">
        <v>560002000</v>
      </c>
      <c r="AI406">
        <v>560</v>
      </c>
      <c r="AJ406" t="s">
        <v>1173</v>
      </c>
    </row>
    <row r="407" spans="1:36">
      <c r="A407" t="s">
        <v>1219</v>
      </c>
      <c r="B407" t="s">
        <v>1220</v>
      </c>
      <c r="C407">
        <v>4</v>
      </c>
      <c r="D407" t="s">
        <v>78</v>
      </c>
      <c r="E407" t="s">
        <v>125</v>
      </c>
      <c r="F407" t="s">
        <v>79</v>
      </c>
      <c r="G407" t="s">
        <v>80</v>
      </c>
      <c r="H407" t="s">
        <v>81</v>
      </c>
      <c r="I407" t="s">
        <v>82</v>
      </c>
      <c r="J407" t="s">
        <v>95</v>
      </c>
      <c r="K407" t="s">
        <v>163</v>
      </c>
      <c r="L407">
        <v>96</v>
      </c>
      <c r="N407" t="s">
        <v>155</v>
      </c>
      <c r="O407" t="s">
        <v>98</v>
      </c>
      <c r="P407">
        <v>0</v>
      </c>
      <c r="Q407" t="s">
        <v>86</v>
      </c>
      <c r="R407">
        <v>0</v>
      </c>
      <c r="S407">
        <v>0</v>
      </c>
      <c r="T407">
        <v>9500</v>
      </c>
      <c r="V407">
        <v>5</v>
      </c>
      <c r="W407" t="s">
        <v>164</v>
      </c>
      <c r="AB407" t="s">
        <v>100</v>
      </c>
      <c r="AC407" t="s">
        <v>90</v>
      </c>
      <c r="AD407">
        <v>4</v>
      </c>
      <c r="AE407" t="s">
        <v>165</v>
      </c>
      <c r="AF407" t="s">
        <v>102</v>
      </c>
      <c r="AH407">
        <v>442007600</v>
      </c>
      <c r="AI407">
        <v>442</v>
      </c>
      <c r="AJ407" t="s">
        <v>169</v>
      </c>
    </row>
    <row r="408" spans="1:36">
      <c r="A408" t="s">
        <v>1221</v>
      </c>
      <c r="B408" t="s">
        <v>1222</v>
      </c>
      <c r="C408">
        <v>3</v>
      </c>
      <c r="D408" t="s">
        <v>78</v>
      </c>
      <c r="E408" t="s">
        <v>79</v>
      </c>
      <c r="F408" t="s">
        <v>79</v>
      </c>
      <c r="G408" t="s">
        <v>80</v>
      </c>
      <c r="H408" t="s">
        <v>81</v>
      </c>
      <c r="I408" t="s">
        <v>82</v>
      </c>
      <c r="J408" t="s">
        <v>362</v>
      </c>
      <c r="K408" t="s">
        <v>363</v>
      </c>
      <c r="L408">
        <v>1</v>
      </c>
      <c r="O408" t="s">
        <v>156</v>
      </c>
      <c r="P408">
        <v>0</v>
      </c>
      <c r="Q408" t="s">
        <v>86</v>
      </c>
      <c r="R408">
        <v>0</v>
      </c>
      <c r="S408">
        <v>0</v>
      </c>
      <c r="T408">
        <v>9500</v>
      </c>
      <c r="V408" t="s">
        <v>87</v>
      </c>
      <c r="W408" t="s">
        <v>364</v>
      </c>
      <c r="AB408" t="s">
        <v>365</v>
      </c>
      <c r="AC408" t="s">
        <v>90</v>
      </c>
      <c r="AD408">
        <v>1</v>
      </c>
      <c r="AE408" t="s">
        <v>91</v>
      </c>
      <c r="AF408" t="s">
        <v>102</v>
      </c>
      <c r="AH408">
        <v>2000005713</v>
      </c>
      <c r="AI408">
        <v>2000</v>
      </c>
      <c r="AJ408" t="s">
        <v>366</v>
      </c>
    </row>
    <row r="409" spans="1:36">
      <c r="A409" t="s">
        <v>1223</v>
      </c>
      <c r="B409" t="s">
        <v>1224</v>
      </c>
      <c r="C409">
        <v>3</v>
      </c>
      <c r="D409" t="s">
        <v>183</v>
      </c>
      <c r="E409" t="s">
        <v>125</v>
      </c>
      <c r="F409" t="s">
        <v>79</v>
      </c>
      <c r="G409" t="s">
        <v>80</v>
      </c>
      <c r="H409" t="s">
        <v>81</v>
      </c>
      <c r="I409" t="s">
        <v>82</v>
      </c>
      <c r="J409" t="s">
        <v>95</v>
      </c>
      <c r="K409" t="s">
        <v>184</v>
      </c>
      <c r="L409">
        <v>98</v>
      </c>
      <c r="N409" t="s">
        <v>185</v>
      </c>
      <c r="O409" t="s">
        <v>98</v>
      </c>
      <c r="P409">
        <v>0</v>
      </c>
      <c r="Q409" t="s">
        <v>86</v>
      </c>
      <c r="R409">
        <v>0</v>
      </c>
      <c r="S409">
        <v>0</v>
      </c>
      <c r="T409">
        <v>3800</v>
      </c>
      <c r="U409">
        <v>966010000</v>
      </c>
      <c r="V409">
        <v>5</v>
      </c>
      <c r="W409" t="s">
        <v>1225</v>
      </c>
      <c r="AB409" t="s">
        <v>205</v>
      </c>
      <c r="AC409" t="s">
        <v>90</v>
      </c>
      <c r="AD409">
        <v>4</v>
      </c>
      <c r="AE409" t="s">
        <v>165</v>
      </c>
      <c r="AF409" t="s">
        <v>102</v>
      </c>
      <c r="AH409">
        <v>6711011500</v>
      </c>
      <c r="AI409">
        <v>6711</v>
      </c>
      <c r="AJ409" t="s">
        <v>1226</v>
      </c>
    </row>
    <row r="410" spans="1:36">
      <c r="A410" t="s">
        <v>1227</v>
      </c>
      <c r="B410" t="s">
        <v>1228</v>
      </c>
      <c r="C410">
        <v>3</v>
      </c>
      <c r="D410" t="s">
        <v>78</v>
      </c>
      <c r="E410" t="s">
        <v>79</v>
      </c>
      <c r="F410" t="s">
        <v>79</v>
      </c>
      <c r="G410" t="s">
        <v>80</v>
      </c>
      <c r="H410" t="s">
        <v>81</v>
      </c>
      <c r="I410" t="s">
        <v>82</v>
      </c>
      <c r="J410" t="s">
        <v>95</v>
      </c>
      <c r="K410" t="s">
        <v>1037</v>
      </c>
      <c r="L410">
        <v>95</v>
      </c>
      <c r="N410" t="s">
        <v>270</v>
      </c>
      <c r="O410" t="s">
        <v>98</v>
      </c>
      <c r="P410">
        <v>0</v>
      </c>
      <c r="Q410" t="s">
        <v>86</v>
      </c>
      <c r="R410">
        <v>0</v>
      </c>
      <c r="S410">
        <v>0</v>
      </c>
      <c r="T410">
        <v>9500</v>
      </c>
      <c r="U410">
        <v>963491107</v>
      </c>
      <c r="V410" t="s">
        <v>87</v>
      </c>
      <c r="W410" t="s">
        <v>1188</v>
      </c>
      <c r="AB410" t="s">
        <v>210</v>
      </c>
      <c r="AC410" t="s">
        <v>90</v>
      </c>
      <c r="AD410">
        <v>6</v>
      </c>
      <c r="AE410" t="s">
        <v>101</v>
      </c>
      <c r="AF410" t="s">
        <v>102</v>
      </c>
      <c r="AH410">
        <v>4630000505</v>
      </c>
      <c r="AI410">
        <v>4630</v>
      </c>
      <c r="AJ410" t="s">
        <v>1189</v>
      </c>
    </row>
    <row r="411" spans="1:36">
      <c r="A411" t="s">
        <v>1229</v>
      </c>
      <c r="B411" t="s">
        <v>1230</v>
      </c>
      <c r="C411">
        <v>3</v>
      </c>
      <c r="D411" t="s">
        <v>174</v>
      </c>
      <c r="E411" t="s">
        <v>79</v>
      </c>
      <c r="F411" t="s">
        <v>79</v>
      </c>
      <c r="G411" t="s">
        <v>80</v>
      </c>
      <c r="H411" t="s">
        <v>81</v>
      </c>
      <c r="I411" t="s">
        <v>82</v>
      </c>
      <c r="J411" t="s">
        <v>106</v>
      </c>
      <c r="K411" t="s">
        <v>107</v>
      </c>
      <c r="L411" s="1">
        <v>45328</v>
      </c>
      <c r="N411" t="s">
        <v>108</v>
      </c>
      <c r="O411" t="s">
        <v>98</v>
      </c>
      <c r="P411">
        <v>0</v>
      </c>
      <c r="Q411" t="s">
        <v>86</v>
      </c>
      <c r="R411">
        <v>0</v>
      </c>
      <c r="S411">
        <v>0</v>
      </c>
      <c r="T411">
        <v>4885</v>
      </c>
      <c r="V411" t="s">
        <v>87</v>
      </c>
      <c r="W411" t="s">
        <v>1147</v>
      </c>
      <c r="AB411">
        <v>9999</v>
      </c>
      <c r="AC411" t="s">
        <v>90</v>
      </c>
      <c r="AD411">
        <v>6</v>
      </c>
      <c r="AE411" t="s">
        <v>101</v>
      </c>
      <c r="AF411" t="s">
        <v>102</v>
      </c>
      <c r="AH411">
        <v>3675400010</v>
      </c>
      <c r="AI411">
        <v>3675</v>
      </c>
      <c r="AJ411" t="s">
        <v>1148</v>
      </c>
    </row>
    <row r="412" spans="1:36">
      <c r="A412" t="s">
        <v>1231</v>
      </c>
      <c r="B412" t="s">
        <v>1232</v>
      </c>
      <c r="C412">
        <v>3</v>
      </c>
      <c r="D412" t="s">
        <v>133</v>
      </c>
      <c r="E412" t="s">
        <v>79</v>
      </c>
      <c r="F412" t="s">
        <v>79</v>
      </c>
      <c r="G412" t="s">
        <v>80</v>
      </c>
      <c r="H412" t="s">
        <v>81</v>
      </c>
      <c r="I412" t="s">
        <v>82</v>
      </c>
      <c r="J412" t="s">
        <v>95</v>
      </c>
      <c r="K412" t="s">
        <v>184</v>
      </c>
      <c r="L412">
        <v>98</v>
      </c>
      <c r="N412" t="s">
        <v>185</v>
      </c>
      <c r="O412" t="s">
        <v>98</v>
      </c>
      <c r="P412">
        <v>0</v>
      </c>
      <c r="Q412" t="s">
        <v>86</v>
      </c>
      <c r="R412">
        <v>0</v>
      </c>
      <c r="S412">
        <v>0</v>
      </c>
      <c r="T412">
        <v>3950</v>
      </c>
      <c r="U412">
        <v>963701100</v>
      </c>
      <c r="V412" t="s">
        <v>87</v>
      </c>
      <c r="W412" t="s">
        <v>347</v>
      </c>
      <c r="AB412" t="s">
        <v>100</v>
      </c>
      <c r="AC412" t="s">
        <v>90</v>
      </c>
      <c r="AD412">
        <v>6</v>
      </c>
      <c r="AE412" t="s">
        <v>101</v>
      </c>
      <c r="AF412" t="s">
        <v>102</v>
      </c>
      <c r="AH412">
        <v>2350000116</v>
      </c>
      <c r="AI412">
        <v>2350</v>
      </c>
      <c r="AJ412" t="s">
        <v>349</v>
      </c>
    </row>
    <row r="413" spans="1:36">
      <c r="A413" t="s">
        <v>178</v>
      </c>
      <c r="B413" t="s">
        <v>1233</v>
      </c>
      <c r="C413">
        <v>3</v>
      </c>
      <c r="D413" t="s">
        <v>78</v>
      </c>
      <c r="E413" t="s">
        <v>79</v>
      </c>
      <c r="F413" t="s">
        <v>79</v>
      </c>
      <c r="G413" t="s">
        <v>80</v>
      </c>
      <c r="H413" t="s">
        <v>81</v>
      </c>
      <c r="I413" t="s">
        <v>82</v>
      </c>
      <c r="J413" t="s">
        <v>175</v>
      </c>
      <c r="K413" t="s">
        <v>176</v>
      </c>
      <c r="L413">
        <v>1</v>
      </c>
      <c r="O413" t="s">
        <v>177</v>
      </c>
      <c r="P413">
        <v>0</v>
      </c>
      <c r="Q413" t="s">
        <v>86</v>
      </c>
      <c r="R413">
        <v>0</v>
      </c>
      <c r="S413">
        <v>0</v>
      </c>
      <c r="T413">
        <v>9500</v>
      </c>
      <c r="U413">
        <v>96349</v>
      </c>
      <c r="V413">
        <v>4</v>
      </c>
      <c r="W413" t="s">
        <v>972</v>
      </c>
      <c r="AB413" t="s">
        <v>179</v>
      </c>
      <c r="AC413" t="s">
        <v>90</v>
      </c>
      <c r="AD413">
        <v>6</v>
      </c>
      <c r="AE413" t="s">
        <v>91</v>
      </c>
      <c r="AF413" t="s">
        <v>102</v>
      </c>
      <c r="AH413">
        <v>3014003100</v>
      </c>
      <c r="AI413">
        <v>3014</v>
      </c>
      <c r="AJ413" t="s">
        <v>180</v>
      </c>
    </row>
    <row r="414" spans="1:36">
      <c r="A414" t="s">
        <v>1234</v>
      </c>
      <c r="B414" t="s">
        <v>1235</v>
      </c>
      <c r="C414">
        <v>4</v>
      </c>
      <c r="D414" t="s">
        <v>174</v>
      </c>
      <c r="E414" t="s">
        <v>125</v>
      </c>
      <c r="F414" t="s">
        <v>125</v>
      </c>
      <c r="G414" t="s">
        <v>80</v>
      </c>
      <c r="H414" t="s">
        <v>81</v>
      </c>
      <c r="I414" t="s">
        <v>82</v>
      </c>
      <c r="P414">
        <v>0</v>
      </c>
      <c r="Q414" t="s">
        <v>86</v>
      </c>
      <c r="R414">
        <v>0</v>
      </c>
      <c r="S414">
        <v>0</v>
      </c>
      <c r="T414">
        <v>600</v>
      </c>
      <c r="U414">
        <v>963061209</v>
      </c>
      <c r="V414" t="s">
        <v>87</v>
      </c>
      <c r="W414" t="s">
        <v>1236</v>
      </c>
      <c r="AB414" t="s">
        <v>205</v>
      </c>
      <c r="AC414" t="s">
        <v>90</v>
      </c>
      <c r="AH414">
        <v>6635005111</v>
      </c>
      <c r="AI414">
        <v>6635</v>
      </c>
      <c r="AJ414" t="s">
        <v>1237</v>
      </c>
    </row>
    <row r="415" spans="1:36">
      <c r="A415" t="s">
        <v>1238</v>
      </c>
      <c r="B415" t="s">
        <v>1239</v>
      </c>
      <c r="C415">
        <v>3</v>
      </c>
      <c r="D415" t="s">
        <v>78</v>
      </c>
      <c r="E415" t="s">
        <v>125</v>
      </c>
      <c r="F415" t="s">
        <v>125</v>
      </c>
      <c r="G415" t="s">
        <v>80</v>
      </c>
      <c r="H415" t="s">
        <v>81</v>
      </c>
      <c r="I415" t="s">
        <v>82</v>
      </c>
      <c r="P415">
        <v>0</v>
      </c>
      <c r="Q415" t="s">
        <v>86</v>
      </c>
      <c r="R415">
        <v>0</v>
      </c>
      <c r="S415">
        <v>0</v>
      </c>
      <c r="T415">
        <v>9500</v>
      </c>
      <c r="U415">
        <v>963491100</v>
      </c>
      <c r="V415" t="s">
        <v>87</v>
      </c>
      <c r="W415" t="s">
        <v>317</v>
      </c>
      <c r="AB415" t="s">
        <v>147</v>
      </c>
      <c r="AC415" t="s">
        <v>90</v>
      </c>
      <c r="AD415">
        <v>4</v>
      </c>
      <c r="AH415">
        <v>3401000727</v>
      </c>
      <c r="AI415">
        <v>3401</v>
      </c>
      <c r="AJ415" t="s">
        <v>318</v>
      </c>
    </row>
    <row r="416" spans="1:36">
      <c r="A416" t="s">
        <v>1240</v>
      </c>
      <c r="B416" t="s">
        <v>1241</v>
      </c>
      <c r="C416" t="s">
        <v>139</v>
      </c>
      <c r="D416" t="s">
        <v>140</v>
      </c>
      <c r="E416" t="s">
        <v>79</v>
      </c>
      <c r="F416" t="s">
        <v>125</v>
      </c>
      <c r="G416" t="s">
        <v>80</v>
      </c>
      <c r="H416" t="s">
        <v>81</v>
      </c>
      <c r="P416">
        <v>0</v>
      </c>
      <c r="Q416" t="s">
        <v>86</v>
      </c>
      <c r="R416">
        <v>0</v>
      </c>
      <c r="S416">
        <v>0</v>
      </c>
      <c r="T416">
        <v>9500</v>
      </c>
      <c r="U416">
        <v>963492914</v>
      </c>
      <c r="V416" t="s">
        <v>327</v>
      </c>
    </row>
    <row r="417" spans="1:36">
      <c r="A417" t="s">
        <v>1242</v>
      </c>
      <c r="B417" t="s">
        <v>1243</v>
      </c>
      <c r="C417" t="s">
        <v>139</v>
      </c>
      <c r="D417" t="s">
        <v>140</v>
      </c>
      <c r="E417" t="s">
        <v>79</v>
      </c>
      <c r="F417" t="s">
        <v>125</v>
      </c>
      <c r="G417" t="s">
        <v>80</v>
      </c>
      <c r="H417" t="s">
        <v>81</v>
      </c>
      <c r="P417">
        <v>0</v>
      </c>
      <c r="Q417" t="s">
        <v>86</v>
      </c>
      <c r="R417">
        <v>0</v>
      </c>
      <c r="S417">
        <v>0</v>
      </c>
      <c r="T417">
        <v>9500</v>
      </c>
      <c r="V417" t="s">
        <v>327</v>
      </c>
    </row>
    <row r="418" spans="1:36">
      <c r="A418" t="s">
        <v>1244</v>
      </c>
      <c r="B418" t="s">
        <v>1245</v>
      </c>
      <c r="C418">
        <v>4</v>
      </c>
      <c r="D418" t="s">
        <v>78</v>
      </c>
      <c r="E418" t="s">
        <v>125</v>
      </c>
      <c r="F418" t="s">
        <v>79</v>
      </c>
      <c r="G418" t="s">
        <v>80</v>
      </c>
      <c r="H418" t="s">
        <v>81</v>
      </c>
      <c r="I418" t="s">
        <v>82</v>
      </c>
      <c r="J418" t="s">
        <v>95</v>
      </c>
      <c r="K418" t="s">
        <v>163</v>
      </c>
      <c r="L418">
        <v>96</v>
      </c>
      <c r="N418" t="s">
        <v>155</v>
      </c>
      <c r="O418" t="s">
        <v>98</v>
      </c>
      <c r="P418">
        <v>0</v>
      </c>
      <c r="Q418" t="s">
        <v>86</v>
      </c>
      <c r="R418">
        <v>0</v>
      </c>
      <c r="S418">
        <v>0</v>
      </c>
      <c r="T418">
        <v>9500</v>
      </c>
      <c r="U418">
        <v>966280000</v>
      </c>
      <c r="V418">
        <v>5</v>
      </c>
      <c r="W418" t="s">
        <v>164</v>
      </c>
      <c r="AB418" t="s">
        <v>100</v>
      </c>
      <c r="AC418" t="s">
        <v>90</v>
      </c>
      <c r="AD418">
        <v>4</v>
      </c>
      <c r="AE418" t="s">
        <v>165</v>
      </c>
      <c r="AF418" t="s">
        <v>102</v>
      </c>
      <c r="AH418">
        <v>488001900</v>
      </c>
      <c r="AI418">
        <v>488</v>
      </c>
      <c r="AJ418" t="s">
        <v>1246</v>
      </c>
    </row>
    <row r="419" spans="1:36">
      <c r="A419" t="s">
        <v>1247</v>
      </c>
      <c r="B419" t="s">
        <v>1248</v>
      </c>
      <c r="C419">
        <v>3</v>
      </c>
      <c r="D419" t="s">
        <v>174</v>
      </c>
      <c r="E419" t="s">
        <v>79</v>
      </c>
      <c r="F419" t="s">
        <v>125</v>
      </c>
      <c r="G419" t="s">
        <v>80</v>
      </c>
      <c r="H419" t="s">
        <v>81</v>
      </c>
      <c r="I419" t="s">
        <v>82</v>
      </c>
      <c r="P419">
        <v>0</v>
      </c>
      <c r="Q419" t="s">
        <v>86</v>
      </c>
      <c r="R419">
        <v>0</v>
      </c>
      <c r="S419">
        <v>0</v>
      </c>
      <c r="T419">
        <v>4885</v>
      </c>
      <c r="V419" t="s">
        <v>87</v>
      </c>
      <c r="W419" t="s">
        <v>541</v>
      </c>
      <c r="AB419">
        <v>7474</v>
      </c>
      <c r="AC419" t="s">
        <v>305</v>
      </c>
      <c r="AD419">
        <v>6</v>
      </c>
      <c r="AH419">
        <v>2037014215</v>
      </c>
      <c r="AI419">
        <v>2037</v>
      </c>
      <c r="AJ419" t="s">
        <v>122</v>
      </c>
    </row>
    <row r="420" spans="1:36">
      <c r="A420" t="s">
        <v>1249</v>
      </c>
      <c r="B420" t="s">
        <v>1250</v>
      </c>
      <c r="C420">
        <v>3</v>
      </c>
      <c r="D420" t="s">
        <v>190</v>
      </c>
      <c r="E420" t="s">
        <v>79</v>
      </c>
      <c r="F420" t="s">
        <v>79</v>
      </c>
      <c r="J420" t="s">
        <v>191</v>
      </c>
      <c r="O420" t="s">
        <v>243</v>
      </c>
      <c r="P420">
        <v>0</v>
      </c>
      <c r="Q420" t="s">
        <v>86</v>
      </c>
      <c r="R420">
        <v>0</v>
      </c>
      <c r="S420">
        <v>0</v>
      </c>
      <c r="T420">
        <v>1065</v>
      </c>
      <c r="V420" t="s">
        <v>87</v>
      </c>
      <c r="W420" t="s">
        <v>1251</v>
      </c>
      <c r="AF420" t="s">
        <v>102</v>
      </c>
      <c r="AH420" t="s">
        <v>1252</v>
      </c>
      <c r="AI420" t="s">
        <v>1253</v>
      </c>
    </row>
    <row r="421" spans="1:36">
      <c r="A421" t="s">
        <v>12</v>
      </c>
      <c r="B421" t="s">
        <v>1254</v>
      </c>
      <c r="C421">
        <v>3</v>
      </c>
      <c r="D421" t="s">
        <v>190</v>
      </c>
      <c r="E421" t="s">
        <v>79</v>
      </c>
      <c r="F421" t="s">
        <v>79</v>
      </c>
      <c r="J421" t="s">
        <v>191</v>
      </c>
      <c r="O421" t="s">
        <v>243</v>
      </c>
      <c r="P421">
        <v>0</v>
      </c>
      <c r="Q421" t="s">
        <v>86</v>
      </c>
      <c r="R421">
        <v>0</v>
      </c>
      <c r="S421">
        <v>0</v>
      </c>
      <c r="T421">
        <v>1060</v>
      </c>
      <c r="V421" t="s">
        <v>87</v>
      </c>
      <c r="W421" t="s">
        <v>1255</v>
      </c>
      <c r="AF421" t="s">
        <v>102</v>
      </c>
      <c r="AH421" t="s">
        <v>1256</v>
      </c>
      <c r="AI421" t="s">
        <v>1253</v>
      </c>
    </row>
    <row r="422" spans="1:36">
      <c r="A422" t="s">
        <v>1257</v>
      </c>
      <c r="B422" t="s">
        <v>1258</v>
      </c>
      <c r="C422">
        <v>3</v>
      </c>
      <c r="D422" t="s">
        <v>183</v>
      </c>
      <c r="E422" t="s">
        <v>79</v>
      </c>
      <c r="F422" t="s">
        <v>79</v>
      </c>
      <c r="J422" t="s">
        <v>191</v>
      </c>
      <c r="O422" t="s">
        <v>243</v>
      </c>
      <c r="P422">
        <v>0</v>
      </c>
      <c r="Q422" t="s">
        <v>86</v>
      </c>
      <c r="R422">
        <v>0</v>
      </c>
      <c r="S422">
        <v>0</v>
      </c>
      <c r="T422">
        <v>3800</v>
      </c>
      <c r="V422" t="s">
        <v>87</v>
      </c>
      <c r="W422" t="s">
        <v>671</v>
      </c>
      <c r="AF422" t="s">
        <v>102</v>
      </c>
      <c r="AH422" t="s">
        <v>1259</v>
      </c>
      <c r="AI422" t="s">
        <v>1253</v>
      </c>
    </row>
    <row r="423" spans="1:36">
      <c r="A423" t="s">
        <v>1260</v>
      </c>
      <c r="B423" t="s">
        <v>1137</v>
      </c>
      <c r="C423">
        <v>3</v>
      </c>
      <c r="D423" t="s">
        <v>190</v>
      </c>
      <c r="E423" t="s">
        <v>79</v>
      </c>
      <c r="F423" t="s">
        <v>79</v>
      </c>
      <c r="J423" t="s">
        <v>191</v>
      </c>
      <c r="O423" t="s">
        <v>243</v>
      </c>
      <c r="P423">
        <v>0</v>
      </c>
      <c r="Q423" t="s">
        <v>86</v>
      </c>
      <c r="R423">
        <v>0</v>
      </c>
      <c r="S423">
        <v>0</v>
      </c>
      <c r="T423">
        <v>1060</v>
      </c>
      <c r="V423" t="s">
        <v>87</v>
      </c>
      <c r="W423" t="s">
        <v>1255</v>
      </c>
      <c r="AF423" t="s">
        <v>102</v>
      </c>
      <c r="AI423" t="s">
        <v>1261</v>
      </c>
    </row>
    <row r="424" spans="1:36">
      <c r="A424" t="s">
        <v>1262</v>
      </c>
      <c r="B424" t="s">
        <v>1263</v>
      </c>
      <c r="C424">
        <v>4</v>
      </c>
      <c r="D424" t="s">
        <v>130</v>
      </c>
      <c r="E424" t="s">
        <v>125</v>
      </c>
      <c r="F424" t="s">
        <v>79</v>
      </c>
      <c r="G424" t="s">
        <v>80</v>
      </c>
      <c r="H424" t="s">
        <v>81</v>
      </c>
      <c r="I424" t="s">
        <v>82</v>
      </c>
      <c r="J424" t="s">
        <v>95</v>
      </c>
      <c r="K424" t="s">
        <v>163</v>
      </c>
      <c r="L424">
        <v>95</v>
      </c>
      <c r="N424" t="s">
        <v>155</v>
      </c>
      <c r="O424" t="s">
        <v>98</v>
      </c>
      <c r="P424">
        <v>0</v>
      </c>
      <c r="Q424" t="s">
        <v>86</v>
      </c>
      <c r="R424">
        <v>0</v>
      </c>
      <c r="S424">
        <v>0</v>
      </c>
      <c r="T424">
        <v>7100</v>
      </c>
      <c r="U424">
        <v>340931930</v>
      </c>
      <c r="V424">
        <v>5</v>
      </c>
      <c r="W424" t="s">
        <v>164</v>
      </c>
      <c r="AB424" t="s">
        <v>100</v>
      </c>
      <c r="AC424" t="s">
        <v>90</v>
      </c>
      <c r="AD424">
        <v>4</v>
      </c>
      <c r="AE424" t="s">
        <v>165</v>
      </c>
      <c r="AF424" t="s">
        <v>102</v>
      </c>
      <c r="AH424">
        <v>600001000</v>
      </c>
      <c r="AI424">
        <v>600</v>
      </c>
      <c r="AJ424" t="s">
        <v>1264</v>
      </c>
    </row>
    <row r="425" spans="1:36">
      <c r="A425" t="s">
        <v>1265</v>
      </c>
      <c r="B425" t="s">
        <v>1266</v>
      </c>
      <c r="C425">
        <v>4</v>
      </c>
      <c r="D425" t="s">
        <v>130</v>
      </c>
      <c r="E425" t="s">
        <v>125</v>
      </c>
      <c r="F425" t="s">
        <v>79</v>
      </c>
      <c r="G425" t="s">
        <v>80</v>
      </c>
      <c r="H425" t="s">
        <v>81</v>
      </c>
      <c r="I425" t="s">
        <v>82</v>
      </c>
      <c r="J425" t="s">
        <v>95</v>
      </c>
      <c r="K425" t="s">
        <v>163</v>
      </c>
      <c r="L425">
        <v>95</v>
      </c>
      <c r="N425" t="s">
        <v>155</v>
      </c>
      <c r="O425" t="s">
        <v>98</v>
      </c>
      <c r="P425">
        <v>0</v>
      </c>
      <c r="Q425" t="s">
        <v>86</v>
      </c>
      <c r="R425">
        <v>0</v>
      </c>
      <c r="S425">
        <v>0</v>
      </c>
      <c r="T425">
        <v>7100</v>
      </c>
      <c r="U425">
        <v>340901922</v>
      </c>
      <c r="V425">
        <v>5</v>
      </c>
      <c r="W425" t="s">
        <v>164</v>
      </c>
      <c r="AB425" t="s">
        <v>100</v>
      </c>
      <c r="AC425" t="s">
        <v>90</v>
      </c>
      <c r="AD425">
        <v>4</v>
      </c>
      <c r="AE425" t="s">
        <v>165</v>
      </c>
      <c r="AF425" t="s">
        <v>102</v>
      </c>
      <c r="AH425">
        <v>600000900</v>
      </c>
      <c r="AI425">
        <v>600</v>
      </c>
      <c r="AJ425" t="s">
        <v>1264</v>
      </c>
    </row>
    <row r="426" spans="1:36">
      <c r="A426" t="s">
        <v>1267</v>
      </c>
      <c r="B426" t="s">
        <v>1268</v>
      </c>
      <c r="C426">
        <v>4</v>
      </c>
      <c r="D426" t="s">
        <v>130</v>
      </c>
      <c r="E426" t="s">
        <v>125</v>
      </c>
      <c r="F426" t="s">
        <v>79</v>
      </c>
      <c r="G426" t="s">
        <v>80</v>
      </c>
      <c r="H426" t="s">
        <v>81</v>
      </c>
      <c r="I426" t="s">
        <v>82</v>
      </c>
      <c r="J426" t="s">
        <v>95</v>
      </c>
      <c r="K426" t="s">
        <v>163</v>
      </c>
      <c r="L426">
        <v>95</v>
      </c>
      <c r="N426" t="s">
        <v>155</v>
      </c>
      <c r="O426" t="s">
        <v>98</v>
      </c>
      <c r="P426">
        <v>0</v>
      </c>
      <c r="Q426" t="s">
        <v>86</v>
      </c>
      <c r="R426">
        <v>0</v>
      </c>
      <c r="S426">
        <v>0</v>
      </c>
      <c r="T426">
        <v>7100</v>
      </c>
      <c r="U426">
        <v>966751927</v>
      </c>
      <c r="V426">
        <v>5</v>
      </c>
      <c r="W426" t="s">
        <v>164</v>
      </c>
      <c r="AB426" t="s">
        <v>100</v>
      </c>
      <c r="AC426" t="s">
        <v>90</v>
      </c>
      <c r="AD426">
        <v>4</v>
      </c>
      <c r="AE426" t="s">
        <v>165</v>
      </c>
      <c r="AF426" t="s">
        <v>102</v>
      </c>
      <c r="AH426">
        <v>600000700</v>
      </c>
      <c r="AI426">
        <v>600</v>
      </c>
      <c r="AJ426" t="s">
        <v>1264</v>
      </c>
    </row>
    <row r="427" spans="1:36">
      <c r="A427" t="s">
        <v>1269</v>
      </c>
      <c r="B427" t="s">
        <v>1270</v>
      </c>
      <c r="C427">
        <v>4</v>
      </c>
      <c r="D427" t="s">
        <v>78</v>
      </c>
      <c r="E427" t="s">
        <v>125</v>
      </c>
      <c r="F427" t="s">
        <v>79</v>
      </c>
      <c r="G427" t="s">
        <v>80</v>
      </c>
      <c r="H427" t="s">
        <v>81</v>
      </c>
      <c r="I427" t="s">
        <v>82</v>
      </c>
      <c r="J427" t="s">
        <v>95</v>
      </c>
      <c r="K427" t="s">
        <v>163</v>
      </c>
      <c r="L427">
        <v>96</v>
      </c>
      <c r="N427" t="s">
        <v>155</v>
      </c>
      <c r="O427" t="s">
        <v>98</v>
      </c>
      <c r="P427">
        <v>0</v>
      </c>
      <c r="Q427" t="s">
        <v>86</v>
      </c>
      <c r="R427">
        <v>0</v>
      </c>
      <c r="S427">
        <v>0</v>
      </c>
      <c r="T427">
        <v>9500</v>
      </c>
      <c r="U427">
        <v>966621182</v>
      </c>
      <c r="V427">
        <v>5</v>
      </c>
      <c r="W427" t="s">
        <v>164</v>
      </c>
      <c r="AB427" t="s">
        <v>100</v>
      </c>
      <c r="AC427" t="s">
        <v>90</v>
      </c>
      <c r="AD427">
        <v>4</v>
      </c>
      <c r="AE427" t="s">
        <v>165</v>
      </c>
      <c r="AF427" t="s">
        <v>102</v>
      </c>
      <c r="AH427">
        <v>381006200</v>
      </c>
      <c r="AI427">
        <v>381</v>
      </c>
      <c r="AJ427" t="s">
        <v>1271</v>
      </c>
    </row>
    <row r="428" spans="1:36">
      <c r="A428" t="s">
        <v>1272</v>
      </c>
      <c r="B428" t="s">
        <v>1273</v>
      </c>
      <c r="C428">
        <v>4</v>
      </c>
      <c r="D428" t="s">
        <v>130</v>
      </c>
      <c r="E428" t="s">
        <v>125</v>
      </c>
      <c r="F428" t="s">
        <v>125</v>
      </c>
      <c r="G428" t="s">
        <v>80</v>
      </c>
      <c r="H428" t="s">
        <v>81</v>
      </c>
      <c r="P428">
        <v>0</v>
      </c>
      <c r="Q428" t="s">
        <v>86</v>
      </c>
      <c r="R428">
        <v>0</v>
      </c>
      <c r="S428">
        <v>0</v>
      </c>
      <c r="T428">
        <v>7100</v>
      </c>
      <c r="U428">
        <v>966661925</v>
      </c>
      <c r="V428">
        <v>5</v>
      </c>
      <c r="W428" t="s">
        <v>1274</v>
      </c>
      <c r="AH428">
        <v>600000500</v>
      </c>
      <c r="AI428">
        <v>600</v>
      </c>
      <c r="AJ428" t="s">
        <v>1264</v>
      </c>
    </row>
    <row r="429" spans="1:36">
      <c r="A429" t="s">
        <v>1275</v>
      </c>
      <c r="B429" t="s">
        <v>1276</v>
      </c>
      <c r="C429">
        <v>4</v>
      </c>
      <c r="D429" t="s">
        <v>130</v>
      </c>
      <c r="E429" t="s">
        <v>125</v>
      </c>
      <c r="F429" t="s">
        <v>125</v>
      </c>
      <c r="G429" t="s">
        <v>80</v>
      </c>
      <c r="H429" t="s">
        <v>81</v>
      </c>
      <c r="I429" t="s">
        <v>82</v>
      </c>
      <c r="P429">
        <v>0</v>
      </c>
      <c r="Q429" t="s">
        <v>86</v>
      </c>
      <c r="R429">
        <v>0</v>
      </c>
      <c r="S429">
        <v>0</v>
      </c>
      <c r="T429">
        <v>7100</v>
      </c>
      <c r="U429">
        <v>968606000</v>
      </c>
      <c r="V429" t="s">
        <v>87</v>
      </c>
      <c r="W429" t="s">
        <v>1277</v>
      </c>
      <c r="AB429">
        <v>4040</v>
      </c>
      <c r="AC429" t="s">
        <v>305</v>
      </c>
      <c r="AD429">
        <v>4</v>
      </c>
      <c r="AH429">
        <v>4222003656</v>
      </c>
      <c r="AI429">
        <v>4222</v>
      </c>
      <c r="AJ429" t="s">
        <v>660</v>
      </c>
    </row>
    <row r="430" spans="1:36">
      <c r="A430" t="s">
        <v>1278</v>
      </c>
      <c r="B430" t="s">
        <v>1279</v>
      </c>
      <c r="C430">
        <v>3</v>
      </c>
      <c r="D430" t="s">
        <v>78</v>
      </c>
      <c r="E430" t="s">
        <v>79</v>
      </c>
      <c r="F430" t="s">
        <v>79</v>
      </c>
      <c r="G430" t="s">
        <v>80</v>
      </c>
      <c r="H430" t="s">
        <v>81</v>
      </c>
      <c r="I430" t="s">
        <v>82</v>
      </c>
      <c r="J430" t="s">
        <v>106</v>
      </c>
      <c r="K430" t="s">
        <v>107</v>
      </c>
      <c r="L430" s="1">
        <v>45328</v>
      </c>
      <c r="N430" t="s">
        <v>108</v>
      </c>
      <c r="O430" t="s">
        <v>98</v>
      </c>
      <c r="P430">
        <v>0</v>
      </c>
      <c r="Q430" t="s">
        <v>86</v>
      </c>
      <c r="R430">
        <v>0</v>
      </c>
      <c r="S430">
        <v>0</v>
      </c>
      <c r="T430">
        <v>9500</v>
      </c>
      <c r="V430" t="s">
        <v>87</v>
      </c>
      <c r="W430" t="s">
        <v>794</v>
      </c>
      <c r="AB430" t="s">
        <v>198</v>
      </c>
      <c r="AC430" t="s">
        <v>90</v>
      </c>
      <c r="AD430">
        <v>6</v>
      </c>
      <c r="AE430" t="s">
        <v>101</v>
      </c>
      <c r="AF430" t="s">
        <v>102</v>
      </c>
      <c r="AH430">
        <v>5790045005</v>
      </c>
      <c r="AI430">
        <v>5790</v>
      </c>
      <c r="AJ430" t="s">
        <v>199</v>
      </c>
    </row>
    <row r="431" spans="1:36">
      <c r="A431" t="s">
        <v>1280</v>
      </c>
      <c r="B431" t="s">
        <v>1281</v>
      </c>
      <c r="C431">
        <v>3</v>
      </c>
      <c r="D431" t="s">
        <v>133</v>
      </c>
      <c r="E431" t="s">
        <v>79</v>
      </c>
      <c r="F431" t="s">
        <v>79</v>
      </c>
      <c r="G431" t="s">
        <v>80</v>
      </c>
      <c r="H431" t="s">
        <v>81</v>
      </c>
      <c r="I431" t="s">
        <v>82</v>
      </c>
      <c r="J431" t="s">
        <v>554</v>
      </c>
      <c r="K431" t="s">
        <v>555</v>
      </c>
      <c r="L431">
        <v>98</v>
      </c>
      <c r="N431" t="s">
        <v>185</v>
      </c>
      <c r="O431" t="s">
        <v>554</v>
      </c>
      <c r="P431">
        <v>0</v>
      </c>
      <c r="Q431" t="s">
        <v>86</v>
      </c>
      <c r="R431">
        <v>0</v>
      </c>
      <c r="S431">
        <v>0</v>
      </c>
      <c r="T431">
        <v>3950</v>
      </c>
      <c r="U431">
        <v>963720222</v>
      </c>
      <c r="V431" t="s">
        <v>87</v>
      </c>
      <c r="W431" t="s">
        <v>775</v>
      </c>
      <c r="AB431" t="s">
        <v>100</v>
      </c>
      <c r="AC431" t="s">
        <v>90</v>
      </c>
      <c r="AD431">
        <v>6</v>
      </c>
      <c r="AE431" t="s">
        <v>160</v>
      </c>
      <c r="AF431" t="s">
        <v>102</v>
      </c>
      <c r="AH431">
        <v>1410006114</v>
      </c>
      <c r="AI431">
        <v>1410</v>
      </c>
      <c r="AJ431" t="s">
        <v>778</v>
      </c>
    </row>
    <row r="432" spans="1:36">
      <c r="A432" t="s">
        <v>1282</v>
      </c>
      <c r="B432" t="s">
        <v>1283</v>
      </c>
      <c r="C432">
        <v>3</v>
      </c>
      <c r="D432" t="s">
        <v>183</v>
      </c>
      <c r="E432" t="s">
        <v>125</v>
      </c>
      <c r="F432" t="s">
        <v>79</v>
      </c>
      <c r="G432" t="s">
        <v>80</v>
      </c>
      <c r="H432" t="s">
        <v>81</v>
      </c>
      <c r="I432" t="s">
        <v>82</v>
      </c>
      <c r="J432" t="s">
        <v>95</v>
      </c>
      <c r="K432" t="s">
        <v>184</v>
      </c>
      <c r="L432">
        <v>98</v>
      </c>
      <c r="N432" t="s">
        <v>185</v>
      </c>
      <c r="O432" t="s">
        <v>98</v>
      </c>
      <c r="P432">
        <v>0</v>
      </c>
      <c r="Q432" t="s">
        <v>86</v>
      </c>
      <c r="R432">
        <v>0</v>
      </c>
      <c r="S432">
        <v>0</v>
      </c>
      <c r="T432">
        <v>3800</v>
      </c>
      <c r="V432" t="s">
        <v>87</v>
      </c>
      <c r="W432" t="s">
        <v>1284</v>
      </c>
      <c r="AB432" t="s">
        <v>205</v>
      </c>
      <c r="AC432" t="s">
        <v>90</v>
      </c>
      <c r="AD432">
        <v>4</v>
      </c>
      <c r="AE432" t="s">
        <v>165</v>
      </c>
      <c r="AF432" t="s">
        <v>102</v>
      </c>
      <c r="AH432">
        <v>6768004015</v>
      </c>
      <c r="AI432">
        <v>6768</v>
      </c>
      <c r="AJ432" t="s">
        <v>1285</v>
      </c>
    </row>
    <row r="433" spans="1:36">
      <c r="A433" t="s">
        <v>1286</v>
      </c>
      <c r="B433" t="s">
        <v>1287</v>
      </c>
      <c r="C433">
        <v>4</v>
      </c>
      <c r="D433" t="s">
        <v>78</v>
      </c>
      <c r="E433" t="s">
        <v>79</v>
      </c>
      <c r="F433" t="s">
        <v>125</v>
      </c>
      <c r="G433" t="s">
        <v>80</v>
      </c>
      <c r="H433" t="s">
        <v>81</v>
      </c>
      <c r="P433">
        <v>0</v>
      </c>
      <c r="Q433" t="s">
        <v>86</v>
      </c>
      <c r="R433">
        <v>0</v>
      </c>
      <c r="S433">
        <v>0</v>
      </c>
      <c r="T433">
        <v>7100</v>
      </c>
      <c r="U433">
        <v>963223000</v>
      </c>
      <c r="V433" t="s">
        <v>327</v>
      </c>
    </row>
    <row r="434" spans="1:36">
      <c r="A434" t="s">
        <v>1288</v>
      </c>
      <c r="B434" t="s">
        <v>1289</v>
      </c>
      <c r="C434">
        <v>4</v>
      </c>
      <c r="D434" t="s">
        <v>78</v>
      </c>
      <c r="E434" t="s">
        <v>125</v>
      </c>
      <c r="F434" t="s">
        <v>79</v>
      </c>
      <c r="G434" t="s">
        <v>80</v>
      </c>
      <c r="H434" t="s">
        <v>81</v>
      </c>
      <c r="I434" t="s">
        <v>82</v>
      </c>
      <c r="J434" t="s">
        <v>95</v>
      </c>
      <c r="K434" t="s">
        <v>163</v>
      </c>
      <c r="L434">
        <v>96</v>
      </c>
      <c r="N434" t="s">
        <v>155</v>
      </c>
      <c r="O434" t="s">
        <v>98</v>
      </c>
      <c r="P434">
        <v>0</v>
      </c>
      <c r="Q434" t="s">
        <v>86</v>
      </c>
      <c r="R434">
        <v>0</v>
      </c>
      <c r="S434">
        <v>0</v>
      </c>
      <c r="T434">
        <v>9500</v>
      </c>
      <c r="V434">
        <v>5</v>
      </c>
      <c r="W434" t="s">
        <v>164</v>
      </c>
      <c r="AB434" t="s">
        <v>100</v>
      </c>
      <c r="AC434" t="s">
        <v>90</v>
      </c>
      <c r="AD434">
        <v>4</v>
      </c>
      <c r="AE434" t="s">
        <v>165</v>
      </c>
      <c r="AF434" t="s">
        <v>102</v>
      </c>
      <c r="AH434">
        <v>442011400</v>
      </c>
      <c r="AI434">
        <v>442</v>
      </c>
      <c r="AJ434" t="s">
        <v>169</v>
      </c>
    </row>
    <row r="435" spans="1:36">
      <c r="A435" t="s">
        <v>1290</v>
      </c>
      <c r="B435" t="s">
        <v>1291</v>
      </c>
      <c r="C435">
        <v>3</v>
      </c>
      <c r="D435" t="s">
        <v>190</v>
      </c>
      <c r="E435" t="s">
        <v>79</v>
      </c>
      <c r="F435" t="s">
        <v>79</v>
      </c>
      <c r="J435" t="s">
        <v>191</v>
      </c>
      <c r="O435" t="s">
        <v>243</v>
      </c>
      <c r="P435">
        <v>0</v>
      </c>
      <c r="Q435" t="s">
        <v>86</v>
      </c>
      <c r="R435">
        <v>0</v>
      </c>
      <c r="S435">
        <v>0</v>
      </c>
      <c r="T435">
        <v>1065</v>
      </c>
      <c r="U435">
        <v>6040116</v>
      </c>
      <c r="V435" t="s">
        <v>87</v>
      </c>
      <c r="W435" t="s">
        <v>1292</v>
      </c>
      <c r="AF435" t="s">
        <v>102</v>
      </c>
      <c r="AH435" t="s">
        <v>1293</v>
      </c>
      <c r="AI435" t="s">
        <v>1294</v>
      </c>
    </row>
    <row r="436" spans="1:36">
      <c r="A436" t="s">
        <v>1295</v>
      </c>
      <c r="B436" t="s">
        <v>1296</v>
      </c>
      <c r="C436">
        <v>3</v>
      </c>
      <c r="D436" t="s">
        <v>78</v>
      </c>
      <c r="E436" t="s">
        <v>79</v>
      </c>
      <c r="F436" t="s">
        <v>125</v>
      </c>
      <c r="G436" t="s">
        <v>80</v>
      </c>
      <c r="H436" t="s">
        <v>81</v>
      </c>
      <c r="I436" t="s">
        <v>82</v>
      </c>
      <c r="P436">
        <v>0</v>
      </c>
      <c r="Q436" t="s">
        <v>86</v>
      </c>
      <c r="R436">
        <v>0</v>
      </c>
      <c r="S436">
        <v>0</v>
      </c>
      <c r="T436">
        <v>9500</v>
      </c>
      <c r="V436" t="s">
        <v>87</v>
      </c>
      <c r="W436" t="s">
        <v>541</v>
      </c>
      <c r="AB436">
        <v>7474</v>
      </c>
      <c r="AC436" t="s">
        <v>305</v>
      </c>
      <c r="AD436">
        <v>6</v>
      </c>
      <c r="AH436">
        <v>2037014209</v>
      </c>
      <c r="AI436">
        <v>2037</v>
      </c>
      <c r="AJ436" t="s">
        <v>122</v>
      </c>
    </row>
    <row r="437" spans="1:36">
      <c r="A437" t="s">
        <v>1297</v>
      </c>
      <c r="B437" t="s">
        <v>1298</v>
      </c>
      <c r="C437">
        <v>3</v>
      </c>
      <c r="D437" t="s">
        <v>174</v>
      </c>
      <c r="E437" t="s">
        <v>79</v>
      </c>
      <c r="F437" t="s">
        <v>125</v>
      </c>
      <c r="G437" t="s">
        <v>80</v>
      </c>
      <c r="H437" t="s">
        <v>81</v>
      </c>
      <c r="I437" t="s">
        <v>82</v>
      </c>
      <c r="P437">
        <v>0</v>
      </c>
      <c r="Q437" t="s">
        <v>86</v>
      </c>
      <c r="R437">
        <v>0</v>
      </c>
      <c r="S437">
        <v>0</v>
      </c>
      <c r="T437">
        <v>600</v>
      </c>
      <c r="V437" t="s">
        <v>87</v>
      </c>
      <c r="W437" t="s">
        <v>541</v>
      </c>
      <c r="AB437">
        <v>7474</v>
      </c>
      <c r="AC437" t="s">
        <v>305</v>
      </c>
      <c r="AD437">
        <v>6</v>
      </c>
      <c r="AH437">
        <v>2037014213</v>
      </c>
      <c r="AI437">
        <v>2037</v>
      </c>
      <c r="AJ437" t="s">
        <v>122</v>
      </c>
    </row>
    <row r="438" spans="1:36">
      <c r="A438" t="s">
        <v>1299</v>
      </c>
      <c r="B438" t="s">
        <v>1300</v>
      </c>
      <c r="C438">
        <v>4</v>
      </c>
      <c r="D438" t="s">
        <v>78</v>
      </c>
      <c r="E438" t="s">
        <v>79</v>
      </c>
      <c r="F438" t="s">
        <v>125</v>
      </c>
      <c r="G438" t="s">
        <v>80</v>
      </c>
      <c r="H438" t="s">
        <v>81</v>
      </c>
      <c r="P438">
        <v>0</v>
      </c>
      <c r="Q438" t="s">
        <v>86</v>
      </c>
      <c r="R438">
        <v>0</v>
      </c>
      <c r="S438">
        <v>0</v>
      </c>
      <c r="T438">
        <v>9510</v>
      </c>
      <c r="U438">
        <v>963285200</v>
      </c>
      <c r="V438" t="s">
        <v>327</v>
      </c>
    </row>
    <row r="439" spans="1:36">
      <c r="A439" t="s">
        <v>1301</v>
      </c>
      <c r="B439" t="s">
        <v>1302</v>
      </c>
      <c r="C439">
        <v>3</v>
      </c>
      <c r="D439" t="s">
        <v>78</v>
      </c>
      <c r="E439" t="s">
        <v>125</v>
      </c>
      <c r="F439" t="s">
        <v>79</v>
      </c>
      <c r="G439" t="s">
        <v>80</v>
      </c>
      <c r="H439" t="s">
        <v>81</v>
      </c>
      <c r="I439" t="s">
        <v>82</v>
      </c>
      <c r="J439" t="s">
        <v>95</v>
      </c>
      <c r="K439" t="s">
        <v>163</v>
      </c>
      <c r="L439">
        <v>96</v>
      </c>
      <c r="N439" t="s">
        <v>155</v>
      </c>
      <c r="O439" t="s">
        <v>98</v>
      </c>
      <c r="P439">
        <v>0</v>
      </c>
      <c r="Q439" t="s">
        <v>86</v>
      </c>
      <c r="R439">
        <v>0</v>
      </c>
      <c r="S439">
        <v>0</v>
      </c>
      <c r="T439">
        <v>9500</v>
      </c>
      <c r="U439">
        <v>966014717</v>
      </c>
      <c r="V439">
        <v>4</v>
      </c>
      <c r="W439" t="s">
        <v>1303</v>
      </c>
      <c r="AB439" t="s">
        <v>100</v>
      </c>
      <c r="AC439" t="s">
        <v>90</v>
      </c>
      <c r="AD439">
        <v>4</v>
      </c>
      <c r="AE439" t="s">
        <v>165</v>
      </c>
      <c r="AF439" t="s">
        <v>102</v>
      </c>
      <c r="AH439">
        <v>2774001500</v>
      </c>
      <c r="AI439">
        <v>2774</v>
      </c>
      <c r="AJ439" t="s">
        <v>1304</v>
      </c>
    </row>
    <row r="440" spans="1:36">
      <c r="A440" t="s">
        <v>1305</v>
      </c>
      <c r="B440" t="s">
        <v>1306</v>
      </c>
      <c r="C440">
        <v>4</v>
      </c>
      <c r="D440" t="s">
        <v>130</v>
      </c>
      <c r="E440" t="s">
        <v>125</v>
      </c>
      <c r="F440" t="s">
        <v>79</v>
      </c>
      <c r="G440" t="s">
        <v>80</v>
      </c>
      <c r="H440" t="s">
        <v>81</v>
      </c>
      <c r="I440" t="s">
        <v>82</v>
      </c>
      <c r="J440" t="s">
        <v>95</v>
      </c>
      <c r="K440" t="s">
        <v>163</v>
      </c>
      <c r="L440">
        <v>95</v>
      </c>
      <c r="N440" t="s">
        <v>155</v>
      </c>
      <c r="O440" t="s">
        <v>98</v>
      </c>
      <c r="P440">
        <v>0</v>
      </c>
      <c r="Q440" t="s">
        <v>86</v>
      </c>
      <c r="R440">
        <v>0</v>
      </c>
      <c r="S440">
        <v>0</v>
      </c>
      <c r="T440">
        <v>7100</v>
      </c>
      <c r="U440">
        <v>340901934</v>
      </c>
      <c r="V440">
        <v>5</v>
      </c>
      <c r="W440" t="s">
        <v>164</v>
      </c>
      <c r="AB440" t="s">
        <v>100</v>
      </c>
      <c r="AC440" t="s">
        <v>90</v>
      </c>
      <c r="AD440">
        <v>4</v>
      </c>
      <c r="AE440" t="s">
        <v>165</v>
      </c>
      <c r="AF440" t="s">
        <v>102</v>
      </c>
      <c r="AH440">
        <v>600001400</v>
      </c>
      <c r="AI440">
        <v>600</v>
      </c>
      <c r="AJ440" t="s">
        <v>1264</v>
      </c>
    </row>
    <row r="441" spans="1:36">
      <c r="A441" t="s">
        <v>1307</v>
      </c>
      <c r="B441" t="s">
        <v>1308</v>
      </c>
      <c r="C441">
        <v>3</v>
      </c>
      <c r="D441" t="s">
        <v>190</v>
      </c>
      <c r="E441" t="s">
        <v>79</v>
      </c>
      <c r="F441" t="s">
        <v>79</v>
      </c>
      <c r="J441" t="s">
        <v>191</v>
      </c>
      <c r="O441" t="s">
        <v>243</v>
      </c>
      <c r="P441">
        <v>0</v>
      </c>
      <c r="Q441" t="s">
        <v>86</v>
      </c>
      <c r="R441">
        <v>0</v>
      </c>
      <c r="S441">
        <v>0</v>
      </c>
      <c r="T441">
        <v>1060</v>
      </c>
      <c r="V441" t="s">
        <v>87</v>
      </c>
      <c r="W441" t="s">
        <v>1309</v>
      </c>
      <c r="AF441" t="s">
        <v>102</v>
      </c>
      <c r="AH441" t="s">
        <v>1310</v>
      </c>
      <c r="AI441" t="s">
        <v>1294</v>
      </c>
    </row>
    <row r="442" spans="1:36">
      <c r="A442" t="s">
        <v>1311</v>
      </c>
      <c r="B442" t="s">
        <v>1312</v>
      </c>
      <c r="C442">
        <v>3</v>
      </c>
      <c r="D442" t="s">
        <v>190</v>
      </c>
      <c r="E442" t="s">
        <v>79</v>
      </c>
      <c r="F442" t="s">
        <v>79</v>
      </c>
      <c r="J442" t="s">
        <v>191</v>
      </c>
      <c r="O442" t="s">
        <v>243</v>
      </c>
      <c r="P442">
        <v>0</v>
      </c>
      <c r="Q442" t="s">
        <v>86</v>
      </c>
      <c r="R442">
        <v>0</v>
      </c>
      <c r="S442">
        <v>0</v>
      </c>
      <c r="T442">
        <v>1060</v>
      </c>
      <c r="V442" t="s">
        <v>87</v>
      </c>
      <c r="W442" t="s">
        <v>1309</v>
      </c>
      <c r="AF442" t="s">
        <v>102</v>
      </c>
      <c r="AH442" t="s">
        <v>1313</v>
      </c>
      <c r="AI442" t="s">
        <v>1294</v>
      </c>
    </row>
    <row r="443" spans="1:36">
      <c r="A443" t="s">
        <v>1314</v>
      </c>
      <c r="B443" t="s">
        <v>1315</v>
      </c>
      <c r="C443">
        <v>3</v>
      </c>
      <c r="D443" t="s">
        <v>190</v>
      </c>
      <c r="E443" t="s">
        <v>79</v>
      </c>
      <c r="F443" t="s">
        <v>79</v>
      </c>
      <c r="J443" t="s">
        <v>191</v>
      </c>
      <c r="O443" t="s">
        <v>243</v>
      </c>
      <c r="P443">
        <v>0</v>
      </c>
      <c r="Q443" t="s">
        <v>86</v>
      </c>
      <c r="R443">
        <v>0</v>
      </c>
      <c r="S443">
        <v>0</v>
      </c>
      <c r="T443">
        <v>1060</v>
      </c>
      <c r="V443" t="s">
        <v>87</v>
      </c>
      <c r="W443" t="s">
        <v>1309</v>
      </c>
      <c r="AF443" t="s">
        <v>102</v>
      </c>
      <c r="AH443" t="s">
        <v>1316</v>
      </c>
      <c r="AI443" t="s">
        <v>1294</v>
      </c>
    </row>
    <row r="444" spans="1:36">
      <c r="A444" t="s">
        <v>1317</v>
      </c>
      <c r="B444" t="s">
        <v>1318</v>
      </c>
      <c r="C444">
        <v>3</v>
      </c>
      <c r="D444" t="s">
        <v>190</v>
      </c>
      <c r="E444" t="s">
        <v>79</v>
      </c>
      <c r="F444" t="s">
        <v>79</v>
      </c>
      <c r="J444" t="s">
        <v>191</v>
      </c>
      <c r="O444" t="s">
        <v>243</v>
      </c>
      <c r="P444">
        <v>0</v>
      </c>
      <c r="Q444" t="s">
        <v>86</v>
      </c>
      <c r="R444">
        <v>0</v>
      </c>
      <c r="S444">
        <v>0</v>
      </c>
      <c r="T444">
        <v>1060</v>
      </c>
      <c r="V444" t="s">
        <v>87</v>
      </c>
      <c r="W444" t="s">
        <v>1309</v>
      </c>
      <c r="AF444" t="s">
        <v>102</v>
      </c>
      <c r="AH444" t="s">
        <v>1319</v>
      </c>
      <c r="AI444" t="s">
        <v>1294</v>
      </c>
    </row>
    <row r="445" spans="1:36">
      <c r="A445" t="s">
        <v>1320</v>
      </c>
      <c r="B445" t="s">
        <v>1321</v>
      </c>
      <c r="C445">
        <v>3</v>
      </c>
      <c r="D445" t="s">
        <v>190</v>
      </c>
      <c r="E445" t="s">
        <v>79</v>
      </c>
      <c r="F445" t="s">
        <v>79</v>
      </c>
      <c r="J445" t="s">
        <v>191</v>
      </c>
      <c r="O445" t="s">
        <v>243</v>
      </c>
      <c r="P445">
        <v>0</v>
      </c>
      <c r="Q445" t="s">
        <v>86</v>
      </c>
      <c r="R445">
        <v>0</v>
      </c>
      <c r="S445">
        <v>0</v>
      </c>
      <c r="T445">
        <v>1060</v>
      </c>
      <c r="V445">
        <v>5</v>
      </c>
      <c r="W445" t="s">
        <v>1322</v>
      </c>
      <c r="AF445" t="s">
        <v>102</v>
      </c>
      <c r="AH445" t="s">
        <v>1323</v>
      </c>
      <c r="AI445" t="s">
        <v>1324</v>
      </c>
    </row>
    <row r="446" spans="1:36">
      <c r="A446" t="s">
        <v>1325</v>
      </c>
      <c r="B446" t="s">
        <v>1326</v>
      </c>
      <c r="C446">
        <v>3</v>
      </c>
      <c r="D446" t="s">
        <v>190</v>
      </c>
      <c r="E446" t="s">
        <v>79</v>
      </c>
      <c r="F446" t="s">
        <v>79</v>
      </c>
      <c r="J446" t="s">
        <v>191</v>
      </c>
      <c r="O446" t="s">
        <v>243</v>
      </c>
      <c r="P446">
        <v>0</v>
      </c>
      <c r="Q446" t="s">
        <v>86</v>
      </c>
      <c r="R446">
        <v>0</v>
      </c>
      <c r="S446">
        <v>0</v>
      </c>
      <c r="T446">
        <v>1060</v>
      </c>
      <c r="V446" t="s">
        <v>87</v>
      </c>
      <c r="W446" t="s">
        <v>1320</v>
      </c>
      <c r="AF446" t="s">
        <v>102</v>
      </c>
      <c r="AH446" t="s">
        <v>1327</v>
      </c>
      <c r="AI446" t="s">
        <v>1253</v>
      </c>
    </row>
    <row r="447" spans="1:36">
      <c r="A447" t="s">
        <v>1328</v>
      </c>
      <c r="B447" t="s">
        <v>1329</v>
      </c>
      <c r="C447">
        <v>3</v>
      </c>
      <c r="D447" t="s">
        <v>190</v>
      </c>
      <c r="E447" t="s">
        <v>79</v>
      </c>
      <c r="F447" t="s">
        <v>79</v>
      </c>
      <c r="J447" t="s">
        <v>191</v>
      </c>
      <c r="O447" t="s">
        <v>243</v>
      </c>
      <c r="P447">
        <v>0</v>
      </c>
      <c r="Q447" t="s">
        <v>86</v>
      </c>
      <c r="R447">
        <v>0</v>
      </c>
      <c r="S447">
        <v>0</v>
      </c>
      <c r="T447">
        <v>1060</v>
      </c>
      <c r="V447" t="s">
        <v>87</v>
      </c>
      <c r="W447" t="s">
        <v>262</v>
      </c>
      <c r="AF447" t="s">
        <v>102</v>
      </c>
      <c r="AH447" t="s">
        <v>1330</v>
      </c>
      <c r="AI447" t="s">
        <v>266</v>
      </c>
    </row>
    <row r="448" spans="1:36">
      <c r="A448" t="s">
        <v>1331</v>
      </c>
      <c r="B448" t="s">
        <v>1332</v>
      </c>
      <c r="C448">
        <v>3</v>
      </c>
      <c r="D448" t="s">
        <v>190</v>
      </c>
      <c r="E448" t="s">
        <v>79</v>
      </c>
      <c r="F448" t="s">
        <v>79</v>
      </c>
      <c r="J448" t="s">
        <v>191</v>
      </c>
      <c r="O448" t="s">
        <v>243</v>
      </c>
      <c r="P448">
        <v>0</v>
      </c>
      <c r="Q448" t="s">
        <v>86</v>
      </c>
      <c r="R448">
        <v>0</v>
      </c>
      <c r="S448">
        <v>0</v>
      </c>
      <c r="T448">
        <v>1060</v>
      </c>
      <c r="V448" t="s">
        <v>87</v>
      </c>
      <c r="W448" t="s">
        <v>1322</v>
      </c>
      <c r="AF448" t="s">
        <v>102</v>
      </c>
      <c r="AH448" t="s">
        <v>1333</v>
      </c>
      <c r="AI448" t="s">
        <v>1324</v>
      </c>
    </row>
    <row r="449" spans="1:36">
      <c r="A449" t="s">
        <v>1334</v>
      </c>
      <c r="B449" t="s">
        <v>1335</v>
      </c>
      <c r="C449">
        <v>3</v>
      </c>
      <c r="D449" t="s">
        <v>190</v>
      </c>
      <c r="E449" t="s">
        <v>79</v>
      </c>
      <c r="F449" t="s">
        <v>79</v>
      </c>
      <c r="J449" t="s">
        <v>191</v>
      </c>
      <c r="O449" t="s">
        <v>243</v>
      </c>
      <c r="P449">
        <v>0</v>
      </c>
      <c r="Q449" t="s">
        <v>86</v>
      </c>
      <c r="R449">
        <v>0</v>
      </c>
      <c r="S449">
        <v>0</v>
      </c>
      <c r="T449">
        <v>1060</v>
      </c>
      <c r="V449" t="s">
        <v>87</v>
      </c>
      <c r="W449" t="s">
        <v>1336</v>
      </c>
      <c r="AF449" t="s">
        <v>102</v>
      </c>
      <c r="AH449" t="s">
        <v>1337</v>
      </c>
      <c r="AI449" t="s">
        <v>1338</v>
      </c>
    </row>
    <row r="450" spans="1:36">
      <c r="A450" t="s">
        <v>1339</v>
      </c>
      <c r="B450" t="s">
        <v>1340</v>
      </c>
      <c r="C450">
        <v>3</v>
      </c>
      <c r="D450" t="s">
        <v>190</v>
      </c>
      <c r="E450" t="s">
        <v>79</v>
      </c>
      <c r="F450" t="s">
        <v>79</v>
      </c>
      <c r="J450" t="s">
        <v>191</v>
      </c>
      <c r="O450" t="s">
        <v>243</v>
      </c>
      <c r="P450">
        <v>0</v>
      </c>
      <c r="Q450" t="s">
        <v>86</v>
      </c>
      <c r="R450">
        <v>0</v>
      </c>
      <c r="S450">
        <v>0</v>
      </c>
      <c r="T450">
        <v>1060</v>
      </c>
      <c r="V450" t="s">
        <v>87</v>
      </c>
      <c r="W450" t="s">
        <v>1341</v>
      </c>
      <c r="AF450" t="s">
        <v>102</v>
      </c>
      <c r="AH450" t="s">
        <v>1342</v>
      </c>
      <c r="AI450" t="s">
        <v>1324</v>
      </c>
    </row>
    <row r="451" spans="1:36">
      <c r="A451" t="s">
        <v>1343</v>
      </c>
      <c r="B451" t="s">
        <v>1344</v>
      </c>
      <c r="C451">
        <v>3</v>
      </c>
      <c r="D451" t="s">
        <v>190</v>
      </c>
      <c r="E451" t="s">
        <v>79</v>
      </c>
      <c r="F451" t="s">
        <v>79</v>
      </c>
      <c r="J451" t="s">
        <v>191</v>
      </c>
      <c r="O451" t="s">
        <v>243</v>
      </c>
      <c r="P451">
        <v>0</v>
      </c>
      <c r="Q451" t="s">
        <v>86</v>
      </c>
      <c r="R451">
        <v>0</v>
      </c>
      <c r="S451">
        <v>0</v>
      </c>
      <c r="T451">
        <v>1060</v>
      </c>
      <c r="V451" t="s">
        <v>87</v>
      </c>
      <c r="W451" t="s">
        <v>264</v>
      </c>
      <c r="AF451" t="s">
        <v>102</v>
      </c>
      <c r="AH451" t="s">
        <v>1345</v>
      </c>
      <c r="AI451" t="s">
        <v>266</v>
      </c>
    </row>
    <row r="452" spans="1:36">
      <c r="A452" t="s">
        <v>1346</v>
      </c>
      <c r="B452" t="s">
        <v>1347</v>
      </c>
      <c r="C452">
        <v>3</v>
      </c>
      <c r="D452" t="s">
        <v>190</v>
      </c>
      <c r="E452" t="s">
        <v>79</v>
      </c>
      <c r="F452" t="s">
        <v>79</v>
      </c>
      <c r="J452" t="s">
        <v>191</v>
      </c>
      <c r="O452" t="s">
        <v>243</v>
      </c>
      <c r="P452">
        <v>0</v>
      </c>
      <c r="Q452" t="s">
        <v>86</v>
      </c>
      <c r="R452">
        <v>0</v>
      </c>
      <c r="S452">
        <v>0</v>
      </c>
      <c r="T452">
        <v>1060</v>
      </c>
      <c r="V452" t="s">
        <v>87</v>
      </c>
      <c r="W452" t="s">
        <v>1348</v>
      </c>
      <c r="AF452" t="s">
        <v>102</v>
      </c>
      <c r="AH452" t="s">
        <v>1349</v>
      </c>
      <c r="AI452" t="s">
        <v>1350</v>
      </c>
    </row>
    <row r="453" spans="1:36">
      <c r="A453" t="s">
        <v>1351</v>
      </c>
      <c r="B453" t="s">
        <v>1352</v>
      </c>
      <c r="C453">
        <v>3</v>
      </c>
      <c r="D453" t="s">
        <v>190</v>
      </c>
      <c r="E453" t="s">
        <v>79</v>
      </c>
      <c r="F453" t="s">
        <v>79</v>
      </c>
      <c r="J453" t="s">
        <v>191</v>
      </c>
      <c r="O453" t="s">
        <v>243</v>
      </c>
      <c r="P453">
        <v>0</v>
      </c>
      <c r="Q453" t="s">
        <v>86</v>
      </c>
      <c r="R453">
        <v>0</v>
      </c>
      <c r="S453">
        <v>0</v>
      </c>
      <c r="T453">
        <v>1065</v>
      </c>
      <c r="V453" t="s">
        <v>87</v>
      </c>
      <c r="W453" t="s">
        <v>1353</v>
      </c>
      <c r="AF453" t="s">
        <v>102</v>
      </c>
      <c r="AH453" t="s">
        <v>1354</v>
      </c>
      <c r="AI453" t="s">
        <v>1355</v>
      </c>
    </row>
    <row r="454" spans="1:36">
      <c r="A454" t="s">
        <v>1356</v>
      </c>
      <c r="B454" t="s">
        <v>1357</v>
      </c>
      <c r="C454">
        <v>3</v>
      </c>
      <c r="D454" t="s">
        <v>190</v>
      </c>
      <c r="E454" t="s">
        <v>79</v>
      </c>
      <c r="F454" t="s">
        <v>79</v>
      </c>
      <c r="J454" t="s">
        <v>191</v>
      </c>
      <c r="O454" t="s">
        <v>243</v>
      </c>
      <c r="P454">
        <v>0</v>
      </c>
      <c r="Q454" t="s">
        <v>86</v>
      </c>
      <c r="R454">
        <v>0</v>
      </c>
      <c r="S454">
        <v>0</v>
      </c>
      <c r="T454">
        <v>1065</v>
      </c>
      <c r="V454" t="s">
        <v>87</v>
      </c>
      <c r="W454" t="s">
        <v>1251</v>
      </c>
      <c r="AF454" t="s">
        <v>102</v>
      </c>
      <c r="AH454" t="s">
        <v>1358</v>
      </c>
      <c r="AI454" t="s">
        <v>1359</v>
      </c>
    </row>
    <row r="455" spans="1:36">
      <c r="A455" t="s">
        <v>1360</v>
      </c>
      <c r="B455" t="s">
        <v>1361</v>
      </c>
      <c r="C455">
        <v>3</v>
      </c>
      <c r="D455" t="s">
        <v>190</v>
      </c>
      <c r="E455" t="s">
        <v>79</v>
      </c>
      <c r="F455" t="s">
        <v>79</v>
      </c>
      <c r="J455" t="s">
        <v>191</v>
      </c>
      <c r="O455" t="s">
        <v>243</v>
      </c>
      <c r="P455">
        <v>0</v>
      </c>
      <c r="Q455" t="s">
        <v>86</v>
      </c>
      <c r="R455">
        <v>0</v>
      </c>
      <c r="S455">
        <v>0</v>
      </c>
      <c r="T455">
        <v>1060</v>
      </c>
      <c r="V455" t="s">
        <v>87</v>
      </c>
      <c r="W455" t="s">
        <v>1362</v>
      </c>
      <c r="AF455" t="s">
        <v>102</v>
      </c>
      <c r="AH455" t="s">
        <v>1363</v>
      </c>
      <c r="AI455" t="s">
        <v>1253</v>
      </c>
    </row>
    <row r="456" spans="1:36">
      <c r="A456" t="s">
        <v>1364</v>
      </c>
      <c r="B456" t="s">
        <v>1365</v>
      </c>
      <c r="C456">
        <v>3</v>
      </c>
      <c r="D456" t="s">
        <v>190</v>
      </c>
      <c r="E456" t="s">
        <v>79</v>
      </c>
      <c r="F456" t="s">
        <v>79</v>
      </c>
      <c r="J456" t="s">
        <v>191</v>
      </c>
      <c r="O456" t="s">
        <v>243</v>
      </c>
      <c r="P456">
        <v>0</v>
      </c>
      <c r="Q456" t="s">
        <v>86</v>
      </c>
      <c r="R456">
        <v>0</v>
      </c>
      <c r="S456">
        <v>0</v>
      </c>
      <c r="T456">
        <v>1060</v>
      </c>
      <c r="V456" t="s">
        <v>87</v>
      </c>
      <c r="W456" t="s">
        <v>1366</v>
      </c>
      <c r="AF456" t="s">
        <v>102</v>
      </c>
      <c r="AH456" t="s">
        <v>1367</v>
      </c>
      <c r="AI456" t="s">
        <v>1368</v>
      </c>
    </row>
    <row r="457" spans="1:36">
      <c r="A457" t="s">
        <v>186</v>
      </c>
      <c r="B457" t="s">
        <v>1369</v>
      </c>
      <c r="C457">
        <v>3</v>
      </c>
      <c r="D457" t="s">
        <v>78</v>
      </c>
      <c r="E457" t="s">
        <v>125</v>
      </c>
      <c r="F457" t="s">
        <v>79</v>
      </c>
      <c r="G457" t="s">
        <v>80</v>
      </c>
      <c r="H457" t="s">
        <v>81</v>
      </c>
      <c r="I457" t="s">
        <v>82</v>
      </c>
      <c r="J457" t="s">
        <v>95</v>
      </c>
      <c r="K457" t="s">
        <v>184</v>
      </c>
      <c r="L457">
        <v>98</v>
      </c>
      <c r="N457" t="s">
        <v>185</v>
      </c>
      <c r="O457" t="s">
        <v>98</v>
      </c>
      <c r="P457">
        <v>0</v>
      </c>
      <c r="Q457" t="s">
        <v>86</v>
      </c>
      <c r="R457">
        <v>0</v>
      </c>
      <c r="S457">
        <v>0</v>
      </c>
      <c r="T457">
        <v>9500</v>
      </c>
      <c r="U457">
        <v>966014403</v>
      </c>
      <c r="V457">
        <v>5</v>
      </c>
      <c r="W457" t="s">
        <v>1370</v>
      </c>
      <c r="AB457" t="s">
        <v>100</v>
      </c>
      <c r="AC457" t="s">
        <v>90</v>
      </c>
      <c r="AD457">
        <v>4</v>
      </c>
      <c r="AE457" t="s">
        <v>165</v>
      </c>
      <c r="AF457" t="s">
        <v>102</v>
      </c>
      <c r="AH457">
        <v>2336000500</v>
      </c>
      <c r="AI457">
        <v>2336</v>
      </c>
      <c r="AJ457" t="s">
        <v>187</v>
      </c>
    </row>
    <row r="458" spans="1:36">
      <c r="A458" t="s">
        <v>1370</v>
      </c>
      <c r="B458" t="s">
        <v>1371</v>
      </c>
      <c r="C458">
        <v>3</v>
      </c>
      <c r="D458" t="s">
        <v>78</v>
      </c>
      <c r="E458" t="s">
        <v>125</v>
      </c>
      <c r="F458" t="s">
        <v>79</v>
      </c>
      <c r="G458" t="s">
        <v>80</v>
      </c>
      <c r="H458" t="s">
        <v>81</v>
      </c>
      <c r="I458" t="s">
        <v>82</v>
      </c>
      <c r="J458" t="s">
        <v>95</v>
      </c>
      <c r="K458" t="s">
        <v>384</v>
      </c>
      <c r="L458">
        <v>98</v>
      </c>
      <c r="M458" t="s">
        <v>385</v>
      </c>
      <c r="O458" t="s">
        <v>98</v>
      </c>
      <c r="P458">
        <v>0</v>
      </c>
      <c r="Q458" t="s">
        <v>86</v>
      </c>
      <c r="R458">
        <v>0</v>
      </c>
      <c r="S458">
        <v>0</v>
      </c>
      <c r="T458">
        <v>9500</v>
      </c>
      <c r="U458">
        <v>966014305</v>
      </c>
      <c r="V458">
        <v>4</v>
      </c>
      <c r="W458" t="s">
        <v>317</v>
      </c>
      <c r="AB458" t="s">
        <v>100</v>
      </c>
      <c r="AC458" t="s">
        <v>90</v>
      </c>
      <c r="AD458">
        <v>4</v>
      </c>
      <c r="AE458" t="s">
        <v>165</v>
      </c>
      <c r="AF458" t="s">
        <v>102</v>
      </c>
      <c r="AH458">
        <v>3195080000</v>
      </c>
      <c r="AI458">
        <v>3195</v>
      </c>
      <c r="AJ458" t="s">
        <v>985</v>
      </c>
    </row>
    <row r="459" spans="1:36">
      <c r="A459" t="s">
        <v>1372</v>
      </c>
      <c r="B459" t="s">
        <v>1373</v>
      </c>
      <c r="C459">
        <v>3</v>
      </c>
      <c r="D459" t="s">
        <v>78</v>
      </c>
      <c r="E459" t="s">
        <v>125</v>
      </c>
      <c r="F459" t="s">
        <v>79</v>
      </c>
      <c r="G459" t="s">
        <v>80</v>
      </c>
      <c r="H459" t="s">
        <v>81</v>
      </c>
      <c r="I459" t="s">
        <v>82</v>
      </c>
      <c r="J459" t="s">
        <v>95</v>
      </c>
      <c r="K459" t="s">
        <v>184</v>
      </c>
      <c r="L459">
        <v>98</v>
      </c>
      <c r="N459" t="s">
        <v>185</v>
      </c>
      <c r="O459" t="s">
        <v>98</v>
      </c>
      <c r="P459">
        <v>0</v>
      </c>
      <c r="Q459" t="s">
        <v>86</v>
      </c>
      <c r="R459">
        <v>0</v>
      </c>
      <c r="S459">
        <v>0</v>
      </c>
      <c r="T459">
        <v>9500</v>
      </c>
      <c r="U459">
        <v>966016616</v>
      </c>
      <c r="V459">
        <v>5</v>
      </c>
      <c r="W459" t="s">
        <v>1225</v>
      </c>
      <c r="AB459" t="s">
        <v>205</v>
      </c>
      <c r="AC459" t="s">
        <v>90</v>
      </c>
      <c r="AD459">
        <v>4</v>
      </c>
      <c r="AE459" t="s">
        <v>165</v>
      </c>
      <c r="AF459" t="s">
        <v>102</v>
      </c>
      <c r="AH459">
        <v>6711010200</v>
      </c>
      <c r="AI459">
        <v>6711</v>
      </c>
      <c r="AJ459" t="s">
        <v>1226</v>
      </c>
    </row>
    <row r="460" spans="1:36">
      <c r="A460" t="s">
        <v>1374</v>
      </c>
      <c r="B460" t="s">
        <v>1375</v>
      </c>
      <c r="C460">
        <v>3</v>
      </c>
      <c r="D460" t="s">
        <v>78</v>
      </c>
      <c r="E460" t="s">
        <v>125</v>
      </c>
      <c r="F460" t="s">
        <v>79</v>
      </c>
      <c r="G460" t="s">
        <v>80</v>
      </c>
      <c r="H460" t="s">
        <v>81</v>
      </c>
      <c r="I460" t="s">
        <v>82</v>
      </c>
      <c r="J460" t="s">
        <v>95</v>
      </c>
      <c r="K460" t="s">
        <v>184</v>
      </c>
      <c r="L460">
        <v>98</v>
      </c>
      <c r="N460" t="s">
        <v>185</v>
      </c>
      <c r="O460" t="s">
        <v>98</v>
      </c>
      <c r="P460">
        <v>0</v>
      </c>
      <c r="Q460" t="s">
        <v>86</v>
      </c>
      <c r="R460">
        <v>0</v>
      </c>
      <c r="S460">
        <v>0</v>
      </c>
      <c r="T460">
        <v>9500</v>
      </c>
      <c r="U460">
        <v>966010000</v>
      </c>
      <c r="V460">
        <v>6</v>
      </c>
      <c r="W460" t="s">
        <v>186</v>
      </c>
      <c r="AB460" t="s">
        <v>205</v>
      </c>
      <c r="AC460" t="s">
        <v>90</v>
      </c>
      <c r="AD460">
        <v>4</v>
      </c>
      <c r="AE460" t="s">
        <v>165</v>
      </c>
      <c r="AF460" t="s">
        <v>102</v>
      </c>
      <c r="AH460">
        <v>6711019500</v>
      </c>
      <c r="AI460">
        <v>6711</v>
      </c>
      <c r="AJ460" t="s">
        <v>1226</v>
      </c>
    </row>
    <row r="461" spans="1:36">
      <c r="A461" t="s">
        <v>1376</v>
      </c>
      <c r="B461" t="s">
        <v>1377</v>
      </c>
      <c r="C461">
        <v>4</v>
      </c>
      <c r="D461" t="s">
        <v>78</v>
      </c>
      <c r="E461" t="s">
        <v>125</v>
      </c>
      <c r="F461" t="s">
        <v>125</v>
      </c>
      <c r="G461" t="s">
        <v>80</v>
      </c>
      <c r="H461" t="s">
        <v>81</v>
      </c>
      <c r="I461" t="s">
        <v>82</v>
      </c>
      <c r="P461">
        <v>0</v>
      </c>
      <c r="Q461" t="s">
        <v>86</v>
      </c>
      <c r="R461">
        <v>0</v>
      </c>
      <c r="S461">
        <v>0</v>
      </c>
      <c r="T461">
        <v>9500</v>
      </c>
      <c r="U461">
        <v>966781187</v>
      </c>
      <c r="V461">
        <v>5</v>
      </c>
      <c r="W461" t="s">
        <v>164</v>
      </c>
      <c r="AB461" t="s">
        <v>100</v>
      </c>
      <c r="AC461" t="s">
        <v>90</v>
      </c>
      <c r="AD461">
        <v>4</v>
      </c>
      <c r="AH461">
        <v>381006700</v>
      </c>
      <c r="AI461">
        <v>381</v>
      </c>
      <c r="AJ461" t="s">
        <v>1271</v>
      </c>
    </row>
    <row r="462" spans="1:36">
      <c r="A462" t="s">
        <v>1378</v>
      </c>
      <c r="B462" t="s">
        <v>1379</v>
      </c>
      <c r="C462">
        <v>3</v>
      </c>
      <c r="D462" t="s">
        <v>133</v>
      </c>
      <c r="E462" t="s">
        <v>79</v>
      </c>
      <c r="F462" t="s">
        <v>125</v>
      </c>
      <c r="G462" t="s">
        <v>80</v>
      </c>
      <c r="H462" t="s">
        <v>81</v>
      </c>
      <c r="I462" t="s">
        <v>82</v>
      </c>
      <c r="P462">
        <v>0</v>
      </c>
      <c r="Q462" t="s">
        <v>86</v>
      </c>
      <c r="R462">
        <v>0</v>
      </c>
      <c r="S462">
        <v>0</v>
      </c>
      <c r="T462">
        <v>1180</v>
      </c>
      <c r="V462" t="s">
        <v>87</v>
      </c>
      <c r="W462" t="s">
        <v>413</v>
      </c>
      <c r="AB462" t="s">
        <v>1014</v>
      </c>
      <c r="AC462" t="s">
        <v>90</v>
      </c>
      <c r="AD462">
        <v>6</v>
      </c>
      <c r="AH462">
        <v>4170032018</v>
      </c>
      <c r="AI462">
        <v>4170</v>
      </c>
      <c r="AJ462" t="s">
        <v>1015</v>
      </c>
    </row>
    <row r="463" spans="1:36">
      <c r="A463" t="s">
        <v>1380</v>
      </c>
      <c r="B463" t="s">
        <v>1381</v>
      </c>
      <c r="C463">
        <v>4</v>
      </c>
      <c r="D463" t="s">
        <v>174</v>
      </c>
      <c r="E463" t="s">
        <v>79</v>
      </c>
      <c r="F463" t="s">
        <v>79</v>
      </c>
      <c r="G463" t="s">
        <v>80</v>
      </c>
      <c r="H463" t="s">
        <v>81</v>
      </c>
      <c r="I463" t="s">
        <v>82</v>
      </c>
      <c r="J463" t="s">
        <v>114</v>
      </c>
      <c r="K463" t="s">
        <v>115</v>
      </c>
      <c r="L463">
        <v>4</v>
      </c>
      <c r="O463" t="s">
        <v>98</v>
      </c>
      <c r="P463">
        <v>0</v>
      </c>
      <c r="Q463" t="s">
        <v>86</v>
      </c>
      <c r="R463">
        <v>0</v>
      </c>
      <c r="S463">
        <v>0</v>
      </c>
      <c r="T463">
        <v>600</v>
      </c>
      <c r="U463">
        <v>963061209</v>
      </c>
      <c r="V463" t="s">
        <v>87</v>
      </c>
      <c r="W463" t="s">
        <v>174</v>
      </c>
      <c r="AB463" t="s">
        <v>116</v>
      </c>
      <c r="AC463" t="s">
        <v>90</v>
      </c>
      <c r="AD463">
        <v>6</v>
      </c>
      <c r="AE463" t="s">
        <v>91</v>
      </c>
      <c r="AF463" t="s">
        <v>102</v>
      </c>
      <c r="AH463">
        <v>1452000301</v>
      </c>
      <c r="AI463">
        <v>1452</v>
      </c>
      <c r="AJ463" t="s">
        <v>1382</v>
      </c>
    </row>
    <row r="464" spans="1:36">
      <c r="A464" t="s">
        <v>1383</v>
      </c>
      <c r="B464" t="s">
        <v>1384</v>
      </c>
      <c r="C464">
        <v>3</v>
      </c>
      <c r="D464" t="s">
        <v>190</v>
      </c>
      <c r="E464" t="s">
        <v>79</v>
      </c>
      <c r="F464" t="s">
        <v>79</v>
      </c>
      <c r="G464" t="s">
        <v>80</v>
      </c>
      <c r="H464" t="s">
        <v>81</v>
      </c>
      <c r="I464" t="s">
        <v>82</v>
      </c>
      <c r="J464" t="s">
        <v>191</v>
      </c>
      <c r="K464" t="s">
        <v>1092</v>
      </c>
      <c r="L464">
        <v>1</v>
      </c>
      <c r="P464">
        <v>0</v>
      </c>
      <c r="Q464" t="s">
        <v>86</v>
      </c>
      <c r="R464">
        <v>0</v>
      </c>
      <c r="S464">
        <v>0</v>
      </c>
      <c r="T464">
        <v>2100</v>
      </c>
      <c r="V464" t="s">
        <v>87</v>
      </c>
      <c r="W464" t="s">
        <v>702</v>
      </c>
      <c r="AB464">
        <v>2700</v>
      </c>
      <c r="AC464" t="s">
        <v>90</v>
      </c>
      <c r="AD464">
        <v>6</v>
      </c>
      <c r="AE464" t="s">
        <v>91</v>
      </c>
      <c r="AF464" t="s">
        <v>102</v>
      </c>
      <c r="AH464">
        <v>8145010325</v>
      </c>
      <c r="AI464">
        <v>8145</v>
      </c>
      <c r="AJ464" t="s">
        <v>703</v>
      </c>
    </row>
    <row r="465" spans="1:36">
      <c r="A465" t="s">
        <v>1385</v>
      </c>
      <c r="B465" t="s">
        <v>1386</v>
      </c>
      <c r="C465">
        <v>3</v>
      </c>
      <c r="D465" t="s">
        <v>78</v>
      </c>
      <c r="E465" t="s">
        <v>79</v>
      </c>
      <c r="F465" t="s">
        <v>79</v>
      </c>
      <c r="G465" t="s">
        <v>80</v>
      </c>
      <c r="H465" t="s">
        <v>81</v>
      </c>
      <c r="I465" t="s">
        <v>82</v>
      </c>
      <c r="J465" t="s">
        <v>114</v>
      </c>
      <c r="K465" t="s">
        <v>115</v>
      </c>
      <c r="L465">
        <v>4</v>
      </c>
      <c r="O465" t="s">
        <v>98</v>
      </c>
      <c r="P465">
        <v>0</v>
      </c>
      <c r="Q465" t="s">
        <v>86</v>
      </c>
      <c r="R465">
        <v>0</v>
      </c>
      <c r="S465">
        <v>0</v>
      </c>
      <c r="T465">
        <v>9500</v>
      </c>
      <c r="U465">
        <v>963491100</v>
      </c>
      <c r="V465" t="s">
        <v>87</v>
      </c>
      <c r="W465" t="s">
        <v>78</v>
      </c>
      <c r="AB465" t="s">
        <v>116</v>
      </c>
      <c r="AC465" t="s">
        <v>90</v>
      </c>
      <c r="AD465">
        <v>6</v>
      </c>
      <c r="AE465" t="s">
        <v>91</v>
      </c>
      <c r="AF465" t="s">
        <v>102</v>
      </c>
      <c r="AH465">
        <v>1087001006</v>
      </c>
      <c r="AI465">
        <v>1087</v>
      </c>
      <c r="AJ465" t="s">
        <v>117</v>
      </c>
    </row>
    <row r="466" spans="1:36">
      <c r="A466" t="s">
        <v>1387</v>
      </c>
      <c r="B466" t="s">
        <v>1388</v>
      </c>
      <c r="C466">
        <v>3</v>
      </c>
      <c r="D466" t="s">
        <v>133</v>
      </c>
      <c r="E466" t="s">
        <v>79</v>
      </c>
      <c r="F466" t="s">
        <v>79</v>
      </c>
      <c r="P466">
        <v>0</v>
      </c>
      <c r="Q466" t="s">
        <v>86</v>
      </c>
      <c r="R466">
        <v>0</v>
      </c>
      <c r="S466">
        <v>0</v>
      </c>
      <c r="T466">
        <v>8750</v>
      </c>
      <c r="U466">
        <v>966065606</v>
      </c>
      <c r="V466" t="s">
        <v>327</v>
      </c>
      <c r="AI466" t="s">
        <v>1389</v>
      </c>
    </row>
    <row r="467" spans="1:36">
      <c r="A467" t="s">
        <v>1390</v>
      </c>
      <c r="B467" t="s">
        <v>1391</v>
      </c>
      <c r="C467">
        <v>3</v>
      </c>
      <c r="D467" t="s">
        <v>78</v>
      </c>
      <c r="E467" t="s">
        <v>79</v>
      </c>
      <c r="F467" t="s">
        <v>79</v>
      </c>
      <c r="G467" t="s">
        <v>80</v>
      </c>
      <c r="H467" t="s">
        <v>81</v>
      </c>
      <c r="I467" t="s">
        <v>82</v>
      </c>
      <c r="J467" t="s">
        <v>95</v>
      </c>
      <c r="K467" t="s">
        <v>163</v>
      </c>
      <c r="L467">
        <v>96</v>
      </c>
      <c r="N467" t="s">
        <v>155</v>
      </c>
      <c r="O467" t="s">
        <v>98</v>
      </c>
      <c r="P467">
        <v>0</v>
      </c>
      <c r="Q467" t="s">
        <v>86</v>
      </c>
      <c r="R467">
        <v>0</v>
      </c>
      <c r="S467">
        <v>0</v>
      </c>
      <c r="T467">
        <v>9500</v>
      </c>
      <c r="U467">
        <v>963490052</v>
      </c>
      <c r="V467">
        <v>5</v>
      </c>
      <c r="W467" t="s">
        <v>1392</v>
      </c>
      <c r="AB467" t="s">
        <v>431</v>
      </c>
      <c r="AC467" t="s">
        <v>90</v>
      </c>
      <c r="AD467">
        <v>6</v>
      </c>
      <c r="AE467" t="s">
        <v>101</v>
      </c>
      <c r="AF467" t="s">
        <v>102</v>
      </c>
      <c r="AH467">
        <v>3170002000</v>
      </c>
      <c r="AI467">
        <v>3170</v>
      </c>
      <c r="AJ467" t="s">
        <v>1393</v>
      </c>
    </row>
    <row r="468" spans="1:36">
      <c r="A468" t="s">
        <v>1182</v>
      </c>
      <c r="B468" t="s">
        <v>1394</v>
      </c>
      <c r="C468">
        <v>3</v>
      </c>
      <c r="D468" t="s">
        <v>133</v>
      </c>
      <c r="E468" t="s">
        <v>125</v>
      </c>
      <c r="F468" t="s">
        <v>79</v>
      </c>
      <c r="G468" t="s">
        <v>80</v>
      </c>
      <c r="H468" t="s">
        <v>81</v>
      </c>
      <c r="I468" t="s">
        <v>82</v>
      </c>
      <c r="J468" t="s">
        <v>95</v>
      </c>
      <c r="K468" t="s">
        <v>384</v>
      </c>
      <c r="L468">
        <v>95</v>
      </c>
      <c r="M468" t="s">
        <v>385</v>
      </c>
      <c r="O468" t="s">
        <v>98</v>
      </c>
      <c r="P468">
        <v>0</v>
      </c>
      <c r="Q468" t="s">
        <v>86</v>
      </c>
      <c r="R468">
        <v>0</v>
      </c>
      <c r="S468">
        <v>0</v>
      </c>
      <c r="T468">
        <v>8750</v>
      </c>
      <c r="U468">
        <v>963220014</v>
      </c>
      <c r="V468">
        <v>4</v>
      </c>
      <c r="W468" t="s">
        <v>317</v>
      </c>
      <c r="AB468" t="s">
        <v>100</v>
      </c>
      <c r="AC468" t="s">
        <v>90</v>
      </c>
      <c r="AD468">
        <v>4</v>
      </c>
      <c r="AE468" t="s">
        <v>165</v>
      </c>
      <c r="AF468" t="s">
        <v>102</v>
      </c>
      <c r="AH468">
        <v>4768000100</v>
      </c>
      <c r="AI468">
        <v>4768</v>
      </c>
      <c r="AJ468" t="s">
        <v>1183</v>
      </c>
    </row>
    <row r="469" spans="1:36">
      <c r="A469" t="s">
        <v>209</v>
      </c>
      <c r="B469" t="s">
        <v>1395</v>
      </c>
      <c r="C469">
        <v>3</v>
      </c>
      <c r="D469" t="s">
        <v>130</v>
      </c>
      <c r="E469" t="s">
        <v>125</v>
      </c>
      <c r="F469" t="s">
        <v>79</v>
      </c>
      <c r="G469" t="s">
        <v>80</v>
      </c>
      <c r="H469" t="s">
        <v>81</v>
      </c>
      <c r="I469" t="s">
        <v>82</v>
      </c>
      <c r="J469" t="s">
        <v>95</v>
      </c>
      <c r="K469" t="s">
        <v>163</v>
      </c>
      <c r="L469">
        <v>95</v>
      </c>
      <c r="N469" t="s">
        <v>155</v>
      </c>
      <c r="O469" t="s">
        <v>98</v>
      </c>
      <c r="P469">
        <v>0</v>
      </c>
      <c r="Q469" t="s">
        <v>86</v>
      </c>
      <c r="R469">
        <v>0</v>
      </c>
      <c r="S469">
        <v>0</v>
      </c>
      <c r="T469">
        <v>7100</v>
      </c>
      <c r="V469">
        <v>4</v>
      </c>
      <c r="W469" t="s">
        <v>1303</v>
      </c>
      <c r="AB469" t="s">
        <v>100</v>
      </c>
      <c r="AC469" t="s">
        <v>90</v>
      </c>
      <c r="AD469">
        <v>4</v>
      </c>
      <c r="AE469" t="s">
        <v>165</v>
      </c>
      <c r="AF469" t="s">
        <v>102</v>
      </c>
      <c r="AH469">
        <v>2381001100</v>
      </c>
      <c r="AI469">
        <v>2381</v>
      </c>
      <c r="AJ469" t="s">
        <v>1396</v>
      </c>
    </row>
    <row r="470" spans="1:36">
      <c r="A470" t="s">
        <v>1397</v>
      </c>
      <c r="B470" t="s">
        <v>353</v>
      </c>
      <c r="C470" t="s">
        <v>139</v>
      </c>
      <c r="D470" t="s">
        <v>1397</v>
      </c>
      <c r="E470" t="s">
        <v>125</v>
      </c>
      <c r="F470" t="s">
        <v>125</v>
      </c>
      <c r="G470" t="s">
        <v>80</v>
      </c>
      <c r="H470" t="s">
        <v>81</v>
      </c>
      <c r="P470">
        <v>0</v>
      </c>
      <c r="Q470" t="s">
        <v>86</v>
      </c>
      <c r="R470">
        <v>0</v>
      </c>
      <c r="S470">
        <v>0</v>
      </c>
      <c r="T470">
        <v>9500</v>
      </c>
      <c r="V470" t="s">
        <v>327</v>
      </c>
      <c r="AH470">
        <v>6086007</v>
      </c>
      <c r="AI470">
        <v>6086</v>
      </c>
      <c r="AJ470" t="s">
        <v>355</v>
      </c>
    </row>
    <row r="471" spans="1:36">
      <c r="A471" t="s">
        <v>317</v>
      </c>
      <c r="B471" t="s">
        <v>1398</v>
      </c>
      <c r="C471">
        <v>3</v>
      </c>
      <c r="D471" t="s">
        <v>78</v>
      </c>
      <c r="E471" t="s">
        <v>125</v>
      </c>
      <c r="F471" t="s">
        <v>79</v>
      </c>
      <c r="G471" t="s">
        <v>80</v>
      </c>
      <c r="H471" t="s">
        <v>81</v>
      </c>
      <c r="I471" t="s">
        <v>82</v>
      </c>
      <c r="J471" t="s">
        <v>95</v>
      </c>
      <c r="K471" t="s">
        <v>384</v>
      </c>
      <c r="L471" s="1">
        <v>45328</v>
      </c>
      <c r="M471" t="s">
        <v>385</v>
      </c>
      <c r="O471" t="s">
        <v>98</v>
      </c>
      <c r="P471">
        <v>0</v>
      </c>
      <c r="Q471" t="s">
        <v>86</v>
      </c>
      <c r="R471">
        <v>0</v>
      </c>
      <c r="S471">
        <v>0</v>
      </c>
      <c r="T471">
        <v>9500</v>
      </c>
      <c r="U471">
        <v>963491100</v>
      </c>
      <c r="V471">
        <v>3</v>
      </c>
      <c r="W471" t="s">
        <v>519</v>
      </c>
      <c r="AB471" t="s">
        <v>100</v>
      </c>
      <c r="AC471" t="s">
        <v>90</v>
      </c>
      <c r="AD471">
        <v>4</v>
      </c>
      <c r="AE471" t="s">
        <v>165</v>
      </c>
      <c r="AF471" t="s">
        <v>102</v>
      </c>
      <c r="AH471">
        <v>3401000700</v>
      </c>
      <c r="AI471">
        <v>3401</v>
      </c>
      <c r="AJ471" t="s">
        <v>318</v>
      </c>
    </row>
    <row r="472" spans="1:36">
      <c r="A472" t="s">
        <v>1399</v>
      </c>
      <c r="B472" t="s">
        <v>1400</v>
      </c>
      <c r="C472">
        <v>3</v>
      </c>
      <c r="D472" t="s">
        <v>183</v>
      </c>
      <c r="E472" t="s">
        <v>125</v>
      </c>
      <c r="F472" t="s">
        <v>79</v>
      </c>
      <c r="G472" t="s">
        <v>80</v>
      </c>
      <c r="H472" t="s">
        <v>81</v>
      </c>
      <c r="I472" t="s">
        <v>82</v>
      </c>
      <c r="J472" t="s">
        <v>95</v>
      </c>
      <c r="K472" t="s">
        <v>184</v>
      </c>
      <c r="L472">
        <v>98</v>
      </c>
      <c r="N472" t="s">
        <v>185</v>
      </c>
      <c r="O472" t="s">
        <v>98</v>
      </c>
      <c r="P472">
        <v>0</v>
      </c>
      <c r="Q472" t="s">
        <v>86</v>
      </c>
      <c r="R472">
        <v>0</v>
      </c>
      <c r="S472">
        <v>0</v>
      </c>
      <c r="T472">
        <v>9500</v>
      </c>
      <c r="V472">
        <v>5</v>
      </c>
      <c r="W472" t="s">
        <v>1225</v>
      </c>
      <c r="AB472" t="s">
        <v>205</v>
      </c>
      <c r="AC472" t="s">
        <v>90</v>
      </c>
      <c r="AD472">
        <v>4</v>
      </c>
      <c r="AE472" t="s">
        <v>165</v>
      </c>
      <c r="AF472" t="s">
        <v>102</v>
      </c>
      <c r="AH472">
        <v>6711002700</v>
      </c>
      <c r="AI472">
        <v>6711</v>
      </c>
      <c r="AJ472" t="s">
        <v>1226</v>
      </c>
    </row>
    <row r="473" spans="1:36">
      <c r="A473" t="s">
        <v>1401</v>
      </c>
      <c r="B473" t="s">
        <v>1402</v>
      </c>
      <c r="C473">
        <v>3</v>
      </c>
      <c r="D473" t="s">
        <v>183</v>
      </c>
      <c r="E473" t="s">
        <v>125</v>
      </c>
      <c r="F473" t="s">
        <v>79</v>
      </c>
      <c r="G473" t="s">
        <v>80</v>
      </c>
      <c r="H473" t="s">
        <v>81</v>
      </c>
      <c r="I473" t="s">
        <v>82</v>
      </c>
      <c r="J473" t="s">
        <v>95</v>
      </c>
      <c r="K473" t="s">
        <v>184</v>
      </c>
      <c r="L473">
        <v>98</v>
      </c>
      <c r="N473" t="s">
        <v>185</v>
      </c>
      <c r="O473" t="s">
        <v>98</v>
      </c>
      <c r="P473">
        <v>0</v>
      </c>
      <c r="Q473" t="s">
        <v>86</v>
      </c>
      <c r="R473">
        <v>0</v>
      </c>
      <c r="S473">
        <v>0</v>
      </c>
      <c r="T473">
        <v>3800</v>
      </c>
      <c r="U473">
        <v>982785500</v>
      </c>
      <c r="V473">
        <v>5</v>
      </c>
      <c r="W473" t="s">
        <v>1403</v>
      </c>
      <c r="AB473" t="s">
        <v>205</v>
      </c>
      <c r="AC473" t="s">
        <v>90</v>
      </c>
      <c r="AD473">
        <v>4</v>
      </c>
      <c r="AE473" t="s">
        <v>165</v>
      </c>
      <c r="AF473" t="s">
        <v>102</v>
      </c>
      <c r="AH473">
        <v>6766014100</v>
      </c>
      <c r="AI473">
        <v>6766</v>
      </c>
      <c r="AJ473" t="s">
        <v>1404</v>
      </c>
    </row>
    <row r="474" spans="1:36">
      <c r="A474" t="s">
        <v>1405</v>
      </c>
      <c r="B474" t="s">
        <v>1406</v>
      </c>
      <c r="C474">
        <v>3</v>
      </c>
      <c r="D474" t="s">
        <v>174</v>
      </c>
      <c r="E474" t="s">
        <v>125</v>
      </c>
      <c r="F474" t="s">
        <v>79</v>
      </c>
      <c r="G474" t="s">
        <v>80</v>
      </c>
      <c r="H474" t="s">
        <v>81</v>
      </c>
      <c r="I474" t="s">
        <v>82</v>
      </c>
      <c r="J474" t="s">
        <v>95</v>
      </c>
      <c r="K474" t="s">
        <v>184</v>
      </c>
      <c r="L474">
        <v>98</v>
      </c>
      <c r="N474" t="s">
        <v>185</v>
      </c>
      <c r="O474" t="s">
        <v>98</v>
      </c>
      <c r="P474">
        <v>0</v>
      </c>
      <c r="Q474" t="s">
        <v>86</v>
      </c>
      <c r="R474">
        <v>0</v>
      </c>
      <c r="S474">
        <v>0</v>
      </c>
      <c r="T474">
        <v>600</v>
      </c>
      <c r="U474">
        <v>966015501</v>
      </c>
      <c r="V474">
        <v>5</v>
      </c>
      <c r="W474" t="s">
        <v>1407</v>
      </c>
      <c r="AB474" t="s">
        <v>205</v>
      </c>
      <c r="AC474" t="s">
        <v>90</v>
      </c>
      <c r="AD474">
        <v>4</v>
      </c>
      <c r="AE474" t="s">
        <v>165</v>
      </c>
      <c r="AF474" t="s">
        <v>102</v>
      </c>
      <c r="AH474">
        <v>2338001100</v>
      </c>
      <c r="AI474">
        <v>2338</v>
      </c>
      <c r="AJ474" t="s">
        <v>1408</v>
      </c>
    </row>
    <row r="475" spans="1:36">
      <c r="A475" t="s">
        <v>1409</v>
      </c>
      <c r="B475" t="s">
        <v>1410</v>
      </c>
      <c r="C475" t="s">
        <v>139</v>
      </c>
      <c r="D475" t="s">
        <v>140</v>
      </c>
      <c r="E475" t="s">
        <v>79</v>
      </c>
      <c r="F475" t="s">
        <v>125</v>
      </c>
      <c r="G475" t="s">
        <v>80</v>
      </c>
      <c r="H475" t="s">
        <v>81</v>
      </c>
      <c r="I475" t="s">
        <v>82</v>
      </c>
      <c r="P475">
        <v>0</v>
      </c>
      <c r="Q475" t="s">
        <v>86</v>
      </c>
      <c r="R475">
        <v>0</v>
      </c>
      <c r="S475">
        <v>0</v>
      </c>
      <c r="T475">
        <v>9400</v>
      </c>
      <c r="V475">
        <v>4</v>
      </c>
      <c r="W475" t="s">
        <v>1411</v>
      </c>
      <c r="AB475">
        <v>4040</v>
      </c>
      <c r="AC475" t="s">
        <v>305</v>
      </c>
      <c r="AH475">
        <v>4222050000</v>
      </c>
      <c r="AI475">
        <v>4222</v>
      </c>
      <c r="AJ475" t="s">
        <v>660</v>
      </c>
    </row>
    <row r="476" spans="1:36">
      <c r="A476" t="s">
        <v>1412</v>
      </c>
      <c r="B476" t="s">
        <v>1413</v>
      </c>
      <c r="C476">
        <v>3</v>
      </c>
      <c r="D476" t="s">
        <v>78</v>
      </c>
      <c r="E476" t="s">
        <v>79</v>
      </c>
      <c r="F476" t="s">
        <v>79</v>
      </c>
      <c r="G476" t="s">
        <v>80</v>
      </c>
      <c r="H476" t="s">
        <v>81</v>
      </c>
      <c r="I476" t="s">
        <v>82</v>
      </c>
      <c r="J476" t="s">
        <v>175</v>
      </c>
      <c r="K476" t="s">
        <v>514</v>
      </c>
      <c r="L476" t="s">
        <v>84</v>
      </c>
      <c r="O476" t="s">
        <v>177</v>
      </c>
      <c r="P476">
        <v>0</v>
      </c>
      <c r="Q476" t="s">
        <v>86</v>
      </c>
      <c r="R476">
        <v>0</v>
      </c>
      <c r="S476">
        <v>0</v>
      </c>
      <c r="T476">
        <v>9510</v>
      </c>
      <c r="U476">
        <v>983280000</v>
      </c>
      <c r="V476" t="s">
        <v>87</v>
      </c>
      <c r="W476" t="s">
        <v>682</v>
      </c>
      <c r="AB476" t="s">
        <v>516</v>
      </c>
      <c r="AC476" t="s">
        <v>90</v>
      </c>
      <c r="AD476">
        <v>6</v>
      </c>
      <c r="AE476" t="s">
        <v>91</v>
      </c>
      <c r="AF476" t="s">
        <v>102</v>
      </c>
      <c r="AH476">
        <v>9110600003</v>
      </c>
      <c r="AI476">
        <v>9110</v>
      </c>
      <c r="AJ476" t="s">
        <v>514</v>
      </c>
    </row>
    <row r="477" spans="1:36">
      <c r="A477" t="s">
        <v>1236</v>
      </c>
      <c r="B477" t="s">
        <v>1414</v>
      </c>
      <c r="C477">
        <v>4</v>
      </c>
      <c r="D477" t="s">
        <v>174</v>
      </c>
      <c r="E477" t="s">
        <v>79</v>
      </c>
      <c r="F477" t="s">
        <v>125</v>
      </c>
      <c r="G477" t="s">
        <v>80</v>
      </c>
      <c r="H477" t="s">
        <v>81</v>
      </c>
      <c r="I477" t="s">
        <v>82</v>
      </c>
      <c r="P477">
        <v>0</v>
      </c>
      <c r="Q477" t="s">
        <v>86</v>
      </c>
      <c r="R477">
        <v>0</v>
      </c>
      <c r="S477">
        <v>0</v>
      </c>
      <c r="T477">
        <v>600</v>
      </c>
      <c r="U477">
        <v>966015561</v>
      </c>
      <c r="V477">
        <v>3</v>
      </c>
      <c r="W477" t="s">
        <v>519</v>
      </c>
      <c r="AB477" t="s">
        <v>205</v>
      </c>
      <c r="AC477" t="s">
        <v>90</v>
      </c>
      <c r="AH477">
        <v>6635005100</v>
      </c>
      <c r="AI477">
        <v>6635</v>
      </c>
      <c r="AJ477" t="s">
        <v>1237</v>
      </c>
    </row>
    <row r="478" spans="1:36">
      <c r="A478" t="s">
        <v>1274</v>
      </c>
      <c r="B478" t="s">
        <v>1415</v>
      </c>
      <c r="C478">
        <v>3</v>
      </c>
      <c r="D478" t="s">
        <v>130</v>
      </c>
      <c r="E478" t="s">
        <v>125</v>
      </c>
      <c r="F478" t="s">
        <v>79</v>
      </c>
      <c r="G478" t="s">
        <v>80</v>
      </c>
      <c r="H478" t="s">
        <v>81</v>
      </c>
      <c r="I478" t="s">
        <v>82</v>
      </c>
      <c r="J478" t="s">
        <v>95</v>
      </c>
      <c r="K478" t="s">
        <v>163</v>
      </c>
      <c r="L478">
        <v>95</v>
      </c>
      <c r="N478" t="s">
        <v>155</v>
      </c>
      <c r="O478" t="s">
        <v>98</v>
      </c>
      <c r="P478">
        <v>0</v>
      </c>
      <c r="Q478" t="s">
        <v>86</v>
      </c>
      <c r="R478">
        <v>0</v>
      </c>
      <c r="S478">
        <v>0</v>
      </c>
      <c r="T478">
        <v>7100</v>
      </c>
      <c r="V478">
        <v>4</v>
      </c>
      <c r="W478" t="s">
        <v>1303</v>
      </c>
      <c r="AB478" t="s">
        <v>100</v>
      </c>
      <c r="AC478" t="s">
        <v>90</v>
      </c>
      <c r="AD478">
        <v>4</v>
      </c>
      <c r="AE478" t="s">
        <v>165</v>
      </c>
      <c r="AF478" t="s">
        <v>102</v>
      </c>
      <c r="AH478">
        <v>4287000100</v>
      </c>
      <c r="AI478">
        <v>4287</v>
      </c>
      <c r="AJ478" t="s">
        <v>1416</v>
      </c>
    </row>
    <row r="479" spans="1:36">
      <c r="A479" t="s">
        <v>1417</v>
      </c>
      <c r="B479" t="s">
        <v>1418</v>
      </c>
      <c r="C479">
        <v>3</v>
      </c>
      <c r="D479" t="s">
        <v>133</v>
      </c>
      <c r="E479" t="s">
        <v>125</v>
      </c>
      <c r="F479" t="s">
        <v>79</v>
      </c>
      <c r="G479" t="s">
        <v>80</v>
      </c>
      <c r="H479" t="s">
        <v>81</v>
      </c>
      <c r="I479" t="s">
        <v>82</v>
      </c>
      <c r="J479" t="s">
        <v>95</v>
      </c>
      <c r="K479" t="s">
        <v>163</v>
      </c>
      <c r="L479">
        <v>95</v>
      </c>
      <c r="N479" t="s">
        <v>155</v>
      </c>
      <c r="O479" t="s">
        <v>98</v>
      </c>
      <c r="P479">
        <v>0</v>
      </c>
      <c r="Q479" t="s">
        <v>86</v>
      </c>
      <c r="R479">
        <v>0</v>
      </c>
      <c r="S479">
        <v>0</v>
      </c>
      <c r="T479">
        <v>8750</v>
      </c>
      <c r="U479">
        <v>966016536</v>
      </c>
      <c r="V479" t="s">
        <v>87</v>
      </c>
      <c r="W479" t="s">
        <v>1419</v>
      </c>
      <c r="AB479" t="s">
        <v>210</v>
      </c>
      <c r="AC479" t="s">
        <v>90</v>
      </c>
      <c r="AD479">
        <v>4</v>
      </c>
      <c r="AE479" t="s">
        <v>165</v>
      </c>
      <c r="AF479" t="s">
        <v>102</v>
      </c>
      <c r="AH479">
        <v>6212001205</v>
      </c>
      <c r="AI479">
        <v>6212</v>
      </c>
      <c r="AJ479" t="s">
        <v>1420</v>
      </c>
    </row>
    <row r="480" spans="1:36">
      <c r="A480" t="s">
        <v>1421</v>
      </c>
      <c r="B480" t="s">
        <v>1422</v>
      </c>
      <c r="C480">
        <v>3</v>
      </c>
      <c r="D480" t="s">
        <v>130</v>
      </c>
      <c r="E480" t="s">
        <v>125</v>
      </c>
      <c r="F480" t="s">
        <v>79</v>
      </c>
      <c r="G480" t="s">
        <v>80</v>
      </c>
      <c r="H480" t="s">
        <v>81</v>
      </c>
      <c r="I480" t="s">
        <v>82</v>
      </c>
      <c r="J480" t="s">
        <v>95</v>
      </c>
      <c r="K480" t="s">
        <v>163</v>
      </c>
      <c r="L480">
        <v>95</v>
      </c>
      <c r="N480" t="s">
        <v>155</v>
      </c>
      <c r="O480" t="s">
        <v>98</v>
      </c>
      <c r="P480">
        <v>0</v>
      </c>
      <c r="Q480" t="s">
        <v>86</v>
      </c>
      <c r="R480">
        <v>0</v>
      </c>
      <c r="S480">
        <v>0</v>
      </c>
      <c r="T480">
        <v>7100</v>
      </c>
      <c r="U480">
        <v>966014630</v>
      </c>
      <c r="V480" t="s">
        <v>87</v>
      </c>
      <c r="W480" t="s">
        <v>217</v>
      </c>
      <c r="AB480" t="s">
        <v>210</v>
      </c>
      <c r="AC480" t="s">
        <v>90</v>
      </c>
      <c r="AD480">
        <v>4</v>
      </c>
      <c r="AE480" t="s">
        <v>165</v>
      </c>
      <c r="AF480" t="s">
        <v>102</v>
      </c>
      <c r="AH480">
        <v>1940000703</v>
      </c>
      <c r="AI480">
        <v>1940</v>
      </c>
      <c r="AJ480" t="s">
        <v>220</v>
      </c>
    </row>
    <row r="481" spans="1:36">
      <c r="A481" t="s">
        <v>1423</v>
      </c>
      <c r="B481" t="s">
        <v>1424</v>
      </c>
      <c r="C481">
        <v>3</v>
      </c>
      <c r="D481" t="s">
        <v>130</v>
      </c>
      <c r="E481" t="s">
        <v>125</v>
      </c>
      <c r="F481" t="s">
        <v>79</v>
      </c>
      <c r="G481" t="s">
        <v>80</v>
      </c>
      <c r="H481" t="s">
        <v>81</v>
      </c>
      <c r="I481" t="s">
        <v>82</v>
      </c>
      <c r="J481" t="s">
        <v>95</v>
      </c>
      <c r="K481" t="s">
        <v>163</v>
      </c>
      <c r="L481">
        <v>95</v>
      </c>
      <c r="N481" t="s">
        <v>155</v>
      </c>
      <c r="O481" t="s">
        <v>98</v>
      </c>
      <c r="P481">
        <v>0</v>
      </c>
      <c r="Q481" t="s">
        <v>86</v>
      </c>
      <c r="R481">
        <v>0</v>
      </c>
      <c r="S481">
        <v>0</v>
      </c>
      <c r="T481">
        <v>7100</v>
      </c>
      <c r="U481">
        <v>966014629</v>
      </c>
      <c r="V481" t="s">
        <v>87</v>
      </c>
      <c r="W481" t="s">
        <v>217</v>
      </c>
      <c r="AB481" t="s">
        <v>210</v>
      </c>
      <c r="AC481" t="s">
        <v>90</v>
      </c>
      <c r="AD481">
        <v>4</v>
      </c>
      <c r="AE481" t="s">
        <v>165</v>
      </c>
      <c r="AF481" t="s">
        <v>102</v>
      </c>
      <c r="AH481">
        <v>1940000702</v>
      </c>
      <c r="AI481">
        <v>1940</v>
      </c>
      <c r="AJ481" t="s">
        <v>220</v>
      </c>
    </row>
    <row r="482" spans="1:36">
      <c r="A482" t="s">
        <v>1425</v>
      </c>
      <c r="B482" t="s">
        <v>1426</v>
      </c>
      <c r="C482" t="s">
        <v>139</v>
      </c>
      <c r="D482" t="s">
        <v>140</v>
      </c>
      <c r="E482" t="s">
        <v>79</v>
      </c>
      <c r="F482" t="s">
        <v>125</v>
      </c>
      <c r="G482" t="s">
        <v>80</v>
      </c>
      <c r="H482" t="s">
        <v>81</v>
      </c>
      <c r="I482" t="s">
        <v>82</v>
      </c>
      <c r="P482">
        <v>0</v>
      </c>
      <c r="Q482" t="s">
        <v>86</v>
      </c>
      <c r="R482">
        <v>0</v>
      </c>
      <c r="S482">
        <v>0</v>
      </c>
      <c r="T482">
        <v>7100</v>
      </c>
      <c r="V482" t="s">
        <v>87</v>
      </c>
      <c r="W482" t="s">
        <v>755</v>
      </c>
      <c r="AB482" t="s">
        <v>116</v>
      </c>
      <c r="AC482" t="s">
        <v>90</v>
      </c>
      <c r="AH482">
        <v>3352000303</v>
      </c>
      <c r="AI482">
        <v>3352</v>
      </c>
      <c r="AJ482" t="s">
        <v>756</v>
      </c>
    </row>
    <row r="483" spans="1:36">
      <c r="A483" t="s">
        <v>1427</v>
      </c>
      <c r="B483" t="s">
        <v>1428</v>
      </c>
      <c r="C483">
        <v>3</v>
      </c>
      <c r="D483" t="s">
        <v>953</v>
      </c>
      <c r="E483" t="s">
        <v>79</v>
      </c>
      <c r="F483" t="s">
        <v>125</v>
      </c>
      <c r="G483" t="s">
        <v>1429</v>
      </c>
      <c r="H483" t="s">
        <v>1430</v>
      </c>
      <c r="P483">
        <v>0</v>
      </c>
      <c r="Q483" t="s">
        <v>86</v>
      </c>
      <c r="R483">
        <v>0</v>
      </c>
      <c r="S483">
        <v>0</v>
      </c>
      <c r="T483">
        <v>7100</v>
      </c>
      <c r="U483">
        <v>963220084</v>
      </c>
      <c r="V483" t="s">
        <v>327</v>
      </c>
    </row>
    <row r="484" spans="1:36">
      <c r="A484" t="s">
        <v>1431</v>
      </c>
      <c r="B484" t="s">
        <v>1432</v>
      </c>
      <c r="C484">
        <v>3</v>
      </c>
      <c r="D484" t="s">
        <v>174</v>
      </c>
      <c r="E484" t="s">
        <v>125</v>
      </c>
      <c r="F484" t="s">
        <v>79</v>
      </c>
      <c r="G484" t="s">
        <v>80</v>
      </c>
      <c r="H484" t="s">
        <v>81</v>
      </c>
      <c r="I484" t="s">
        <v>82</v>
      </c>
      <c r="J484" t="s">
        <v>95</v>
      </c>
      <c r="K484" t="s">
        <v>184</v>
      </c>
      <c r="L484">
        <v>98</v>
      </c>
      <c r="N484" t="s">
        <v>185</v>
      </c>
      <c r="O484" t="s">
        <v>98</v>
      </c>
      <c r="P484">
        <v>0</v>
      </c>
      <c r="Q484" t="s">
        <v>86</v>
      </c>
      <c r="R484">
        <v>0</v>
      </c>
      <c r="S484">
        <v>0</v>
      </c>
      <c r="T484">
        <v>600</v>
      </c>
      <c r="U484">
        <v>963061209</v>
      </c>
      <c r="V484">
        <v>5</v>
      </c>
      <c r="W484" t="s">
        <v>1407</v>
      </c>
      <c r="AB484" t="s">
        <v>205</v>
      </c>
      <c r="AC484" t="s">
        <v>90</v>
      </c>
      <c r="AD484">
        <v>4</v>
      </c>
      <c r="AE484" t="s">
        <v>165</v>
      </c>
      <c r="AF484" t="s">
        <v>102</v>
      </c>
      <c r="AH484">
        <v>6635005200</v>
      </c>
      <c r="AI484">
        <v>6635</v>
      </c>
      <c r="AJ484" t="s">
        <v>1237</v>
      </c>
    </row>
    <row r="485" spans="1:36">
      <c r="A485" t="s">
        <v>1433</v>
      </c>
      <c r="B485" t="s">
        <v>1434</v>
      </c>
      <c r="C485">
        <v>3</v>
      </c>
      <c r="D485" t="s">
        <v>130</v>
      </c>
      <c r="E485" t="s">
        <v>79</v>
      </c>
      <c r="F485" t="s">
        <v>79</v>
      </c>
      <c r="G485" t="s">
        <v>80</v>
      </c>
      <c r="H485" t="s">
        <v>81</v>
      </c>
      <c r="I485" t="s">
        <v>82</v>
      </c>
      <c r="J485" t="s">
        <v>106</v>
      </c>
      <c r="K485" t="s">
        <v>107</v>
      </c>
      <c r="L485" s="1">
        <v>45328</v>
      </c>
      <c r="N485" t="s">
        <v>108</v>
      </c>
      <c r="O485" t="s">
        <v>98</v>
      </c>
      <c r="P485">
        <v>0</v>
      </c>
      <c r="Q485" t="s">
        <v>86</v>
      </c>
      <c r="R485">
        <v>0</v>
      </c>
      <c r="S485">
        <v>0</v>
      </c>
      <c r="T485">
        <v>7100</v>
      </c>
      <c r="U485">
        <v>963221800</v>
      </c>
      <c r="V485" t="s">
        <v>87</v>
      </c>
      <c r="W485" t="s">
        <v>330</v>
      </c>
      <c r="AB485" t="s">
        <v>147</v>
      </c>
      <c r="AC485" t="s">
        <v>90</v>
      </c>
      <c r="AD485">
        <v>6</v>
      </c>
      <c r="AE485" t="s">
        <v>101</v>
      </c>
      <c r="AF485" t="s">
        <v>102</v>
      </c>
      <c r="AH485">
        <v>2477000908</v>
      </c>
      <c r="AI485">
        <v>2477</v>
      </c>
      <c r="AJ485" t="s">
        <v>331</v>
      </c>
    </row>
    <row r="486" spans="1:36">
      <c r="A486" t="s">
        <v>1435</v>
      </c>
      <c r="B486" t="s">
        <v>1436</v>
      </c>
      <c r="C486">
        <v>3</v>
      </c>
      <c r="D486" t="s">
        <v>78</v>
      </c>
      <c r="E486" t="s">
        <v>79</v>
      </c>
      <c r="F486" t="s">
        <v>79</v>
      </c>
      <c r="G486" t="s">
        <v>80</v>
      </c>
      <c r="H486" t="s">
        <v>81</v>
      </c>
      <c r="I486" t="s">
        <v>82</v>
      </c>
      <c r="J486" t="s">
        <v>106</v>
      </c>
      <c r="K486" t="s">
        <v>107</v>
      </c>
      <c r="L486" s="1">
        <v>45328</v>
      </c>
      <c r="N486" t="s">
        <v>108</v>
      </c>
      <c r="O486" t="s">
        <v>98</v>
      </c>
      <c r="P486">
        <v>0</v>
      </c>
      <c r="Q486" t="s">
        <v>86</v>
      </c>
      <c r="R486">
        <v>0</v>
      </c>
      <c r="S486">
        <v>0</v>
      </c>
      <c r="T486">
        <v>9500</v>
      </c>
      <c r="V486" t="s">
        <v>87</v>
      </c>
      <c r="W486" t="s">
        <v>197</v>
      </c>
      <c r="AB486" t="s">
        <v>198</v>
      </c>
      <c r="AC486" t="s">
        <v>90</v>
      </c>
      <c r="AD486">
        <v>6</v>
      </c>
      <c r="AE486" t="s">
        <v>101</v>
      </c>
      <c r="AF486" t="s">
        <v>102</v>
      </c>
      <c r="AH486">
        <v>5790045555</v>
      </c>
      <c r="AI486">
        <v>5790</v>
      </c>
      <c r="AJ486" t="s">
        <v>199</v>
      </c>
    </row>
    <row r="487" spans="1:36">
      <c r="A487" t="s">
        <v>1437</v>
      </c>
      <c r="B487" t="s">
        <v>1438</v>
      </c>
      <c r="C487">
        <v>4</v>
      </c>
      <c r="D487" t="s">
        <v>130</v>
      </c>
      <c r="E487" t="s">
        <v>79</v>
      </c>
      <c r="F487" t="s">
        <v>125</v>
      </c>
      <c r="G487" t="s">
        <v>80</v>
      </c>
      <c r="H487" t="s">
        <v>81</v>
      </c>
      <c r="I487" t="s">
        <v>82</v>
      </c>
      <c r="P487">
        <v>0</v>
      </c>
      <c r="Q487" t="s">
        <v>86</v>
      </c>
      <c r="R487">
        <v>0</v>
      </c>
      <c r="S487">
        <v>0</v>
      </c>
      <c r="T487">
        <v>7100</v>
      </c>
      <c r="U487">
        <v>963221114</v>
      </c>
      <c r="V487" t="s">
        <v>87</v>
      </c>
      <c r="W487" t="s">
        <v>130</v>
      </c>
      <c r="AB487" t="s">
        <v>116</v>
      </c>
      <c r="AC487" t="s">
        <v>90</v>
      </c>
      <c r="AD487">
        <v>6</v>
      </c>
      <c r="AH487">
        <v>1087001201</v>
      </c>
      <c r="AI487">
        <v>1087</v>
      </c>
      <c r="AJ487" t="s">
        <v>117</v>
      </c>
    </row>
    <row r="488" spans="1:36">
      <c r="A488" t="s">
        <v>1439</v>
      </c>
      <c r="B488" t="s">
        <v>1440</v>
      </c>
      <c r="C488">
        <v>4</v>
      </c>
      <c r="D488" t="s">
        <v>174</v>
      </c>
      <c r="E488" t="s">
        <v>79</v>
      </c>
      <c r="F488" t="s">
        <v>125</v>
      </c>
      <c r="G488" t="s">
        <v>80</v>
      </c>
      <c r="H488" t="s">
        <v>81</v>
      </c>
      <c r="I488" t="s">
        <v>82</v>
      </c>
      <c r="P488">
        <v>0</v>
      </c>
      <c r="Q488" t="s">
        <v>86</v>
      </c>
      <c r="R488">
        <v>0</v>
      </c>
      <c r="S488">
        <v>0</v>
      </c>
      <c r="T488">
        <v>600</v>
      </c>
      <c r="U488">
        <v>963061232</v>
      </c>
      <c r="V488" t="s">
        <v>87</v>
      </c>
      <c r="W488" t="s">
        <v>174</v>
      </c>
      <c r="AB488" t="s">
        <v>116</v>
      </c>
      <c r="AC488" t="s">
        <v>90</v>
      </c>
      <c r="AD488">
        <v>6</v>
      </c>
      <c r="AH488">
        <v>1452000302</v>
      </c>
      <c r="AI488">
        <v>1452</v>
      </c>
      <c r="AJ488" t="s">
        <v>1382</v>
      </c>
    </row>
    <row r="489" spans="1:36">
      <c r="A489" t="s">
        <v>1441</v>
      </c>
      <c r="B489" t="s">
        <v>1442</v>
      </c>
      <c r="C489">
        <v>3</v>
      </c>
      <c r="D489" t="s">
        <v>133</v>
      </c>
      <c r="E489" t="s">
        <v>79</v>
      </c>
      <c r="F489" t="s">
        <v>125</v>
      </c>
      <c r="G489" t="s">
        <v>80</v>
      </c>
      <c r="H489" t="s">
        <v>81</v>
      </c>
      <c r="I489" t="s">
        <v>82</v>
      </c>
      <c r="P489">
        <v>0</v>
      </c>
      <c r="Q489" t="s">
        <v>86</v>
      </c>
      <c r="R489">
        <v>0</v>
      </c>
      <c r="S489">
        <v>0</v>
      </c>
      <c r="T489">
        <v>3950</v>
      </c>
      <c r="V489" t="s">
        <v>87</v>
      </c>
      <c r="W489" t="s">
        <v>133</v>
      </c>
      <c r="AB489" t="s">
        <v>116</v>
      </c>
      <c r="AC489" t="s">
        <v>90</v>
      </c>
      <c r="AD489">
        <v>6</v>
      </c>
      <c r="AH489">
        <v>1087001101</v>
      </c>
      <c r="AI489">
        <v>1087</v>
      </c>
      <c r="AJ489" t="s">
        <v>117</v>
      </c>
    </row>
    <row r="490" spans="1:36">
      <c r="A490" t="s">
        <v>1443</v>
      </c>
      <c r="B490" t="s">
        <v>1444</v>
      </c>
      <c r="C490">
        <v>3</v>
      </c>
      <c r="D490" t="s">
        <v>78</v>
      </c>
      <c r="E490" t="s">
        <v>79</v>
      </c>
      <c r="F490" t="s">
        <v>125</v>
      </c>
      <c r="G490" t="s">
        <v>80</v>
      </c>
      <c r="H490" t="s">
        <v>81</v>
      </c>
      <c r="I490" t="s">
        <v>82</v>
      </c>
      <c r="P490">
        <v>0</v>
      </c>
      <c r="Q490" t="s">
        <v>86</v>
      </c>
      <c r="R490">
        <v>0</v>
      </c>
      <c r="S490">
        <v>0</v>
      </c>
      <c r="T490">
        <v>9500</v>
      </c>
      <c r="U490">
        <v>963491100</v>
      </c>
      <c r="V490" t="s">
        <v>87</v>
      </c>
      <c r="W490" t="s">
        <v>78</v>
      </c>
      <c r="AB490" t="s">
        <v>116</v>
      </c>
      <c r="AC490" t="s">
        <v>90</v>
      </c>
      <c r="AD490">
        <v>6</v>
      </c>
      <c r="AH490">
        <v>1087001001</v>
      </c>
      <c r="AI490">
        <v>1087</v>
      </c>
      <c r="AJ490" t="s">
        <v>117</v>
      </c>
    </row>
    <row r="491" spans="1:36">
      <c r="A491" t="s">
        <v>1445</v>
      </c>
      <c r="B491" t="s">
        <v>948</v>
      </c>
      <c r="C491" t="s">
        <v>139</v>
      </c>
      <c r="D491" t="s">
        <v>78</v>
      </c>
      <c r="E491" t="s">
        <v>79</v>
      </c>
      <c r="F491" t="s">
        <v>125</v>
      </c>
      <c r="G491" t="s">
        <v>80</v>
      </c>
      <c r="H491" t="s">
        <v>81</v>
      </c>
      <c r="P491">
        <v>0</v>
      </c>
      <c r="Q491" t="s">
        <v>86</v>
      </c>
      <c r="R491">
        <v>0</v>
      </c>
      <c r="S491">
        <v>0</v>
      </c>
      <c r="T491">
        <v>4040</v>
      </c>
      <c r="U491">
        <v>963491800</v>
      </c>
      <c r="V491" t="s">
        <v>327</v>
      </c>
    </row>
    <row r="492" spans="1:36">
      <c r="A492" t="s">
        <v>1446</v>
      </c>
      <c r="B492" t="s">
        <v>1447</v>
      </c>
      <c r="C492">
        <v>3</v>
      </c>
      <c r="D492" t="s">
        <v>183</v>
      </c>
      <c r="E492" t="s">
        <v>79</v>
      </c>
      <c r="F492" t="s">
        <v>79</v>
      </c>
      <c r="G492" t="s">
        <v>80</v>
      </c>
      <c r="H492" t="s">
        <v>81</v>
      </c>
      <c r="I492" t="s">
        <v>82</v>
      </c>
      <c r="J492" t="s">
        <v>554</v>
      </c>
      <c r="K492" t="s">
        <v>555</v>
      </c>
      <c r="L492">
        <v>98</v>
      </c>
      <c r="N492" t="s">
        <v>185</v>
      </c>
      <c r="O492" t="s">
        <v>554</v>
      </c>
      <c r="P492">
        <v>0</v>
      </c>
      <c r="Q492" t="s">
        <v>86</v>
      </c>
      <c r="R492">
        <v>0</v>
      </c>
      <c r="S492">
        <v>0</v>
      </c>
      <c r="T492">
        <v>3800</v>
      </c>
      <c r="V492" t="s">
        <v>87</v>
      </c>
      <c r="W492" t="s">
        <v>1448</v>
      </c>
      <c r="AB492">
        <v>7171</v>
      </c>
      <c r="AC492" t="s">
        <v>305</v>
      </c>
      <c r="AD492">
        <v>6</v>
      </c>
      <c r="AE492" t="s">
        <v>160</v>
      </c>
      <c r="AF492" t="s">
        <v>102</v>
      </c>
      <c r="AH492">
        <v>1311001905</v>
      </c>
      <c r="AI492">
        <v>1311</v>
      </c>
      <c r="AJ492" t="s">
        <v>1449</v>
      </c>
    </row>
    <row r="493" spans="1:36">
      <c r="A493" t="s">
        <v>1450</v>
      </c>
      <c r="B493" t="s">
        <v>1451</v>
      </c>
      <c r="C493">
        <v>3</v>
      </c>
      <c r="D493" t="s">
        <v>190</v>
      </c>
      <c r="E493" t="s">
        <v>79</v>
      </c>
      <c r="F493" t="s">
        <v>79</v>
      </c>
      <c r="G493" t="s">
        <v>80</v>
      </c>
      <c r="H493" t="s">
        <v>81</v>
      </c>
      <c r="I493" t="s">
        <v>82</v>
      </c>
      <c r="J493" t="s">
        <v>554</v>
      </c>
      <c r="K493" t="s">
        <v>555</v>
      </c>
      <c r="L493">
        <v>98</v>
      </c>
      <c r="N493" t="s">
        <v>185</v>
      </c>
      <c r="O493" t="s">
        <v>554</v>
      </c>
      <c r="P493">
        <v>0</v>
      </c>
      <c r="Q493" t="s">
        <v>86</v>
      </c>
      <c r="R493">
        <v>0</v>
      </c>
      <c r="S493">
        <v>0</v>
      </c>
      <c r="T493">
        <v>2600</v>
      </c>
      <c r="V493" t="s">
        <v>87</v>
      </c>
      <c r="W493" t="s">
        <v>1448</v>
      </c>
      <c r="AB493">
        <v>7171</v>
      </c>
      <c r="AC493" t="s">
        <v>305</v>
      </c>
      <c r="AD493">
        <v>6</v>
      </c>
      <c r="AE493" t="s">
        <v>160</v>
      </c>
      <c r="AF493" t="s">
        <v>102</v>
      </c>
      <c r="AH493">
        <v>1311001904</v>
      </c>
      <c r="AI493">
        <v>1311</v>
      </c>
      <c r="AJ493" t="s">
        <v>1449</v>
      </c>
    </row>
    <row r="494" spans="1:36">
      <c r="A494" t="s">
        <v>1452</v>
      </c>
      <c r="B494" t="s">
        <v>1453</v>
      </c>
      <c r="C494">
        <v>3</v>
      </c>
      <c r="D494" t="s">
        <v>174</v>
      </c>
      <c r="E494" t="s">
        <v>79</v>
      </c>
      <c r="F494" t="s">
        <v>125</v>
      </c>
      <c r="G494" t="s">
        <v>80</v>
      </c>
      <c r="H494" t="s">
        <v>81</v>
      </c>
      <c r="I494" t="s">
        <v>82</v>
      </c>
      <c r="P494">
        <v>0</v>
      </c>
      <c r="Q494" t="s">
        <v>86</v>
      </c>
      <c r="R494">
        <v>0</v>
      </c>
      <c r="S494">
        <v>0</v>
      </c>
      <c r="T494">
        <v>4885</v>
      </c>
      <c r="U494">
        <v>963191500</v>
      </c>
      <c r="V494" t="s">
        <v>87</v>
      </c>
      <c r="W494" t="s">
        <v>486</v>
      </c>
      <c r="AB494">
        <v>9999</v>
      </c>
      <c r="AC494" t="s">
        <v>90</v>
      </c>
      <c r="AH494">
        <v>5790006034</v>
      </c>
      <c r="AI494">
        <v>5790</v>
      </c>
      <c r="AJ494" t="s">
        <v>199</v>
      </c>
    </row>
    <row r="495" spans="1:36">
      <c r="A495" t="s">
        <v>794</v>
      </c>
      <c r="B495" t="s">
        <v>1454</v>
      </c>
      <c r="C495">
        <v>3</v>
      </c>
      <c r="D495" t="s">
        <v>78</v>
      </c>
      <c r="E495" t="s">
        <v>79</v>
      </c>
      <c r="F495" t="s">
        <v>125</v>
      </c>
      <c r="G495" t="s">
        <v>80</v>
      </c>
      <c r="H495" t="s">
        <v>81</v>
      </c>
      <c r="I495" t="s">
        <v>82</v>
      </c>
      <c r="P495">
        <v>0</v>
      </c>
      <c r="Q495" t="s">
        <v>86</v>
      </c>
      <c r="R495">
        <v>0</v>
      </c>
      <c r="S495">
        <v>0</v>
      </c>
      <c r="T495">
        <v>9500</v>
      </c>
      <c r="U495">
        <v>963492903</v>
      </c>
      <c r="V495">
        <v>4</v>
      </c>
      <c r="W495" t="s">
        <v>426</v>
      </c>
      <c r="AB495">
        <v>9999</v>
      </c>
      <c r="AC495" t="s">
        <v>90</v>
      </c>
      <c r="AD495">
        <v>6</v>
      </c>
      <c r="AH495">
        <v>5790045000</v>
      </c>
      <c r="AI495">
        <v>5790</v>
      </c>
      <c r="AJ495" t="s">
        <v>199</v>
      </c>
    </row>
    <row r="496" spans="1:36">
      <c r="A496" t="s">
        <v>1455</v>
      </c>
      <c r="B496" t="s">
        <v>1456</v>
      </c>
      <c r="C496">
        <v>3</v>
      </c>
      <c r="D496" t="s">
        <v>130</v>
      </c>
      <c r="E496" t="s">
        <v>125</v>
      </c>
      <c r="F496" t="s">
        <v>79</v>
      </c>
      <c r="G496" t="s">
        <v>80</v>
      </c>
      <c r="H496" t="s">
        <v>81</v>
      </c>
      <c r="I496" t="s">
        <v>82</v>
      </c>
      <c r="J496" t="s">
        <v>106</v>
      </c>
      <c r="K496" t="s">
        <v>107</v>
      </c>
      <c r="L496" s="1">
        <v>45328</v>
      </c>
      <c r="N496" t="s">
        <v>108</v>
      </c>
      <c r="O496" t="s">
        <v>98</v>
      </c>
      <c r="P496">
        <v>0</v>
      </c>
      <c r="Q496" t="s">
        <v>86</v>
      </c>
      <c r="R496">
        <v>0</v>
      </c>
      <c r="S496">
        <v>0</v>
      </c>
      <c r="T496">
        <v>7100</v>
      </c>
      <c r="U496">
        <v>963221100</v>
      </c>
      <c r="V496" t="s">
        <v>87</v>
      </c>
      <c r="W496" t="s">
        <v>1457</v>
      </c>
      <c r="AB496" t="s">
        <v>110</v>
      </c>
      <c r="AC496" t="s">
        <v>90</v>
      </c>
      <c r="AD496">
        <v>4</v>
      </c>
      <c r="AE496" t="s">
        <v>165</v>
      </c>
      <c r="AF496" t="s">
        <v>102</v>
      </c>
      <c r="AH496">
        <v>3483000602</v>
      </c>
      <c r="AI496">
        <v>3483</v>
      </c>
      <c r="AJ496" t="s">
        <v>563</v>
      </c>
    </row>
    <row r="497" spans="1:36">
      <c r="A497" t="s">
        <v>1458</v>
      </c>
      <c r="B497" t="s">
        <v>1459</v>
      </c>
      <c r="C497">
        <v>3</v>
      </c>
      <c r="D497" t="s">
        <v>183</v>
      </c>
      <c r="E497" t="s">
        <v>79</v>
      </c>
      <c r="F497" t="s">
        <v>79</v>
      </c>
      <c r="G497" t="s">
        <v>80</v>
      </c>
      <c r="H497" t="s">
        <v>81</v>
      </c>
      <c r="I497" t="s">
        <v>82</v>
      </c>
      <c r="J497" t="s">
        <v>554</v>
      </c>
      <c r="K497" t="s">
        <v>555</v>
      </c>
      <c r="L497">
        <v>98</v>
      </c>
      <c r="N497" t="s">
        <v>185</v>
      </c>
      <c r="O497" t="s">
        <v>554</v>
      </c>
      <c r="P497">
        <v>0</v>
      </c>
      <c r="Q497" t="s">
        <v>86</v>
      </c>
      <c r="R497">
        <v>0</v>
      </c>
      <c r="S497">
        <v>0</v>
      </c>
      <c r="T497">
        <v>3800</v>
      </c>
      <c r="V497" t="s">
        <v>87</v>
      </c>
      <c r="W497" t="s">
        <v>775</v>
      </c>
      <c r="AB497" t="s">
        <v>1460</v>
      </c>
      <c r="AC497" t="s">
        <v>90</v>
      </c>
      <c r="AD497">
        <v>6</v>
      </c>
      <c r="AE497" t="s">
        <v>160</v>
      </c>
      <c r="AF497" t="s">
        <v>102</v>
      </c>
      <c r="AH497">
        <v>1410006102</v>
      </c>
      <c r="AI497">
        <v>1410</v>
      </c>
      <c r="AJ497" t="s">
        <v>778</v>
      </c>
    </row>
    <row r="498" spans="1:36">
      <c r="A498" t="s">
        <v>1461</v>
      </c>
      <c r="B498" t="s">
        <v>1462</v>
      </c>
      <c r="C498">
        <v>3</v>
      </c>
      <c r="D498" t="s">
        <v>190</v>
      </c>
      <c r="E498" t="s">
        <v>79</v>
      </c>
      <c r="F498" t="s">
        <v>79</v>
      </c>
      <c r="J498" t="s">
        <v>191</v>
      </c>
      <c r="O498" t="s">
        <v>243</v>
      </c>
      <c r="P498">
        <v>0</v>
      </c>
      <c r="Q498" t="s">
        <v>86</v>
      </c>
      <c r="R498">
        <v>0</v>
      </c>
      <c r="S498">
        <v>0</v>
      </c>
      <c r="T498">
        <v>1060</v>
      </c>
      <c r="V498" t="s">
        <v>87</v>
      </c>
      <c r="W498" t="s">
        <v>258</v>
      </c>
      <c r="AF498" t="s">
        <v>102</v>
      </c>
      <c r="AH498" t="s">
        <v>1463</v>
      </c>
      <c r="AI498" t="s">
        <v>1464</v>
      </c>
    </row>
    <row r="499" spans="1:36">
      <c r="A499" t="s">
        <v>1465</v>
      </c>
      <c r="B499" t="s">
        <v>1466</v>
      </c>
      <c r="C499">
        <v>3</v>
      </c>
      <c r="D499" t="s">
        <v>190</v>
      </c>
      <c r="E499" t="s">
        <v>79</v>
      </c>
      <c r="F499" t="s">
        <v>79</v>
      </c>
      <c r="J499" t="s">
        <v>191</v>
      </c>
      <c r="O499" t="s">
        <v>243</v>
      </c>
      <c r="P499">
        <v>0</v>
      </c>
      <c r="Q499" t="s">
        <v>86</v>
      </c>
      <c r="R499">
        <v>0</v>
      </c>
      <c r="S499">
        <v>0</v>
      </c>
      <c r="T499">
        <v>1060</v>
      </c>
      <c r="V499" t="s">
        <v>87</v>
      </c>
      <c r="W499" t="s">
        <v>249</v>
      </c>
      <c r="AF499" t="s">
        <v>102</v>
      </c>
      <c r="AH499" t="s">
        <v>1467</v>
      </c>
      <c r="AI499" t="s">
        <v>1468</v>
      </c>
    </row>
    <row r="500" spans="1:36">
      <c r="A500" t="s">
        <v>1469</v>
      </c>
      <c r="B500" t="s">
        <v>1470</v>
      </c>
      <c r="C500">
        <v>3</v>
      </c>
      <c r="D500" t="s">
        <v>190</v>
      </c>
      <c r="E500" t="s">
        <v>79</v>
      </c>
      <c r="F500" t="s">
        <v>79</v>
      </c>
      <c r="J500" t="s">
        <v>191</v>
      </c>
      <c r="O500" t="s">
        <v>243</v>
      </c>
      <c r="P500">
        <v>0</v>
      </c>
      <c r="Q500" t="s">
        <v>86</v>
      </c>
      <c r="R500">
        <v>0</v>
      </c>
      <c r="S500">
        <v>0</v>
      </c>
      <c r="T500">
        <v>1060</v>
      </c>
      <c r="V500" t="s">
        <v>87</v>
      </c>
      <c r="W500" t="s">
        <v>258</v>
      </c>
      <c r="AF500" t="s">
        <v>102</v>
      </c>
      <c r="AH500" t="s">
        <v>1471</v>
      </c>
      <c r="AI500" t="s">
        <v>1253</v>
      </c>
    </row>
    <row r="501" spans="1:36">
      <c r="A501" t="s">
        <v>1309</v>
      </c>
      <c r="B501" t="s">
        <v>1472</v>
      </c>
      <c r="C501">
        <v>3</v>
      </c>
      <c r="D501" t="s">
        <v>190</v>
      </c>
      <c r="E501" t="s">
        <v>79</v>
      </c>
      <c r="F501" t="s">
        <v>79</v>
      </c>
      <c r="J501" t="s">
        <v>191</v>
      </c>
      <c r="O501" t="s">
        <v>243</v>
      </c>
      <c r="P501">
        <v>0</v>
      </c>
      <c r="Q501" t="s">
        <v>86</v>
      </c>
      <c r="R501">
        <v>0</v>
      </c>
      <c r="S501">
        <v>0</v>
      </c>
      <c r="T501">
        <v>1060</v>
      </c>
      <c r="V501">
        <v>5</v>
      </c>
      <c r="W501" t="s">
        <v>258</v>
      </c>
      <c r="AF501" t="s">
        <v>102</v>
      </c>
      <c r="AH501" t="s">
        <v>1473</v>
      </c>
      <c r="AI501" t="s">
        <v>1294</v>
      </c>
    </row>
    <row r="502" spans="1:36">
      <c r="A502" t="s">
        <v>1474</v>
      </c>
      <c r="B502" t="s">
        <v>1475</v>
      </c>
      <c r="C502">
        <v>3</v>
      </c>
      <c r="D502" t="s">
        <v>190</v>
      </c>
      <c r="E502" t="s">
        <v>79</v>
      </c>
      <c r="F502" t="s">
        <v>79</v>
      </c>
      <c r="J502" t="s">
        <v>191</v>
      </c>
      <c r="O502" t="s">
        <v>243</v>
      </c>
      <c r="P502">
        <v>0</v>
      </c>
      <c r="Q502" t="s">
        <v>86</v>
      </c>
      <c r="R502">
        <v>0</v>
      </c>
      <c r="S502">
        <v>0</v>
      </c>
      <c r="T502">
        <v>1070</v>
      </c>
      <c r="V502" t="s">
        <v>87</v>
      </c>
      <c r="W502" t="s">
        <v>719</v>
      </c>
      <c r="AF502" t="s">
        <v>102</v>
      </c>
      <c r="AH502" t="s">
        <v>1476</v>
      </c>
      <c r="AI502" t="s">
        <v>1477</v>
      </c>
    </row>
    <row r="503" spans="1:36">
      <c r="A503" t="s">
        <v>1478</v>
      </c>
      <c r="B503" t="s">
        <v>1479</v>
      </c>
      <c r="C503">
        <v>3</v>
      </c>
      <c r="D503" t="s">
        <v>190</v>
      </c>
      <c r="E503" t="s">
        <v>79</v>
      </c>
      <c r="F503" t="s">
        <v>79</v>
      </c>
      <c r="J503" t="s">
        <v>191</v>
      </c>
      <c r="O503" t="s">
        <v>243</v>
      </c>
      <c r="P503">
        <v>0</v>
      </c>
      <c r="Q503" t="s">
        <v>86</v>
      </c>
      <c r="R503">
        <v>0</v>
      </c>
      <c r="S503">
        <v>0</v>
      </c>
      <c r="T503">
        <v>1060</v>
      </c>
      <c r="V503" t="s">
        <v>87</v>
      </c>
      <c r="W503" t="s">
        <v>1480</v>
      </c>
      <c r="AF503" t="s">
        <v>102</v>
      </c>
      <c r="AH503" t="s">
        <v>1481</v>
      </c>
      <c r="AI503" t="s">
        <v>1482</v>
      </c>
    </row>
    <row r="504" spans="1:36">
      <c r="A504" t="s">
        <v>1483</v>
      </c>
      <c r="B504" t="s">
        <v>1484</v>
      </c>
      <c r="C504">
        <v>3</v>
      </c>
      <c r="D504" t="s">
        <v>190</v>
      </c>
      <c r="E504" t="s">
        <v>79</v>
      </c>
      <c r="F504" t="s">
        <v>79</v>
      </c>
      <c r="J504" t="s">
        <v>191</v>
      </c>
      <c r="O504" t="s">
        <v>243</v>
      </c>
      <c r="P504">
        <v>0</v>
      </c>
      <c r="Q504" t="s">
        <v>86</v>
      </c>
      <c r="R504">
        <v>0</v>
      </c>
      <c r="S504">
        <v>0</v>
      </c>
      <c r="T504">
        <v>2600</v>
      </c>
      <c r="U504">
        <v>966037215</v>
      </c>
      <c r="V504" t="s">
        <v>87</v>
      </c>
      <c r="W504" t="s">
        <v>1485</v>
      </c>
      <c r="AF504" t="s">
        <v>102</v>
      </c>
      <c r="AH504" t="s">
        <v>1486</v>
      </c>
      <c r="AI504" t="s">
        <v>1487</v>
      </c>
    </row>
    <row r="505" spans="1:36">
      <c r="A505" t="s">
        <v>1488</v>
      </c>
      <c r="B505" t="s">
        <v>1489</v>
      </c>
      <c r="C505">
        <v>3</v>
      </c>
      <c r="D505" t="s">
        <v>78</v>
      </c>
      <c r="E505" t="s">
        <v>79</v>
      </c>
      <c r="F505" t="s">
        <v>79</v>
      </c>
      <c r="G505" t="s">
        <v>80</v>
      </c>
      <c r="H505" t="s">
        <v>81</v>
      </c>
      <c r="I505" t="s">
        <v>82</v>
      </c>
      <c r="J505" t="s">
        <v>106</v>
      </c>
      <c r="K505" t="s">
        <v>107</v>
      </c>
      <c r="L505" s="1">
        <v>45328</v>
      </c>
      <c r="N505" t="s">
        <v>108</v>
      </c>
      <c r="O505" t="s">
        <v>98</v>
      </c>
      <c r="P505">
        <v>0</v>
      </c>
      <c r="Q505" t="s">
        <v>86</v>
      </c>
      <c r="R505">
        <v>0</v>
      </c>
      <c r="S505">
        <v>0</v>
      </c>
      <c r="T505">
        <v>9500</v>
      </c>
      <c r="V505" t="s">
        <v>87</v>
      </c>
      <c r="W505" t="s">
        <v>1147</v>
      </c>
      <c r="AB505">
        <v>9999</v>
      </c>
      <c r="AC505" t="s">
        <v>90</v>
      </c>
      <c r="AD505">
        <v>6</v>
      </c>
      <c r="AE505" t="s">
        <v>101</v>
      </c>
      <c r="AF505" t="s">
        <v>102</v>
      </c>
      <c r="AH505">
        <v>3675400025</v>
      </c>
      <c r="AI505">
        <v>3675</v>
      </c>
      <c r="AJ505" t="s">
        <v>1148</v>
      </c>
    </row>
    <row r="506" spans="1:36">
      <c r="A506" t="s">
        <v>158</v>
      </c>
      <c r="B506" t="s">
        <v>1490</v>
      </c>
      <c r="C506">
        <v>3</v>
      </c>
      <c r="D506" t="s">
        <v>78</v>
      </c>
      <c r="E506" t="s">
        <v>79</v>
      </c>
      <c r="F506" t="s">
        <v>79</v>
      </c>
      <c r="G506" t="s">
        <v>80</v>
      </c>
      <c r="H506" t="s">
        <v>81</v>
      </c>
      <c r="I506" t="s">
        <v>82</v>
      </c>
      <c r="J506" t="s">
        <v>153</v>
      </c>
      <c r="K506" t="s">
        <v>154</v>
      </c>
      <c r="L506">
        <v>96</v>
      </c>
      <c r="N506" t="s">
        <v>155</v>
      </c>
      <c r="O506" t="s">
        <v>156</v>
      </c>
      <c r="P506">
        <v>0</v>
      </c>
      <c r="Q506" t="s">
        <v>86</v>
      </c>
      <c r="R506">
        <v>0</v>
      </c>
      <c r="S506">
        <v>0</v>
      </c>
      <c r="T506">
        <v>9500</v>
      </c>
      <c r="U506">
        <v>963491100</v>
      </c>
      <c r="V506">
        <v>4</v>
      </c>
      <c r="W506" t="s">
        <v>1491</v>
      </c>
      <c r="AB506" t="s">
        <v>216</v>
      </c>
      <c r="AC506" t="s">
        <v>90</v>
      </c>
      <c r="AD506">
        <v>6</v>
      </c>
      <c r="AE506" t="s">
        <v>160</v>
      </c>
      <c r="AF506" t="s">
        <v>102</v>
      </c>
      <c r="AH506">
        <v>1980908000</v>
      </c>
      <c r="AI506">
        <v>1980</v>
      </c>
      <c r="AJ506" t="s">
        <v>620</v>
      </c>
    </row>
    <row r="507" spans="1:36">
      <c r="A507" t="s">
        <v>1492</v>
      </c>
      <c r="B507" t="s">
        <v>1493</v>
      </c>
      <c r="C507">
        <v>3</v>
      </c>
      <c r="D507" t="s">
        <v>130</v>
      </c>
      <c r="E507" t="s">
        <v>79</v>
      </c>
      <c r="F507" t="s">
        <v>79</v>
      </c>
      <c r="G507" t="s">
        <v>80</v>
      </c>
      <c r="H507" t="s">
        <v>81</v>
      </c>
      <c r="I507" t="s">
        <v>82</v>
      </c>
      <c r="J507" t="s">
        <v>175</v>
      </c>
      <c r="K507" t="s">
        <v>176</v>
      </c>
      <c r="L507">
        <v>1</v>
      </c>
      <c r="O507" t="s">
        <v>177</v>
      </c>
      <c r="P507">
        <v>0</v>
      </c>
      <c r="Q507" t="s">
        <v>86</v>
      </c>
      <c r="R507">
        <v>0</v>
      </c>
      <c r="S507">
        <v>0</v>
      </c>
      <c r="T507">
        <v>7100</v>
      </c>
      <c r="U507">
        <v>96322</v>
      </c>
      <c r="V507" t="s">
        <v>87</v>
      </c>
      <c r="W507" t="s">
        <v>972</v>
      </c>
      <c r="AB507" t="s">
        <v>179</v>
      </c>
      <c r="AC507" t="s">
        <v>90</v>
      </c>
      <c r="AD507">
        <v>6</v>
      </c>
      <c r="AE507" t="s">
        <v>91</v>
      </c>
      <c r="AF507" t="s">
        <v>102</v>
      </c>
      <c r="AH507">
        <v>3014051603</v>
      </c>
      <c r="AI507">
        <v>3014</v>
      </c>
      <c r="AJ507" t="s">
        <v>180</v>
      </c>
    </row>
    <row r="508" spans="1:36">
      <c r="A508" t="s">
        <v>1494</v>
      </c>
      <c r="B508" t="s">
        <v>1495</v>
      </c>
      <c r="C508">
        <v>3</v>
      </c>
      <c r="D508" t="s">
        <v>78</v>
      </c>
      <c r="E508" t="s">
        <v>79</v>
      </c>
      <c r="F508" t="s">
        <v>125</v>
      </c>
      <c r="G508" t="s">
        <v>80</v>
      </c>
      <c r="H508" t="s">
        <v>81</v>
      </c>
      <c r="P508">
        <v>0</v>
      </c>
      <c r="Q508" t="s">
        <v>86</v>
      </c>
      <c r="R508">
        <v>0</v>
      </c>
      <c r="S508">
        <v>0</v>
      </c>
      <c r="T508">
        <v>9500</v>
      </c>
      <c r="V508" t="s">
        <v>327</v>
      </c>
    </row>
    <row r="509" spans="1:36">
      <c r="A509" t="s">
        <v>1496</v>
      </c>
      <c r="B509" t="s">
        <v>1497</v>
      </c>
      <c r="C509">
        <v>3</v>
      </c>
      <c r="D509" t="s">
        <v>130</v>
      </c>
      <c r="E509" t="s">
        <v>125</v>
      </c>
      <c r="F509" t="s">
        <v>79</v>
      </c>
      <c r="G509" t="s">
        <v>80</v>
      </c>
      <c r="H509" t="s">
        <v>81</v>
      </c>
      <c r="I509" t="s">
        <v>82</v>
      </c>
      <c r="J509" t="s">
        <v>95</v>
      </c>
      <c r="K509" t="s">
        <v>163</v>
      </c>
      <c r="L509">
        <v>95</v>
      </c>
      <c r="N509" t="s">
        <v>155</v>
      </c>
      <c r="O509" t="s">
        <v>98</v>
      </c>
      <c r="P509">
        <v>0</v>
      </c>
      <c r="Q509" t="s">
        <v>86</v>
      </c>
      <c r="R509">
        <v>0</v>
      </c>
      <c r="S509">
        <v>0</v>
      </c>
      <c r="T509">
        <v>7100</v>
      </c>
      <c r="U509">
        <v>966014628</v>
      </c>
      <c r="V509" t="s">
        <v>87</v>
      </c>
      <c r="W509" t="s">
        <v>217</v>
      </c>
      <c r="AB509" t="s">
        <v>210</v>
      </c>
      <c r="AC509" t="s">
        <v>90</v>
      </c>
      <c r="AD509">
        <v>4</v>
      </c>
      <c r="AE509" t="s">
        <v>165</v>
      </c>
      <c r="AF509" t="s">
        <v>102</v>
      </c>
      <c r="AH509">
        <v>1940000701</v>
      </c>
      <c r="AI509">
        <v>1940</v>
      </c>
      <c r="AJ509" t="s">
        <v>220</v>
      </c>
    </row>
    <row r="510" spans="1:36">
      <c r="A510" t="s">
        <v>1498</v>
      </c>
      <c r="B510" t="s">
        <v>1499</v>
      </c>
      <c r="C510">
        <v>3</v>
      </c>
      <c r="D510" t="s">
        <v>174</v>
      </c>
      <c r="E510" t="s">
        <v>79</v>
      </c>
      <c r="F510" t="s">
        <v>79</v>
      </c>
      <c r="G510" t="s">
        <v>80</v>
      </c>
      <c r="H510" t="s">
        <v>81</v>
      </c>
      <c r="I510" t="s">
        <v>82</v>
      </c>
      <c r="J510" t="s">
        <v>1008</v>
      </c>
      <c r="K510" t="s">
        <v>1008</v>
      </c>
      <c r="L510" t="s">
        <v>84</v>
      </c>
      <c r="O510" t="s">
        <v>85</v>
      </c>
      <c r="P510">
        <v>0</v>
      </c>
      <c r="Q510" t="s">
        <v>86</v>
      </c>
      <c r="R510">
        <v>0</v>
      </c>
      <c r="S510">
        <v>0</v>
      </c>
      <c r="T510">
        <v>600</v>
      </c>
      <c r="U510">
        <v>963062739</v>
      </c>
      <c r="V510" t="s">
        <v>87</v>
      </c>
      <c r="W510" t="s">
        <v>1009</v>
      </c>
      <c r="AB510" t="s">
        <v>1008</v>
      </c>
      <c r="AC510" t="s">
        <v>90</v>
      </c>
      <c r="AD510">
        <v>6</v>
      </c>
      <c r="AE510" t="s">
        <v>91</v>
      </c>
      <c r="AF510" t="s">
        <v>92</v>
      </c>
      <c r="AH510">
        <v>9575040032</v>
      </c>
      <c r="AI510">
        <v>9575</v>
      </c>
      <c r="AJ510" t="s">
        <v>1008</v>
      </c>
    </row>
    <row r="511" spans="1:36">
      <c r="A511" t="s">
        <v>1500</v>
      </c>
      <c r="B511" t="s">
        <v>1501</v>
      </c>
      <c r="C511">
        <v>3</v>
      </c>
      <c r="D511" t="s">
        <v>130</v>
      </c>
      <c r="E511" t="s">
        <v>79</v>
      </c>
      <c r="F511" t="s">
        <v>79</v>
      </c>
      <c r="G511" t="s">
        <v>80</v>
      </c>
      <c r="H511" t="s">
        <v>81</v>
      </c>
      <c r="I511" t="s">
        <v>82</v>
      </c>
      <c r="J511" t="s">
        <v>95</v>
      </c>
      <c r="K511" t="s">
        <v>163</v>
      </c>
      <c r="L511">
        <v>96</v>
      </c>
      <c r="N511" t="s">
        <v>155</v>
      </c>
      <c r="O511" t="s">
        <v>98</v>
      </c>
      <c r="P511">
        <v>0</v>
      </c>
      <c r="Q511" t="s">
        <v>86</v>
      </c>
      <c r="R511">
        <v>0</v>
      </c>
      <c r="S511">
        <v>0</v>
      </c>
      <c r="T511">
        <v>7100</v>
      </c>
      <c r="U511">
        <v>963220011</v>
      </c>
      <c r="V511" t="s">
        <v>87</v>
      </c>
      <c r="W511" t="s">
        <v>1390</v>
      </c>
      <c r="AB511" t="s">
        <v>431</v>
      </c>
      <c r="AC511" t="s">
        <v>90</v>
      </c>
      <c r="AD511">
        <v>6</v>
      </c>
      <c r="AE511" t="s">
        <v>101</v>
      </c>
      <c r="AF511" t="s">
        <v>102</v>
      </c>
      <c r="AH511">
        <v>3170002012</v>
      </c>
      <c r="AI511">
        <v>3170</v>
      </c>
      <c r="AJ511" t="s">
        <v>1393</v>
      </c>
    </row>
    <row r="512" spans="1:36">
      <c r="A512" t="s">
        <v>1502</v>
      </c>
      <c r="B512" t="s">
        <v>1503</v>
      </c>
      <c r="C512">
        <v>4</v>
      </c>
      <c r="D512" t="s">
        <v>190</v>
      </c>
      <c r="E512" t="s">
        <v>125</v>
      </c>
      <c r="F512" t="s">
        <v>79</v>
      </c>
      <c r="G512" t="s">
        <v>80</v>
      </c>
      <c r="H512" t="s">
        <v>81</v>
      </c>
      <c r="I512" t="s">
        <v>82</v>
      </c>
      <c r="J512" t="s">
        <v>191</v>
      </c>
      <c r="K512" t="s">
        <v>192</v>
      </c>
      <c r="L512">
        <v>1</v>
      </c>
      <c r="P512">
        <v>0</v>
      </c>
      <c r="Q512" t="s">
        <v>86</v>
      </c>
      <c r="R512">
        <v>0</v>
      </c>
      <c r="S512">
        <v>0</v>
      </c>
      <c r="T512">
        <v>2100</v>
      </c>
      <c r="U512">
        <v>966065621</v>
      </c>
      <c r="V512" t="s">
        <v>87</v>
      </c>
      <c r="W512" t="s">
        <v>193</v>
      </c>
      <c r="AB512">
        <v>2700</v>
      </c>
      <c r="AC512" t="s">
        <v>90</v>
      </c>
      <c r="AD512">
        <v>4</v>
      </c>
      <c r="AE512" t="s">
        <v>101</v>
      </c>
      <c r="AF512" t="s">
        <v>102</v>
      </c>
      <c r="AH512">
        <v>8454003311</v>
      </c>
      <c r="AI512">
        <v>8454</v>
      </c>
      <c r="AJ512" t="s">
        <v>194</v>
      </c>
    </row>
    <row r="513" spans="1:36">
      <c r="A513" t="s">
        <v>1504</v>
      </c>
      <c r="B513" t="s">
        <v>1505</v>
      </c>
      <c r="C513">
        <v>3</v>
      </c>
      <c r="D513" t="s">
        <v>190</v>
      </c>
      <c r="E513" t="s">
        <v>79</v>
      </c>
      <c r="F513" t="s">
        <v>79</v>
      </c>
      <c r="P513">
        <v>0</v>
      </c>
      <c r="Q513" t="s">
        <v>86</v>
      </c>
      <c r="R513">
        <v>0</v>
      </c>
      <c r="S513">
        <v>0</v>
      </c>
      <c r="T513">
        <v>5615</v>
      </c>
      <c r="U513">
        <v>963735023</v>
      </c>
      <c r="V513" t="s">
        <v>327</v>
      </c>
      <c r="AI513" t="s">
        <v>1506</v>
      </c>
    </row>
    <row r="514" spans="1:36">
      <c r="A514" t="s">
        <v>1507</v>
      </c>
      <c r="B514" t="s">
        <v>1508</v>
      </c>
      <c r="C514">
        <v>4</v>
      </c>
      <c r="D514" t="s">
        <v>78</v>
      </c>
      <c r="E514" t="s">
        <v>79</v>
      </c>
      <c r="F514" t="s">
        <v>125</v>
      </c>
      <c r="G514" t="s">
        <v>80</v>
      </c>
      <c r="H514" t="s">
        <v>81</v>
      </c>
      <c r="P514">
        <v>0</v>
      </c>
      <c r="Q514" t="s">
        <v>86</v>
      </c>
      <c r="R514">
        <v>0</v>
      </c>
      <c r="S514">
        <v>0</v>
      </c>
      <c r="T514">
        <v>9500</v>
      </c>
      <c r="U514">
        <v>963491103</v>
      </c>
      <c r="V514" t="s">
        <v>327</v>
      </c>
    </row>
    <row r="515" spans="1:36">
      <c r="A515" t="s">
        <v>1509</v>
      </c>
      <c r="B515" t="s">
        <v>1510</v>
      </c>
      <c r="C515">
        <v>3</v>
      </c>
      <c r="D515" t="s">
        <v>190</v>
      </c>
      <c r="E515" t="s">
        <v>79</v>
      </c>
      <c r="F515" t="s">
        <v>79</v>
      </c>
      <c r="J515" t="s">
        <v>191</v>
      </c>
      <c r="O515" t="s">
        <v>243</v>
      </c>
      <c r="P515">
        <v>0</v>
      </c>
      <c r="Q515" t="s">
        <v>86</v>
      </c>
      <c r="R515">
        <v>0</v>
      </c>
      <c r="S515">
        <v>0</v>
      </c>
      <c r="T515">
        <v>1060</v>
      </c>
      <c r="U515">
        <v>966044816</v>
      </c>
      <c r="V515">
        <v>5</v>
      </c>
      <c r="W515" t="s">
        <v>1362</v>
      </c>
      <c r="AF515" t="s">
        <v>102</v>
      </c>
      <c r="AH515" t="s">
        <v>1511</v>
      </c>
      <c r="AI515" t="s">
        <v>1253</v>
      </c>
    </row>
    <row r="516" spans="1:36">
      <c r="A516" t="s">
        <v>1512</v>
      </c>
      <c r="B516" t="s">
        <v>1513</v>
      </c>
      <c r="C516">
        <v>3</v>
      </c>
      <c r="D516" t="s">
        <v>190</v>
      </c>
      <c r="E516" t="s">
        <v>79</v>
      </c>
      <c r="F516" t="s">
        <v>79</v>
      </c>
      <c r="J516" t="s">
        <v>191</v>
      </c>
      <c r="O516" t="s">
        <v>243</v>
      </c>
      <c r="P516">
        <v>0</v>
      </c>
      <c r="Q516" t="s">
        <v>86</v>
      </c>
      <c r="R516">
        <v>0</v>
      </c>
      <c r="S516">
        <v>0</v>
      </c>
      <c r="T516">
        <v>1065</v>
      </c>
      <c r="V516" t="s">
        <v>87</v>
      </c>
      <c r="W516" t="s">
        <v>1509</v>
      </c>
      <c r="AF516" t="s">
        <v>102</v>
      </c>
      <c r="AH516" t="s">
        <v>1514</v>
      </c>
      <c r="AI516" t="s">
        <v>1253</v>
      </c>
    </row>
    <row r="517" spans="1:36">
      <c r="A517" t="s">
        <v>1515</v>
      </c>
      <c r="B517" t="s">
        <v>1516</v>
      </c>
      <c r="C517">
        <v>3</v>
      </c>
      <c r="D517" t="s">
        <v>130</v>
      </c>
      <c r="E517" t="s">
        <v>79</v>
      </c>
      <c r="F517" t="s">
        <v>79</v>
      </c>
      <c r="G517" t="s">
        <v>80</v>
      </c>
      <c r="H517" t="s">
        <v>81</v>
      </c>
      <c r="I517" t="s">
        <v>82</v>
      </c>
      <c r="J517" t="s">
        <v>604</v>
      </c>
      <c r="K517" t="s">
        <v>605</v>
      </c>
      <c r="L517" s="1">
        <v>45328</v>
      </c>
      <c r="N517" t="s">
        <v>108</v>
      </c>
      <c r="O517" t="s">
        <v>604</v>
      </c>
      <c r="P517">
        <v>0</v>
      </c>
      <c r="Q517" t="s">
        <v>86</v>
      </c>
      <c r="R517">
        <v>0</v>
      </c>
      <c r="S517">
        <v>0</v>
      </c>
      <c r="T517">
        <v>7100</v>
      </c>
      <c r="U517">
        <v>96322</v>
      </c>
      <c r="V517" t="s">
        <v>87</v>
      </c>
      <c r="W517" t="s">
        <v>1517</v>
      </c>
      <c r="AB517">
        <v>6868</v>
      </c>
      <c r="AC517" t="s">
        <v>305</v>
      </c>
      <c r="AD517">
        <v>6</v>
      </c>
      <c r="AE517" t="s">
        <v>160</v>
      </c>
      <c r="AF517" t="s">
        <v>102</v>
      </c>
      <c r="AH517">
        <v>3486000312</v>
      </c>
      <c r="AI517">
        <v>3486</v>
      </c>
      <c r="AJ517" t="s">
        <v>607</v>
      </c>
    </row>
    <row r="518" spans="1:36">
      <c r="A518" t="s">
        <v>1518</v>
      </c>
      <c r="B518" t="s">
        <v>1519</v>
      </c>
      <c r="C518" t="s">
        <v>139</v>
      </c>
      <c r="D518" t="s">
        <v>140</v>
      </c>
      <c r="E518" t="s">
        <v>79</v>
      </c>
      <c r="F518" t="s">
        <v>125</v>
      </c>
      <c r="G518" t="s">
        <v>80</v>
      </c>
      <c r="H518" t="s">
        <v>81</v>
      </c>
      <c r="P518">
        <v>0</v>
      </c>
      <c r="Q518" t="s">
        <v>86</v>
      </c>
      <c r="R518">
        <v>0</v>
      </c>
      <c r="S518">
        <v>0</v>
      </c>
      <c r="T518">
        <v>9500</v>
      </c>
      <c r="U518">
        <v>963472000</v>
      </c>
      <c r="V518" t="s">
        <v>327</v>
      </c>
    </row>
    <row r="519" spans="1:36">
      <c r="A519" t="s">
        <v>1520</v>
      </c>
      <c r="B519" t="s">
        <v>1521</v>
      </c>
      <c r="C519" t="s">
        <v>139</v>
      </c>
      <c r="D519" t="s">
        <v>140</v>
      </c>
      <c r="E519" t="s">
        <v>79</v>
      </c>
      <c r="F519" t="s">
        <v>125</v>
      </c>
      <c r="G519" t="s">
        <v>80</v>
      </c>
      <c r="H519" t="s">
        <v>81</v>
      </c>
      <c r="P519">
        <v>0</v>
      </c>
      <c r="Q519" t="s">
        <v>86</v>
      </c>
      <c r="R519">
        <v>0</v>
      </c>
      <c r="S519">
        <v>0</v>
      </c>
      <c r="T519">
        <v>7100</v>
      </c>
      <c r="U519">
        <v>963221504</v>
      </c>
      <c r="V519" t="s">
        <v>327</v>
      </c>
    </row>
    <row r="520" spans="1:36">
      <c r="A520" t="s">
        <v>1522</v>
      </c>
      <c r="B520" t="s">
        <v>1523</v>
      </c>
      <c r="C520" t="s">
        <v>139</v>
      </c>
      <c r="D520" t="s">
        <v>140</v>
      </c>
      <c r="E520" t="s">
        <v>79</v>
      </c>
      <c r="F520" t="s">
        <v>125</v>
      </c>
      <c r="G520" t="s">
        <v>80</v>
      </c>
      <c r="H520" t="s">
        <v>81</v>
      </c>
      <c r="P520">
        <v>0</v>
      </c>
      <c r="Q520" t="s">
        <v>86</v>
      </c>
      <c r="R520">
        <v>0</v>
      </c>
      <c r="S520">
        <v>0</v>
      </c>
      <c r="T520">
        <v>7100</v>
      </c>
      <c r="U520">
        <v>963221504</v>
      </c>
      <c r="V520" t="s">
        <v>327</v>
      </c>
    </row>
    <row r="521" spans="1:36">
      <c r="A521" t="s">
        <v>1524</v>
      </c>
      <c r="B521" t="s">
        <v>1525</v>
      </c>
      <c r="C521">
        <v>3</v>
      </c>
      <c r="D521" t="s">
        <v>133</v>
      </c>
      <c r="E521" t="s">
        <v>79</v>
      </c>
      <c r="F521" t="s">
        <v>79</v>
      </c>
      <c r="G521" t="s">
        <v>80</v>
      </c>
      <c r="H521" t="s">
        <v>81</v>
      </c>
      <c r="I521" t="s">
        <v>82</v>
      </c>
      <c r="J521" t="s">
        <v>301</v>
      </c>
      <c r="K521" t="s">
        <v>406</v>
      </c>
      <c r="L521">
        <v>4</v>
      </c>
      <c r="O521" t="s">
        <v>301</v>
      </c>
      <c r="P521">
        <v>0</v>
      </c>
      <c r="Q521" t="s">
        <v>86</v>
      </c>
      <c r="R521">
        <v>0</v>
      </c>
      <c r="S521">
        <v>0</v>
      </c>
      <c r="T521">
        <v>3950</v>
      </c>
      <c r="U521">
        <v>963700006</v>
      </c>
      <c r="V521" t="s">
        <v>87</v>
      </c>
      <c r="W521" t="s">
        <v>404</v>
      </c>
      <c r="AB521" t="s">
        <v>314</v>
      </c>
      <c r="AC521" t="s">
        <v>90</v>
      </c>
      <c r="AD521">
        <v>6</v>
      </c>
      <c r="AE521" t="s">
        <v>91</v>
      </c>
      <c r="AF521" t="s">
        <v>102</v>
      </c>
      <c r="AH521">
        <v>6173080030</v>
      </c>
      <c r="AI521">
        <v>6173</v>
      </c>
      <c r="AJ521" t="s">
        <v>407</v>
      </c>
    </row>
    <row r="522" spans="1:36">
      <c r="A522" t="s">
        <v>1526</v>
      </c>
      <c r="B522" t="s">
        <v>1527</v>
      </c>
      <c r="C522">
        <v>3</v>
      </c>
      <c r="D522" t="s">
        <v>174</v>
      </c>
      <c r="E522" t="s">
        <v>79</v>
      </c>
      <c r="F522" t="s">
        <v>79</v>
      </c>
      <c r="G522" t="s">
        <v>80</v>
      </c>
      <c r="H522" t="s">
        <v>81</v>
      </c>
      <c r="I522" t="s">
        <v>82</v>
      </c>
      <c r="J522" t="s">
        <v>95</v>
      </c>
      <c r="K522" t="s">
        <v>389</v>
      </c>
      <c r="L522">
        <v>4</v>
      </c>
      <c r="M522" t="s">
        <v>385</v>
      </c>
      <c r="O522" t="s">
        <v>98</v>
      </c>
      <c r="P522">
        <v>0</v>
      </c>
      <c r="Q522" t="s">
        <v>86</v>
      </c>
      <c r="R522">
        <v>0</v>
      </c>
      <c r="S522">
        <v>0</v>
      </c>
      <c r="T522">
        <v>4885</v>
      </c>
      <c r="U522">
        <v>963195000</v>
      </c>
      <c r="V522">
        <v>4</v>
      </c>
      <c r="W522" t="s">
        <v>390</v>
      </c>
      <c r="AB522" t="s">
        <v>391</v>
      </c>
      <c r="AC522" t="s">
        <v>90</v>
      </c>
      <c r="AD522">
        <v>6</v>
      </c>
      <c r="AE522" t="s">
        <v>101</v>
      </c>
      <c r="AF522" t="s">
        <v>102</v>
      </c>
      <c r="AH522">
        <v>6035002100</v>
      </c>
      <c r="AI522">
        <v>6035</v>
      </c>
      <c r="AJ522" t="s">
        <v>392</v>
      </c>
    </row>
    <row r="523" spans="1:36">
      <c r="A523" t="s">
        <v>1528</v>
      </c>
      <c r="B523" t="s">
        <v>1529</v>
      </c>
      <c r="C523">
        <v>3</v>
      </c>
      <c r="D523" t="s">
        <v>78</v>
      </c>
      <c r="E523" t="s">
        <v>79</v>
      </c>
      <c r="F523" t="s">
        <v>79</v>
      </c>
      <c r="G523" t="s">
        <v>80</v>
      </c>
      <c r="H523" t="s">
        <v>81</v>
      </c>
      <c r="I523" t="s">
        <v>82</v>
      </c>
      <c r="J523" t="s">
        <v>106</v>
      </c>
      <c r="K523" t="s">
        <v>1530</v>
      </c>
      <c r="L523">
        <v>4</v>
      </c>
      <c r="M523" t="s">
        <v>385</v>
      </c>
      <c r="O523" t="s">
        <v>98</v>
      </c>
      <c r="P523">
        <v>0</v>
      </c>
      <c r="Q523" t="s">
        <v>86</v>
      </c>
      <c r="R523">
        <v>0</v>
      </c>
      <c r="S523">
        <v>0</v>
      </c>
      <c r="T523">
        <v>9400</v>
      </c>
      <c r="U523">
        <v>963472600</v>
      </c>
      <c r="V523" t="s">
        <v>87</v>
      </c>
      <c r="W523" t="s">
        <v>659</v>
      </c>
      <c r="AB523">
        <v>4040</v>
      </c>
      <c r="AC523" t="s">
        <v>305</v>
      </c>
      <c r="AD523">
        <v>6</v>
      </c>
      <c r="AF523" t="s">
        <v>102</v>
      </c>
      <c r="AH523">
        <v>4222003412</v>
      </c>
      <c r="AI523">
        <v>4222</v>
      </c>
      <c r="AJ523" t="s">
        <v>660</v>
      </c>
    </row>
    <row r="524" spans="1:36">
      <c r="A524" t="s">
        <v>1531</v>
      </c>
      <c r="B524" t="s">
        <v>1532</v>
      </c>
      <c r="C524">
        <v>3</v>
      </c>
      <c r="D524" t="s">
        <v>78</v>
      </c>
      <c r="E524" t="s">
        <v>79</v>
      </c>
      <c r="F524" t="s">
        <v>79</v>
      </c>
      <c r="G524" t="s">
        <v>80</v>
      </c>
      <c r="H524" t="s">
        <v>81</v>
      </c>
      <c r="I524" t="s">
        <v>82</v>
      </c>
      <c r="J524" t="s">
        <v>95</v>
      </c>
      <c r="K524" t="s">
        <v>96</v>
      </c>
      <c r="L524">
        <v>95</v>
      </c>
      <c r="N524" t="s">
        <v>97</v>
      </c>
      <c r="O524" t="s">
        <v>98</v>
      </c>
      <c r="P524">
        <v>0</v>
      </c>
      <c r="Q524" t="s">
        <v>86</v>
      </c>
      <c r="R524">
        <v>0</v>
      </c>
      <c r="S524">
        <v>0</v>
      </c>
      <c r="T524">
        <v>9500</v>
      </c>
      <c r="V524" t="s">
        <v>87</v>
      </c>
      <c r="W524" t="s">
        <v>352</v>
      </c>
      <c r="AB524" t="s">
        <v>100</v>
      </c>
      <c r="AC524" t="s">
        <v>90</v>
      </c>
      <c r="AD524">
        <v>6</v>
      </c>
      <c r="AE524" t="s">
        <v>101</v>
      </c>
      <c r="AF524" t="s">
        <v>102</v>
      </c>
      <c r="AH524">
        <v>6086000710</v>
      </c>
      <c r="AI524">
        <v>6086</v>
      </c>
      <c r="AJ524" t="s">
        <v>355</v>
      </c>
    </row>
    <row r="525" spans="1:36">
      <c r="A525" t="s">
        <v>755</v>
      </c>
      <c r="B525" t="s">
        <v>1533</v>
      </c>
      <c r="C525">
        <v>3</v>
      </c>
      <c r="D525" t="s">
        <v>78</v>
      </c>
      <c r="E525" t="s">
        <v>79</v>
      </c>
      <c r="F525" t="s">
        <v>79</v>
      </c>
      <c r="G525" t="s">
        <v>80</v>
      </c>
      <c r="H525" t="s">
        <v>81</v>
      </c>
      <c r="I525" t="s">
        <v>82</v>
      </c>
      <c r="J525" t="s">
        <v>114</v>
      </c>
      <c r="K525" t="s">
        <v>115</v>
      </c>
      <c r="L525">
        <v>4</v>
      </c>
      <c r="O525" t="s">
        <v>98</v>
      </c>
      <c r="P525">
        <v>0</v>
      </c>
      <c r="Q525" t="s">
        <v>86</v>
      </c>
      <c r="R525">
        <v>0</v>
      </c>
      <c r="S525">
        <v>0</v>
      </c>
      <c r="T525">
        <v>9500</v>
      </c>
      <c r="U525">
        <v>963490012</v>
      </c>
      <c r="V525">
        <v>3</v>
      </c>
      <c r="W525" t="s">
        <v>1534</v>
      </c>
      <c r="AB525" t="s">
        <v>116</v>
      </c>
      <c r="AC525" t="s">
        <v>90</v>
      </c>
      <c r="AD525">
        <v>6</v>
      </c>
      <c r="AE525" t="s">
        <v>91</v>
      </c>
      <c r="AF525" t="s">
        <v>102</v>
      </c>
      <c r="AH525">
        <v>3352000300</v>
      </c>
      <c r="AI525">
        <v>3352</v>
      </c>
      <c r="AJ525" t="s">
        <v>756</v>
      </c>
    </row>
    <row r="526" spans="1:36">
      <c r="A526" t="s">
        <v>1535</v>
      </c>
      <c r="B526" t="s">
        <v>1536</v>
      </c>
      <c r="C526">
        <v>0</v>
      </c>
      <c r="D526" t="s">
        <v>78</v>
      </c>
      <c r="E526" t="s">
        <v>79</v>
      </c>
      <c r="F526" t="s">
        <v>125</v>
      </c>
      <c r="G526" t="s">
        <v>80</v>
      </c>
      <c r="H526" t="s">
        <v>81</v>
      </c>
      <c r="I526" t="s">
        <v>82</v>
      </c>
      <c r="P526">
        <v>0</v>
      </c>
      <c r="Q526" t="s">
        <v>86</v>
      </c>
      <c r="R526">
        <v>0</v>
      </c>
      <c r="S526">
        <v>0</v>
      </c>
      <c r="T526">
        <v>9500</v>
      </c>
      <c r="U526">
        <v>963490001</v>
      </c>
      <c r="V526" t="s">
        <v>327</v>
      </c>
      <c r="AH526">
        <v>3128950</v>
      </c>
      <c r="AI526">
        <v>3128</v>
      </c>
    </row>
    <row r="527" spans="1:36">
      <c r="A527" t="s">
        <v>1537</v>
      </c>
      <c r="B527" t="s">
        <v>1538</v>
      </c>
      <c r="C527">
        <v>0</v>
      </c>
      <c r="D527" t="s">
        <v>133</v>
      </c>
      <c r="E527" t="s">
        <v>79</v>
      </c>
      <c r="F527" t="s">
        <v>125</v>
      </c>
      <c r="G527" t="s">
        <v>80</v>
      </c>
      <c r="H527" t="s">
        <v>81</v>
      </c>
      <c r="I527" t="s">
        <v>82</v>
      </c>
      <c r="P527">
        <v>0</v>
      </c>
      <c r="Q527" t="s">
        <v>86</v>
      </c>
      <c r="R527">
        <v>0</v>
      </c>
      <c r="S527">
        <v>0</v>
      </c>
      <c r="T527">
        <v>5615</v>
      </c>
      <c r="U527">
        <v>963701150</v>
      </c>
      <c r="V527" t="s">
        <v>327</v>
      </c>
      <c r="AH527">
        <v>3128500</v>
      </c>
      <c r="AI527">
        <v>3128</v>
      </c>
    </row>
    <row r="528" spans="1:36">
      <c r="A528" t="s">
        <v>1539</v>
      </c>
      <c r="B528" t="s">
        <v>1540</v>
      </c>
      <c r="C528">
        <v>0</v>
      </c>
      <c r="D528" t="s">
        <v>174</v>
      </c>
      <c r="E528" t="s">
        <v>79</v>
      </c>
      <c r="F528" t="s">
        <v>125</v>
      </c>
      <c r="G528" t="s">
        <v>80</v>
      </c>
      <c r="H528" t="s">
        <v>81</v>
      </c>
      <c r="I528" t="s">
        <v>82</v>
      </c>
      <c r="P528">
        <v>0</v>
      </c>
      <c r="Q528" t="s">
        <v>86</v>
      </c>
      <c r="R528">
        <v>0</v>
      </c>
      <c r="S528">
        <v>0</v>
      </c>
      <c r="T528">
        <v>600</v>
      </c>
      <c r="U528">
        <v>963061215</v>
      </c>
      <c r="V528" t="s">
        <v>327</v>
      </c>
    </row>
    <row r="529" spans="1:35">
      <c r="A529" t="s">
        <v>1541</v>
      </c>
      <c r="B529" t="s">
        <v>989</v>
      </c>
      <c r="C529">
        <v>0</v>
      </c>
      <c r="D529" t="s">
        <v>130</v>
      </c>
      <c r="E529" t="s">
        <v>79</v>
      </c>
      <c r="F529" t="s">
        <v>125</v>
      </c>
      <c r="G529" t="s">
        <v>80</v>
      </c>
      <c r="H529" t="s">
        <v>81</v>
      </c>
      <c r="I529" t="s">
        <v>82</v>
      </c>
      <c r="P529">
        <v>0</v>
      </c>
      <c r="Q529" t="s">
        <v>86</v>
      </c>
      <c r="R529">
        <v>0</v>
      </c>
      <c r="S529">
        <v>0</v>
      </c>
      <c r="T529">
        <v>7100</v>
      </c>
      <c r="U529">
        <v>963221100</v>
      </c>
      <c r="V529" t="s">
        <v>327</v>
      </c>
    </row>
    <row r="530" spans="1:35">
      <c r="A530" t="s">
        <v>1542</v>
      </c>
      <c r="B530" t="s">
        <v>1543</v>
      </c>
      <c r="C530">
        <v>0</v>
      </c>
      <c r="D530" t="s">
        <v>174</v>
      </c>
      <c r="E530" t="s">
        <v>79</v>
      </c>
      <c r="F530" t="s">
        <v>125</v>
      </c>
      <c r="G530" t="s">
        <v>80</v>
      </c>
      <c r="H530" t="s">
        <v>81</v>
      </c>
      <c r="I530" t="s">
        <v>82</v>
      </c>
      <c r="P530">
        <v>0</v>
      </c>
      <c r="Q530" t="s">
        <v>86</v>
      </c>
      <c r="R530">
        <v>0</v>
      </c>
      <c r="S530">
        <v>0</v>
      </c>
      <c r="T530">
        <v>4885</v>
      </c>
      <c r="U530">
        <v>963195000</v>
      </c>
      <c r="V530" t="s">
        <v>327</v>
      </c>
    </row>
    <row r="531" spans="1:35">
      <c r="A531" t="s">
        <v>258</v>
      </c>
      <c r="B531" t="s">
        <v>1544</v>
      </c>
      <c r="C531">
        <v>3</v>
      </c>
      <c r="D531" t="s">
        <v>190</v>
      </c>
      <c r="E531" t="s">
        <v>79</v>
      </c>
      <c r="F531" t="s">
        <v>79</v>
      </c>
      <c r="J531" t="s">
        <v>191</v>
      </c>
      <c r="O531" t="s">
        <v>243</v>
      </c>
      <c r="P531">
        <v>0</v>
      </c>
      <c r="Q531" t="s">
        <v>86</v>
      </c>
      <c r="R531">
        <v>0</v>
      </c>
      <c r="S531">
        <v>0</v>
      </c>
      <c r="T531">
        <v>1060</v>
      </c>
      <c r="V531">
        <v>4</v>
      </c>
      <c r="W531" t="s">
        <v>249</v>
      </c>
      <c r="AF531" t="s">
        <v>102</v>
      </c>
      <c r="AH531" t="s">
        <v>1545</v>
      </c>
      <c r="AI531" t="s">
        <v>251</v>
      </c>
    </row>
    <row r="532" spans="1:35">
      <c r="A532" t="s">
        <v>1546</v>
      </c>
      <c r="B532" t="s">
        <v>1547</v>
      </c>
      <c r="C532">
        <v>3</v>
      </c>
      <c r="D532" t="s">
        <v>78</v>
      </c>
      <c r="E532" t="s">
        <v>79</v>
      </c>
      <c r="F532" t="s">
        <v>125</v>
      </c>
      <c r="G532" t="s">
        <v>80</v>
      </c>
      <c r="H532" t="s">
        <v>81</v>
      </c>
      <c r="I532" t="s">
        <v>82</v>
      </c>
      <c r="P532">
        <v>0</v>
      </c>
      <c r="Q532" t="s">
        <v>86</v>
      </c>
      <c r="R532">
        <v>0</v>
      </c>
      <c r="S532">
        <v>0</v>
      </c>
      <c r="T532">
        <v>9500</v>
      </c>
      <c r="U532">
        <v>963490135</v>
      </c>
      <c r="V532" t="s">
        <v>327</v>
      </c>
    </row>
    <row r="533" spans="1:35">
      <c r="A533" t="s">
        <v>1548</v>
      </c>
      <c r="B533" t="s">
        <v>1549</v>
      </c>
      <c r="C533">
        <v>3</v>
      </c>
      <c r="D533" t="s">
        <v>190</v>
      </c>
      <c r="E533" t="s">
        <v>79</v>
      </c>
      <c r="F533" t="s">
        <v>79</v>
      </c>
      <c r="J533" t="s">
        <v>191</v>
      </c>
      <c r="O533" t="s">
        <v>243</v>
      </c>
      <c r="P533">
        <v>0</v>
      </c>
      <c r="Q533" t="s">
        <v>86</v>
      </c>
      <c r="R533">
        <v>0</v>
      </c>
      <c r="S533">
        <v>0</v>
      </c>
      <c r="T533">
        <v>1065</v>
      </c>
      <c r="U533">
        <v>966037181</v>
      </c>
      <c r="V533">
        <v>6</v>
      </c>
      <c r="W533" t="s">
        <v>1550</v>
      </c>
      <c r="AF533" t="s">
        <v>102</v>
      </c>
      <c r="AH533" t="s">
        <v>1551</v>
      </c>
      <c r="AI533" t="s">
        <v>574</v>
      </c>
    </row>
    <row r="534" spans="1:35">
      <c r="A534" t="s">
        <v>1336</v>
      </c>
      <c r="B534" t="s">
        <v>1552</v>
      </c>
      <c r="C534">
        <v>3</v>
      </c>
      <c r="D534" t="s">
        <v>190</v>
      </c>
      <c r="E534" t="s">
        <v>79</v>
      </c>
      <c r="F534" t="s">
        <v>79</v>
      </c>
      <c r="J534" t="s">
        <v>191</v>
      </c>
      <c r="O534" t="s">
        <v>243</v>
      </c>
      <c r="P534">
        <v>0</v>
      </c>
      <c r="Q534" t="s">
        <v>86</v>
      </c>
      <c r="R534">
        <v>0</v>
      </c>
      <c r="S534">
        <v>0</v>
      </c>
      <c r="T534">
        <v>1060</v>
      </c>
      <c r="V534">
        <v>5</v>
      </c>
      <c r="W534" t="s">
        <v>1322</v>
      </c>
      <c r="AF534" t="s">
        <v>102</v>
      </c>
      <c r="AH534" t="s">
        <v>1553</v>
      </c>
      <c r="AI534" t="s">
        <v>1338</v>
      </c>
    </row>
    <row r="535" spans="1:35">
      <c r="A535" t="s">
        <v>1341</v>
      </c>
      <c r="B535" t="s">
        <v>1554</v>
      </c>
      <c r="C535">
        <v>3</v>
      </c>
      <c r="D535" t="s">
        <v>190</v>
      </c>
      <c r="E535" t="s">
        <v>79</v>
      </c>
      <c r="F535" t="s">
        <v>79</v>
      </c>
      <c r="J535" t="s">
        <v>191</v>
      </c>
      <c r="O535" t="s">
        <v>243</v>
      </c>
      <c r="P535">
        <v>0</v>
      </c>
      <c r="Q535" t="s">
        <v>86</v>
      </c>
      <c r="R535">
        <v>0</v>
      </c>
      <c r="S535">
        <v>0</v>
      </c>
      <c r="T535">
        <v>1060</v>
      </c>
      <c r="V535">
        <v>5</v>
      </c>
      <c r="W535" t="s">
        <v>1322</v>
      </c>
      <c r="AF535" t="s">
        <v>102</v>
      </c>
      <c r="AH535" t="s">
        <v>1555</v>
      </c>
      <c r="AI535" t="s">
        <v>1324</v>
      </c>
    </row>
    <row r="536" spans="1:35">
      <c r="A536" t="s">
        <v>1556</v>
      </c>
      <c r="B536" t="s">
        <v>1557</v>
      </c>
      <c r="C536">
        <v>3</v>
      </c>
      <c r="D536" t="s">
        <v>190</v>
      </c>
      <c r="E536" t="s">
        <v>79</v>
      </c>
      <c r="F536" t="s">
        <v>125</v>
      </c>
      <c r="P536">
        <v>0</v>
      </c>
      <c r="Q536" t="s">
        <v>86</v>
      </c>
      <c r="R536">
        <v>0</v>
      </c>
      <c r="S536">
        <v>0</v>
      </c>
      <c r="T536">
        <v>1060</v>
      </c>
      <c r="V536" t="s">
        <v>87</v>
      </c>
      <c r="W536" t="s">
        <v>258</v>
      </c>
    </row>
    <row r="537" spans="1:35">
      <c r="A537" t="s">
        <v>671</v>
      </c>
      <c r="B537" t="s">
        <v>1558</v>
      </c>
      <c r="C537">
        <v>3</v>
      </c>
      <c r="D537" t="s">
        <v>190</v>
      </c>
      <c r="E537" t="s">
        <v>79</v>
      </c>
      <c r="F537" t="s">
        <v>79</v>
      </c>
      <c r="J537" t="s">
        <v>191</v>
      </c>
      <c r="O537" t="s">
        <v>243</v>
      </c>
      <c r="P537">
        <v>0</v>
      </c>
      <c r="Q537" t="s">
        <v>86</v>
      </c>
      <c r="R537">
        <v>0</v>
      </c>
      <c r="S537">
        <v>0</v>
      </c>
      <c r="T537">
        <v>1060</v>
      </c>
      <c r="V537">
        <v>5</v>
      </c>
      <c r="W537" t="s">
        <v>1362</v>
      </c>
      <c r="AF537" t="s">
        <v>102</v>
      </c>
      <c r="AH537" t="s">
        <v>1559</v>
      </c>
      <c r="AI537" t="s">
        <v>673</v>
      </c>
    </row>
    <row r="538" spans="1:35">
      <c r="A538" t="s">
        <v>1366</v>
      </c>
      <c r="B538" t="s">
        <v>1560</v>
      </c>
      <c r="C538">
        <v>3</v>
      </c>
      <c r="D538" t="s">
        <v>190</v>
      </c>
      <c r="E538" t="s">
        <v>79</v>
      </c>
      <c r="F538" t="s">
        <v>79</v>
      </c>
      <c r="J538" t="s">
        <v>191</v>
      </c>
      <c r="O538" t="s">
        <v>243</v>
      </c>
      <c r="P538">
        <v>0</v>
      </c>
      <c r="Q538" t="s">
        <v>86</v>
      </c>
      <c r="R538">
        <v>0</v>
      </c>
      <c r="S538">
        <v>0</v>
      </c>
      <c r="T538">
        <v>1060</v>
      </c>
      <c r="U538">
        <v>966048422</v>
      </c>
      <c r="V538">
        <v>5</v>
      </c>
      <c r="W538" t="s">
        <v>1362</v>
      </c>
      <c r="AF538" t="s">
        <v>102</v>
      </c>
      <c r="AH538" t="s">
        <v>1561</v>
      </c>
      <c r="AI538" t="s">
        <v>1368</v>
      </c>
    </row>
    <row r="539" spans="1:35">
      <c r="A539" t="s">
        <v>1251</v>
      </c>
      <c r="B539" t="s">
        <v>1562</v>
      </c>
      <c r="C539">
        <v>3</v>
      </c>
      <c r="D539" t="s">
        <v>190</v>
      </c>
      <c r="E539" t="s">
        <v>79</v>
      </c>
      <c r="F539" t="s">
        <v>79</v>
      </c>
      <c r="J539" t="s">
        <v>191</v>
      </c>
      <c r="O539" t="s">
        <v>243</v>
      </c>
      <c r="P539">
        <v>0</v>
      </c>
      <c r="Q539" t="s">
        <v>86</v>
      </c>
      <c r="R539">
        <v>0</v>
      </c>
      <c r="S539">
        <v>0</v>
      </c>
      <c r="T539">
        <v>1060</v>
      </c>
      <c r="V539">
        <v>6</v>
      </c>
      <c r="W539" t="s">
        <v>1509</v>
      </c>
      <c r="AF539" t="s">
        <v>102</v>
      </c>
      <c r="AH539" t="s">
        <v>1563</v>
      </c>
      <c r="AI539" t="s">
        <v>1253</v>
      </c>
    </row>
    <row r="540" spans="1:35">
      <c r="A540" t="s">
        <v>1564</v>
      </c>
      <c r="B540" t="s">
        <v>1565</v>
      </c>
      <c r="C540">
        <v>3</v>
      </c>
      <c r="D540" t="s">
        <v>190</v>
      </c>
      <c r="E540" t="s">
        <v>79</v>
      </c>
      <c r="F540" t="s">
        <v>79</v>
      </c>
      <c r="J540" t="s">
        <v>191</v>
      </c>
      <c r="O540" t="s">
        <v>243</v>
      </c>
      <c r="P540">
        <v>0</v>
      </c>
      <c r="Q540" t="s">
        <v>86</v>
      </c>
      <c r="R540">
        <v>0</v>
      </c>
      <c r="S540">
        <v>0</v>
      </c>
      <c r="T540">
        <v>1060</v>
      </c>
      <c r="V540">
        <v>5</v>
      </c>
      <c r="W540" t="s">
        <v>1362</v>
      </c>
      <c r="AF540" t="s">
        <v>102</v>
      </c>
      <c r="AH540" t="s">
        <v>1566</v>
      </c>
      <c r="AI540" t="s">
        <v>1355</v>
      </c>
    </row>
    <row r="541" spans="1:35">
      <c r="A541" t="s">
        <v>1348</v>
      </c>
      <c r="B541" t="s">
        <v>1567</v>
      </c>
      <c r="C541">
        <v>3</v>
      </c>
      <c r="D541" t="s">
        <v>190</v>
      </c>
      <c r="E541" t="s">
        <v>79</v>
      </c>
      <c r="F541" t="s">
        <v>79</v>
      </c>
      <c r="J541" t="s">
        <v>191</v>
      </c>
      <c r="O541" t="s">
        <v>243</v>
      </c>
      <c r="P541">
        <v>0</v>
      </c>
      <c r="Q541" t="s">
        <v>86</v>
      </c>
      <c r="R541">
        <v>0</v>
      </c>
      <c r="S541">
        <v>0</v>
      </c>
      <c r="T541">
        <v>1060</v>
      </c>
      <c r="V541">
        <v>5</v>
      </c>
      <c r="W541" t="s">
        <v>1362</v>
      </c>
      <c r="AF541" t="s">
        <v>102</v>
      </c>
      <c r="AH541" t="s">
        <v>1568</v>
      </c>
      <c r="AI541" t="s">
        <v>1350</v>
      </c>
    </row>
    <row r="542" spans="1:35">
      <c r="A542" t="s">
        <v>1569</v>
      </c>
      <c r="B542" t="s">
        <v>1570</v>
      </c>
      <c r="C542">
        <v>3</v>
      </c>
      <c r="D542" t="s">
        <v>190</v>
      </c>
      <c r="E542" t="s">
        <v>79</v>
      </c>
      <c r="F542" t="s">
        <v>79</v>
      </c>
      <c r="J542" t="s">
        <v>191</v>
      </c>
      <c r="O542" t="s">
        <v>243</v>
      </c>
      <c r="P542">
        <v>0</v>
      </c>
      <c r="Q542" t="s">
        <v>86</v>
      </c>
      <c r="R542">
        <v>0</v>
      </c>
      <c r="S542">
        <v>0</v>
      </c>
      <c r="T542">
        <v>1060</v>
      </c>
      <c r="V542" t="s">
        <v>87</v>
      </c>
      <c r="W542" t="s">
        <v>1571</v>
      </c>
      <c r="AF542" t="s">
        <v>102</v>
      </c>
      <c r="AH542" t="s">
        <v>1572</v>
      </c>
      <c r="AI542" t="s">
        <v>251</v>
      </c>
    </row>
    <row r="543" spans="1:35">
      <c r="A543" t="s">
        <v>254</v>
      </c>
      <c r="B543" t="s">
        <v>1573</v>
      </c>
      <c r="C543">
        <v>3</v>
      </c>
      <c r="D543" t="s">
        <v>190</v>
      </c>
      <c r="E543" t="s">
        <v>79</v>
      </c>
      <c r="F543" t="s">
        <v>79</v>
      </c>
      <c r="J543" t="s">
        <v>191</v>
      </c>
      <c r="O543" t="s">
        <v>243</v>
      </c>
      <c r="P543">
        <v>0</v>
      </c>
      <c r="Q543" t="s">
        <v>86</v>
      </c>
      <c r="R543">
        <v>0</v>
      </c>
      <c r="S543">
        <v>0</v>
      </c>
      <c r="T543">
        <v>1060</v>
      </c>
      <c r="V543">
        <v>4</v>
      </c>
      <c r="W543" t="s">
        <v>249</v>
      </c>
      <c r="AF543" t="s">
        <v>102</v>
      </c>
      <c r="AH543" t="s">
        <v>1574</v>
      </c>
      <c r="AI543" t="s">
        <v>251</v>
      </c>
    </row>
    <row r="544" spans="1:35">
      <c r="A544" t="s">
        <v>244</v>
      </c>
      <c r="B544" t="s">
        <v>1575</v>
      </c>
      <c r="C544">
        <v>3</v>
      </c>
      <c r="D544" t="s">
        <v>190</v>
      </c>
      <c r="E544" t="s">
        <v>79</v>
      </c>
      <c r="F544" t="s">
        <v>79</v>
      </c>
      <c r="J544" t="s">
        <v>191</v>
      </c>
      <c r="O544" t="s">
        <v>243</v>
      </c>
      <c r="P544">
        <v>0</v>
      </c>
      <c r="Q544" t="s">
        <v>86</v>
      </c>
      <c r="R544">
        <v>0</v>
      </c>
      <c r="S544">
        <v>0</v>
      </c>
      <c r="T544">
        <v>1060</v>
      </c>
      <c r="V544">
        <v>5</v>
      </c>
      <c r="W544" t="s">
        <v>258</v>
      </c>
      <c r="AF544" t="s">
        <v>102</v>
      </c>
      <c r="AH544" t="s">
        <v>1576</v>
      </c>
      <c r="AI544" t="s">
        <v>246</v>
      </c>
    </row>
    <row r="545" spans="1:36">
      <c r="A545" t="s">
        <v>1577</v>
      </c>
      <c r="B545" t="s">
        <v>1578</v>
      </c>
      <c r="C545">
        <v>3</v>
      </c>
      <c r="D545" t="s">
        <v>78</v>
      </c>
      <c r="E545" t="s">
        <v>79</v>
      </c>
      <c r="F545" t="s">
        <v>79</v>
      </c>
      <c r="G545" t="s">
        <v>80</v>
      </c>
      <c r="H545" t="s">
        <v>81</v>
      </c>
      <c r="I545" t="s">
        <v>82</v>
      </c>
      <c r="J545" t="s">
        <v>95</v>
      </c>
      <c r="K545" t="s">
        <v>96</v>
      </c>
      <c r="L545">
        <v>97</v>
      </c>
      <c r="N545" t="s">
        <v>97</v>
      </c>
      <c r="O545" t="s">
        <v>98</v>
      </c>
      <c r="P545">
        <v>0</v>
      </c>
      <c r="Q545" t="s">
        <v>86</v>
      </c>
      <c r="R545">
        <v>0</v>
      </c>
      <c r="S545">
        <v>0</v>
      </c>
      <c r="T545">
        <v>9500</v>
      </c>
      <c r="U545">
        <v>96349</v>
      </c>
      <c r="V545" t="s">
        <v>87</v>
      </c>
      <c r="W545" t="s">
        <v>376</v>
      </c>
      <c r="AB545" t="s">
        <v>198</v>
      </c>
      <c r="AC545" t="s">
        <v>90</v>
      </c>
      <c r="AD545">
        <v>6</v>
      </c>
      <c r="AE545" t="s">
        <v>101</v>
      </c>
      <c r="AF545" t="s">
        <v>102</v>
      </c>
      <c r="AH545">
        <v>4640000202</v>
      </c>
      <c r="AI545">
        <v>4640</v>
      </c>
      <c r="AJ545" t="s">
        <v>379</v>
      </c>
    </row>
    <row r="546" spans="1:36">
      <c r="A546" t="s">
        <v>1579</v>
      </c>
      <c r="B546" t="s">
        <v>1580</v>
      </c>
      <c r="C546">
        <v>3</v>
      </c>
      <c r="D546" t="s">
        <v>133</v>
      </c>
      <c r="E546" t="s">
        <v>125</v>
      </c>
      <c r="F546" t="s">
        <v>125</v>
      </c>
      <c r="G546" t="s">
        <v>80</v>
      </c>
      <c r="H546" t="s">
        <v>81</v>
      </c>
      <c r="I546" t="s">
        <v>82</v>
      </c>
      <c r="P546">
        <v>0</v>
      </c>
      <c r="Q546" t="s">
        <v>86</v>
      </c>
      <c r="R546">
        <v>0</v>
      </c>
      <c r="S546">
        <v>0</v>
      </c>
      <c r="T546">
        <v>3950</v>
      </c>
      <c r="V546" t="s">
        <v>87</v>
      </c>
      <c r="W546" t="s">
        <v>1581</v>
      </c>
      <c r="AB546" t="s">
        <v>278</v>
      </c>
      <c r="AC546" t="s">
        <v>90</v>
      </c>
      <c r="AH546">
        <v>9110900002</v>
      </c>
      <c r="AI546">
        <v>9110</v>
      </c>
      <c r="AJ546" t="s">
        <v>514</v>
      </c>
    </row>
    <row r="547" spans="1:36">
      <c r="A547" t="s">
        <v>1582</v>
      </c>
      <c r="B547" t="s">
        <v>1583</v>
      </c>
      <c r="C547">
        <v>4</v>
      </c>
      <c r="D547" t="s">
        <v>78</v>
      </c>
      <c r="E547" t="s">
        <v>79</v>
      </c>
      <c r="F547" t="s">
        <v>79</v>
      </c>
      <c r="G547" t="s">
        <v>1584</v>
      </c>
      <c r="H547" t="s">
        <v>1585</v>
      </c>
      <c r="I547" t="s">
        <v>1586</v>
      </c>
      <c r="J547" t="s">
        <v>1587</v>
      </c>
      <c r="O547" t="s">
        <v>1588</v>
      </c>
      <c r="P547">
        <v>0</v>
      </c>
      <c r="Q547" t="s">
        <v>86</v>
      </c>
      <c r="R547">
        <v>0</v>
      </c>
      <c r="S547">
        <v>0</v>
      </c>
      <c r="T547">
        <v>9500</v>
      </c>
      <c r="U547">
        <v>3280000</v>
      </c>
      <c r="V547" t="s">
        <v>157</v>
      </c>
      <c r="W547" t="s">
        <v>1589</v>
      </c>
      <c r="AD547" t="s">
        <v>1590</v>
      </c>
      <c r="AE547" t="s">
        <v>91</v>
      </c>
      <c r="AF547" t="s">
        <v>102</v>
      </c>
    </row>
    <row r="548" spans="1:36">
      <c r="A548" t="s">
        <v>271</v>
      </c>
      <c r="B548" t="s">
        <v>1591</v>
      </c>
      <c r="C548">
        <v>3</v>
      </c>
      <c r="D548" t="s">
        <v>78</v>
      </c>
      <c r="E548" t="s">
        <v>79</v>
      </c>
      <c r="F548" t="s">
        <v>79</v>
      </c>
      <c r="G548" t="s">
        <v>80</v>
      </c>
      <c r="H548" t="s">
        <v>81</v>
      </c>
      <c r="I548" t="s">
        <v>82</v>
      </c>
      <c r="J548" t="s">
        <v>153</v>
      </c>
      <c r="K548" t="s">
        <v>269</v>
      </c>
      <c r="L548">
        <v>95</v>
      </c>
      <c r="N548" t="s">
        <v>270</v>
      </c>
      <c r="O548" t="s">
        <v>156</v>
      </c>
      <c r="P548">
        <v>0</v>
      </c>
      <c r="Q548" t="s">
        <v>86</v>
      </c>
      <c r="R548">
        <v>0</v>
      </c>
      <c r="S548">
        <v>0</v>
      </c>
      <c r="T548">
        <v>9500</v>
      </c>
      <c r="V548" t="s">
        <v>87</v>
      </c>
      <c r="W548" t="s">
        <v>1592</v>
      </c>
      <c r="AB548" t="s">
        <v>216</v>
      </c>
      <c r="AC548" t="s">
        <v>90</v>
      </c>
      <c r="AD548">
        <v>6</v>
      </c>
      <c r="AE548" t="s">
        <v>160</v>
      </c>
      <c r="AF548" t="s">
        <v>102</v>
      </c>
      <c r="AH548">
        <v>1980068507</v>
      </c>
      <c r="AI548">
        <v>1980</v>
      </c>
      <c r="AJ548" t="s">
        <v>620</v>
      </c>
    </row>
    <row r="549" spans="1:36">
      <c r="A549" t="s">
        <v>1593</v>
      </c>
      <c r="B549" t="s">
        <v>1594</v>
      </c>
      <c r="C549">
        <v>3</v>
      </c>
      <c r="D549" t="s">
        <v>174</v>
      </c>
      <c r="E549" t="s">
        <v>79</v>
      </c>
      <c r="F549" t="s">
        <v>79</v>
      </c>
      <c r="G549" t="s">
        <v>80</v>
      </c>
      <c r="H549" t="s">
        <v>81</v>
      </c>
      <c r="I549" t="s">
        <v>82</v>
      </c>
      <c r="J549" t="s">
        <v>301</v>
      </c>
      <c r="K549" t="s">
        <v>406</v>
      </c>
      <c r="L549">
        <v>4</v>
      </c>
      <c r="O549" t="s">
        <v>301</v>
      </c>
      <c r="P549">
        <v>0</v>
      </c>
      <c r="Q549" t="s">
        <v>86</v>
      </c>
      <c r="R549">
        <v>0</v>
      </c>
      <c r="S549">
        <v>0</v>
      </c>
      <c r="T549">
        <v>600</v>
      </c>
      <c r="V549" t="s">
        <v>87</v>
      </c>
      <c r="W549" t="s">
        <v>404</v>
      </c>
      <c r="AB549" t="s">
        <v>314</v>
      </c>
      <c r="AC549" t="s">
        <v>90</v>
      </c>
      <c r="AD549">
        <v>6</v>
      </c>
      <c r="AE549" t="s">
        <v>91</v>
      </c>
      <c r="AF549" t="s">
        <v>102</v>
      </c>
      <c r="AH549">
        <v>6173080002</v>
      </c>
      <c r="AI549">
        <v>6173</v>
      </c>
      <c r="AJ549" t="s">
        <v>407</v>
      </c>
    </row>
    <row r="550" spans="1:36">
      <c r="A550" t="s">
        <v>1595</v>
      </c>
      <c r="B550" t="s">
        <v>1596</v>
      </c>
      <c r="C550">
        <v>3</v>
      </c>
      <c r="D550" t="s">
        <v>174</v>
      </c>
      <c r="E550" t="s">
        <v>79</v>
      </c>
      <c r="F550" t="s">
        <v>79</v>
      </c>
      <c r="G550" t="s">
        <v>80</v>
      </c>
      <c r="H550" t="s">
        <v>81</v>
      </c>
      <c r="I550" t="s">
        <v>82</v>
      </c>
      <c r="J550" t="s">
        <v>301</v>
      </c>
      <c r="K550" t="s">
        <v>406</v>
      </c>
      <c r="L550">
        <v>4</v>
      </c>
      <c r="O550" t="s">
        <v>301</v>
      </c>
      <c r="P550">
        <v>0</v>
      </c>
      <c r="Q550" t="s">
        <v>86</v>
      </c>
      <c r="R550">
        <v>0</v>
      </c>
      <c r="S550">
        <v>0</v>
      </c>
      <c r="T550">
        <v>4885</v>
      </c>
      <c r="V550" t="s">
        <v>87</v>
      </c>
      <c r="W550" t="s">
        <v>404</v>
      </c>
      <c r="AB550" t="s">
        <v>314</v>
      </c>
      <c r="AC550" t="s">
        <v>90</v>
      </c>
      <c r="AD550">
        <v>6</v>
      </c>
      <c r="AE550" t="s">
        <v>91</v>
      </c>
      <c r="AF550" t="s">
        <v>102</v>
      </c>
      <c r="AH550">
        <v>6173080004</v>
      </c>
      <c r="AI550">
        <v>6173</v>
      </c>
      <c r="AJ550" t="s">
        <v>407</v>
      </c>
    </row>
    <row r="551" spans="1:36">
      <c r="A551" t="s">
        <v>1597</v>
      </c>
      <c r="B551" t="s">
        <v>1598</v>
      </c>
      <c r="C551">
        <v>3</v>
      </c>
      <c r="D551" t="s">
        <v>130</v>
      </c>
      <c r="E551" t="s">
        <v>125</v>
      </c>
      <c r="F551" t="s">
        <v>125</v>
      </c>
      <c r="G551" t="s">
        <v>80</v>
      </c>
      <c r="H551" t="s">
        <v>81</v>
      </c>
      <c r="P551">
        <v>0</v>
      </c>
      <c r="Q551" t="s">
        <v>86</v>
      </c>
      <c r="R551">
        <v>0</v>
      </c>
      <c r="S551">
        <v>0</v>
      </c>
      <c r="T551">
        <v>7100</v>
      </c>
      <c r="U551" t="s">
        <v>1599</v>
      </c>
      <c r="V551" t="s">
        <v>87</v>
      </c>
      <c r="W551" t="s">
        <v>1600</v>
      </c>
      <c r="AH551">
        <v>4222038543</v>
      </c>
      <c r="AI551">
        <v>4222</v>
      </c>
      <c r="AJ551" t="s">
        <v>660</v>
      </c>
    </row>
    <row r="552" spans="1:36">
      <c r="A552" t="s">
        <v>1601</v>
      </c>
      <c r="B552" t="s">
        <v>1602</v>
      </c>
      <c r="C552">
        <v>4</v>
      </c>
      <c r="D552" t="s">
        <v>190</v>
      </c>
      <c r="E552" t="s">
        <v>79</v>
      </c>
      <c r="F552" t="s">
        <v>125</v>
      </c>
      <c r="P552">
        <v>0</v>
      </c>
      <c r="Q552" t="s">
        <v>86</v>
      </c>
      <c r="R552">
        <v>0</v>
      </c>
      <c r="S552">
        <v>0</v>
      </c>
      <c r="T552">
        <v>5615</v>
      </c>
      <c r="U552">
        <v>963730016</v>
      </c>
      <c r="V552" t="s">
        <v>327</v>
      </c>
      <c r="AI552" t="s">
        <v>1603</v>
      </c>
    </row>
    <row r="553" spans="1:36">
      <c r="A553" t="s">
        <v>1604</v>
      </c>
      <c r="B553" t="s">
        <v>1605</v>
      </c>
      <c r="C553">
        <v>4</v>
      </c>
      <c r="D553" t="s">
        <v>190</v>
      </c>
      <c r="E553" t="s">
        <v>79</v>
      </c>
      <c r="F553" t="s">
        <v>125</v>
      </c>
      <c r="P553">
        <v>0</v>
      </c>
      <c r="Q553" t="s">
        <v>86</v>
      </c>
      <c r="R553">
        <v>0</v>
      </c>
      <c r="S553">
        <v>0</v>
      </c>
      <c r="T553">
        <v>1180</v>
      </c>
      <c r="U553">
        <v>96604</v>
      </c>
      <c r="V553" t="s">
        <v>327</v>
      </c>
    </row>
    <row r="554" spans="1:36">
      <c r="A554" t="s">
        <v>1606</v>
      </c>
      <c r="B554" t="s">
        <v>1607</v>
      </c>
      <c r="C554">
        <v>4</v>
      </c>
      <c r="D554" t="s">
        <v>130</v>
      </c>
      <c r="E554" t="s">
        <v>125</v>
      </c>
      <c r="F554" t="s">
        <v>79</v>
      </c>
      <c r="G554" t="s">
        <v>80</v>
      </c>
      <c r="H554" t="s">
        <v>81</v>
      </c>
      <c r="I554" t="s">
        <v>82</v>
      </c>
      <c r="J554" t="s">
        <v>95</v>
      </c>
      <c r="K554" t="s">
        <v>163</v>
      </c>
      <c r="L554">
        <v>95</v>
      </c>
      <c r="N554" t="s">
        <v>155</v>
      </c>
      <c r="O554" t="s">
        <v>98</v>
      </c>
      <c r="P554">
        <v>0</v>
      </c>
      <c r="Q554" t="s">
        <v>86</v>
      </c>
      <c r="R554">
        <v>0</v>
      </c>
      <c r="S554">
        <v>0</v>
      </c>
      <c r="T554">
        <v>7100</v>
      </c>
      <c r="U554">
        <v>977631701</v>
      </c>
      <c r="V554">
        <v>5</v>
      </c>
      <c r="W554" t="s">
        <v>164</v>
      </c>
      <c r="AB554" t="s">
        <v>100</v>
      </c>
      <c r="AC554" t="s">
        <v>90</v>
      </c>
      <c r="AD554">
        <v>4</v>
      </c>
      <c r="AE554" t="s">
        <v>165</v>
      </c>
      <c r="AF554" t="s">
        <v>102</v>
      </c>
      <c r="AH554">
        <v>560001800</v>
      </c>
      <c r="AI554">
        <v>560</v>
      </c>
      <c r="AJ554" t="s">
        <v>1173</v>
      </c>
    </row>
    <row r="555" spans="1:36">
      <c r="A555" t="s">
        <v>1608</v>
      </c>
      <c r="B555" t="s">
        <v>1609</v>
      </c>
      <c r="C555">
        <v>3</v>
      </c>
      <c r="D555" t="s">
        <v>78</v>
      </c>
      <c r="E555" t="s">
        <v>79</v>
      </c>
      <c r="F555" t="s">
        <v>79</v>
      </c>
      <c r="G555" t="s">
        <v>80</v>
      </c>
      <c r="H555" t="s">
        <v>81</v>
      </c>
      <c r="I555" t="s">
        <v>82</v>
      </c>
      <c r="J555" t="s">
        <v>95</v>
      </c>
      <c r="K555" t="s">
        <v>1610</v>
      </c>
      <c r="L555">
        <v>96</v>
      </c>
      <c r="M555" t="s">
        <v>385</v>
      </c>
      <c r="O555" t="s">
        <v>98</v>
      </c>
      <c r="P555">
        <v>0</v>
      </c>
      <c r="Q555" t="s">
        <v>86</v>
      </c>
      <c r="R555">
        <v>0</v>
      </c>
      <c r="S555">
        <v>0</v>
      </c>
      <c r="T555">
        <v>9500</v>
      </c>
      <c r="U555">
        <v>963490017</v>
      </c>
      <c r="V555" t="s">
        <v>87</v>
      </c>
      <c r="W555" t="s">
        <v>1611</v>
      </c>
      <c r="AB555" t="s">
        <v>431</v>
      </c>
      <c r="AC555" t="s">
        <v>90</v>
      </c>
      <c r="AD555">
        <v>6</v>
      </c>
      <c r="AE555" t="s">
        <v>101</v>
      </c>
      <c r="AF555" t="s">
        <v>102</v>
      </c>
      <c r="AH555">
        <v>6230000202</v>
      </c>
      <c r="AI555">
        <v>6230</v>
      </c>
      <c r="AJ555" t="s">
        <v>1612</v>
      </c>
    </row>
    <row r="556" spans="1:36">
      <c r="A556" t="s">
        <v>1613</v>
      </c>
      <c r="B556" t="s">
        <v>1614</v>
      </c>
      <c r="C556">
        <v>3</v>
      </c>
      <c r="D556" t="s">
        <v>130</v>
      </c>
      <c r="E556" t="s">
        <v>79</v>
      </c>
      <c r="F556" t="s">
        <v>79</v>
      </c>
      <c r="G556" t="s">
        <v>80</v>
      </c>
      <c r="H556" t="s">
        <v>81</v>
      </c>
      <c r="I556" t="s">
        <v>82</v>
      </c>
      <c r="J556" t="s">
        <v>341</v>
      </c>
      <c r="K556" t="s">
        <v>342</v>
      </c>
      <c r="L556" t="s">
        <v>343</v>
      </c>
      <c r="O556" t="s">
        <v>177</v>
      </c>
      <c r="P556">
        <v>0</v>
      </c>
      <c r="Q556" t="s">
        <v>86</v>
      </c>
      <c r="R556">
        <v>0</v>
      </c>
      <c r="S556">
        <v>0</v>
      </c>
      <c r="T556">
        <v>7100</v>
      </c>
      <c r="V556" t="s">
        <v>87</v>
      </c>
      <c r="W556" t="s">
        <v>344</v>
      </c>
      <c r="AB556" t="s">
        <v>291</v>
      </c>
      <c r="AC556" t="s">
        <v>90</v>
      </c>
      <c r="AD556">
        <v>6</v>
      </c>
      <c r="AE556" t="s">
        <v>91</v>
      </c>
      <c r="AF556" t="s">
        <v>102</v>
      </c>
      <c r="AH556">
        <v>3710001653</v>
      </c>
      <c r="AI556">
        <v>3710</v>
      </c>
      <c r="AJ556" t="s">
        <v>292</v>
      </c>
    </row>
    <row r="557" spans="1:36">
      <c r="A557" t="s">
        <v>78</v>
      </c>
      <c r="B557" t="s">
        <v>1536</v>
      </c>
      <c r="C557">
        <v>0</v>
      </c>
      <c r="D557" t="s">
        <v>78</v>
      </c>
      <c r="E557" t="s">
        <v>79</v>
      </c>
      <c r="F557" t="s">
        <v>79</v>
      </c>
      <c r="G557" t="s">
        <v>80</v>
      </c>
      <c r="H557" t="s">
        <v>81</v>
      </c>
      <c r="I557" t="s">
        <v>82</v>
      </c>
      <c r="J557" t="s">
        <v>114</v>
      </c>
      <c r="K557" t="s">
        <v>115</v>
      </c>
      <c r="L557">
        <v>4</v>
      </c>
      <c r="O557" t="s">
        <v>98</v>
      </c>
      <c r="P557">
        <v>2936</v>
      </c>
      <c r="Q557" t="s">
        <v>86</v>
      </c>
      <c r="R557">
        <v>0</v>
      </c>
      <c r="S557">
        <v>0</v>
      </c>
      <c r="T557">
        <v>9500</v>
      </c>
      <c r="U557">
        <v>963491100</v>
      </c>
      <c r="V557">
        <v>4</v>
      </c>
      <c r="W557" t="s">
        <v>755</v>
      </c>
      <c r="AA557" t="s">
        <v>125</v>
      </c>
      <c r="AB557" t="s">
        <v>116</v>
      </c>
      <c r="AC557" t="s">
        <v>90</v>
      </c>
      <c r="AD557">
        <v>6</v>
      </c>
      <c r="AE557" t="s">
        <v>91</v>
      </c>
      <c r="AF557" t="s">
        <v>102</v>
      </c>
      <c r="AG557">
        <v>620.41700000000003</v>
      </c>
      <c r="AH557">
        <v>1087001000</v>
      </c>
      <c r="AI557">
        <v>1087</v>
      </c>
      <c r="AJ557" t="s">
        <v>117</v>
      </c>
    </row>
    <row r="558" spans="1:36">
      <c r="A558" t="s">
        <v>133</v>
      </c>
      <c r="B558" t="s">
        <v>1615</v>
      </c>
      <c r="C558">
        <v>0</v>
      </c>
      <c r="D558" t="s">
        <v>133</v>
      </c>
      <c r="E558" t="s">
        <v>79</v>
      </c>
      <c r="F558" t="s">
        <v>79</v>
      </c>
      <c r="G558" t="s">
        <v>80</v>
      </c>
      <c r="H558" t="s">
        <v>81</v>
      </c>
      <c r="I558" t="s">
        <v>82</v>
      </c>
      <c r="J558" t="s">
        <v>114</v>
      </c>
      <c r="K558" t="s">
        <v>115</v>
      </c>
      <c r="L558">
        <v>4</v>
      </c>
      <c r="O558" t="s">
        <v>98</v>
      </c>
      <c r="P558">
        <v>594</v>
      </c>
      <c r="Q558" t="s">
        <v>86</v>
      </c>
      <c r="R558">
        <v>0</v>
      </c>
      <c r="S558">
        <v>0</v>
      </c>
      <c r="T558">
        <v>3950</v>
      </c>
      <c r="U558">
        <v>963701100</v>
      </c>
      <c r="V558">
        <v>4</v>
      </c>
      <c r="W558" t="s">
        <v>755</v>
      </c>
      <c r="AA558" t="s">
        <v>79</v>
      </c>
      <c r="AB558" t="s">
        <v>116</v>
      </c>
      <c r="AC558" t="s">
        <v>90</v>
      </c>
      <c r="AD558">
        <v>6</v>
      </c>
      <c r="AE558" t="s">
        <v>91</v>
      </c>
      <c r="AF558" t="s">
        <v>102</v>
      </c>
      <c r="AH558">
        <v>1087001100</v>
      </c>
      <c r="AI558">
        <v>1087</v>
      </c>
      <c r="AJ558" t="s">
        <v>117</v>
      </c>
    </row>
    <row r="559" spans="1:36">
      <c r="A559" t="s">
        <v>130</v>
      </c>
      <c r="B559" t="s">
        <v>989</v>
      </c>
      <c r="C559">
        <v>0</v>
      </c>
      <c r="D559" t="s">
        <v>130</v>
      </c>
      <c r="E559" t="s">
        <v>79</v>
      </c>
      <c r="F559" t="s">
        <v>79</v>
      </c>
      <c r="G559" t="s">
        <v>80</v>
      </c>
      <c r="H559" t="s">
        <v>81</v>
      </c>
      <c r="I559" t="s">
        <v>82</v>
      </c>
      <c r="J559" t="s">
        <v>114</v>
      </c>
      <c r="K559" t="s">
        <v>115</v>
      </c>
      <c r="L559">
        <v>4</v>
      </c>
      <c r="O559" t="s">
        <v>98</v>
      </c>
      <c r="P559">
        <v>1645</v>
      </c>
      <c r="Q559" t="s">
        <v>86</v>
      </c>
      <c r="R559">
        <v>0</v>
      </c>
      <c r="S559">
        <v>0</v>
      </c>
      <c r="T559">
        <v>7100</v>
      </c>
      <c r="U559">
        <v>963221100</v>
      </c>
      <c r="V559">
        <v>4</v>
      </c>
      <c r="W559" t="s">
        <v>755</v>
      </c>
      <c r="AA559" t="s">
        <v>125</v>
      </c>
      <c r="AB559" t="s">
        <v>116</v>
      </c>
      <c r="AC559" t="s">
        <v>90</v>
      </c>
      <c r="AD559">
        <v>6</v>
      </c>
      <c r="AE559" t="s">
        <v>91</v>
      </c>
      <c r="AF559" t="s">
        <v>102</v>
      </c>
      <c r="AG559">
        <v>156.839</v>
      </c>
      <c r="AH559">
        <v>1087001200</v>
      </c>
      <c r="AI559">
        <v>1087</v>
      </c>
      <c r="AJ559" t="s">
        <v>117</v>
      </c>
    </row>
    <row r="560" spans="1:36">
      <c r="A560" t="s">
        <v>174</v>
      </c>
      <c r="B560" t="s">
        <v>1540</v>
      </c>
      <c r="C560">
        <v>0</v>
      </c>
      <c r="D560" t="s">
        <v>174</v>
      </c>
      <c r="E560" t="s">
        <v>79</v>
      </c>
      <c r="F560" t="s">
        <v>79</v>
      </c>
      <c r="G560" t="s">
        <v>80</v>
      </c>
      <c r="H560" t="s">
        <v>81</v>
      </c>
      <c r="I560" t="s">
        <v>82</v>
      </c>
      <c r="J560" t="s">
        <v>114</v>
      </c>
      <c r="K560" t="s">
        <v>115</v>
      </c>
      <c r="L560">
        <v>4</v>
      </c>
      <c r="O560" t="s">
        <v>98</v>
      </c>
      <c r="P560">
        <v>1520</v>
      </c>
      <c r="Q560" t="s">
        <v>86</v>
      </c>
      <c r="R560">
        <v>0</v>
      </c>
      <c r="S560">
        <v>0</v>
      </c>
      <c r="T560">
        <v>600</v>
      </c>
      <c r="U560">
        <v>963061209</v>
      </c>
      <c r="V560">
        <v>4</v>
      </c>
      <c r="W560" t="s">
        <v>755</v>
      </c>
      <c r="AA560" t="s">
        <v>125</v>
      </c>
      <c r="AB560" t="s">
        <v>116</v>
      </c>
      <c r="AC560" t="s">
        <v>90</v>
      </c>
      <c r="AD560">
        <v>6</v>
      </c>
      <c r="AE560" t="s">
        <v>91</v>
      </c>
      <c r="AF560" t="s">
        <v>102</v>
      </c>
      <c r="AG560">
        <v>1249.9090000000001</v>
      </c>
      <c r="AH560">
        <v>1452000300</v>
      </c>
      <c r="AI560">
        <v>1452</v>
      </c>
      <c r="AJ560" t="s">
        <v>1382</v>
      </c>
    </row>
    <row r="561" spans="1:36">
      <c r="A561" t="s">
        <v>909</v>
      </c>
      <c r="B561" t="s">
        <v>1543</v>
      </c>
      <c r="C561">
        <v>3</v>
      </c>
      <c r="D561" t="s">
        <v>174</v>
      </c>
      <c r="E561" t="s">
        <v>79</v>
      </c>
      <c r="F561" t="s">
        <v>79</v>
      </c>
      <c r="G561" t="s">
        <v>80</v>
      </c>
      <c r="H561" t="s">
        <v>81</v>
      </c>
      <c r="I561" t="s">
        <v>82</v>
      </c>
      <c r="J561" t="s">
        <v>114</v>
      </c>
      <c r="K561" t="s">
        <v>115</v>
      </c>
      <c r="L561">
        <v>4</v>
      </c>
      <c r="O561" t="s">
        <v>98</v>
      </c>
      <c r="P561">
        <v>0</v>
      </c>
      <c r="Q561" t="s">
        <v>86</v>
      </c>
      <c r="R561">
        <v>0</v>
      </c>
      <c r="S561">
        <v>0</v>
      </c>
      <c r="T561">
        <v>4885</v>
      </c>
      <c r="U561">
        <v>963195000</v>
      </c>
      <c r="V561">
        <v>4</v>
      </c>
      <c r="W561" t="s">
        <v>755</v>
      </c>
      <c r="AB561" t="s">
        <v>116</v>
      </c>
      <c r="AC561" t="s">
        <v>90</v>
      </c>
      <c r="AD561">
        <v>6</v>
      </c>
      <c r="AE561" t="s">
        <v>91</v>
      </c>
      <c r="AF561" t="s">
        <v>102</v>
      </c>
      <c r="AH561">
        <v>1312003300</v>
      </c>
      <c r="AI561">
        <v>1312</v>
      </c>
      <c r="AJ561" t="s">
        <v>910</v>
      </c>
    </row>
    <row r="562" spans="1:36">
      <c r="A562" t="s">
        <v>1616</v>
      </c>
      <c r="B562" t="s">
        <v>1617</v>
      </c>
      <c r="C562">
        <v>4</v>
      </c>
      <c r="D562" t="s">
        <v>78</v>
      </c>
      <c r="E562" t="s">
        <v>79</v>
      </c>
      <c r="F562" t="s">
        <v>79</v>
      </c>
      <c r="G562" t="s">
        <v>80</v>
      </c>
      <c r="H562" t="s">
        <v>81</v>
      </c>
      <c r="I562" t="s">
        <v>82</v>
      </c>
      <c r="J562" t="s">
        <v>153</v>
      </c>
      <c r="K562" t="s">
        <v>214</v>
      </c>
      <c r="L562">
        <v>1</v>
      </c>
      <c r="O562" t="s">
        <v>156</v>
      </c>
      <c r="P562">
        <v>0</v>
      </c>
      <c r="Q562" t="s">
        <v>86</v>
      </c>
      <c r="R562">
        <v>0</v>
      </c>
      <c r="S562">
        <v>0</v>
      </c>
      <c r="T562">
        <v>9500</v>
      </c>
      <c r="V562" t="s">
        <v>157</v>
      </c>
      <c r="W562" t="s">
        <v>1208</v>
      </c>
      <c r="AD562" t="s">
        <v>159</v>
      </c>
      <c r="AE562" t="s">
        <v>91</v>
      </c>
      <c r="AF562" t="s">
        <v>102</v>
      </c>
    </row>
    <row r="563" spans="1:36">
      <c r="A563" t="s">
        <v>1618</v>
      </c>
      <c r="B563" t="s">
        <v>1619</v>
      </c>
      <c r="C563">
        <v>4</v>
      </c>
      <c r="D563" t="s">
        <v>78</v>
      </c>
      <c r="E563" t="s">
        <v>125</v>
      </c>
      <c r="F563" t="s">
        <v>79</v>
      </c>
      <c r="G563" t="s">
        <v>80</v>
      </c>
      <c r="H563" t="s">
        <v>81</v>
      </c>
      <c r="I563" t="s">
        <v>82</v>
      </c>
      <c r="J563" t="s">
        <v>95</v>
      </c>
      <c r="K563" t="s">
        <v>163</v>
      </c>
      <c r="L563">
        <v>96</v>
      </c>
      <c r="N563" t="s">
        <v>155</v>
      </c>
      <c r="O563" t="s">
        <v>98</v>
      </c>
      <c r="P563">
        <v>0</v>
      </c>
      <c r="Q563" t="s">
        <v>86</v>
      </c>
      <c r="R563">
        <v>0</v>
      </c>
      <c r="S563">
        <v>0</v>
      </c>
      <c r="T563">
        <v>9500</v>
      </c>
      <c r="V563">
        <v>5</v>
      </c>
      <c r="W563" t="s">
        <v>164</v>
      </c>
      <c r="AB563" t="s">
        <v>100</v>
      </c>
      <c r="AC563" t="s">
        <v>90</v>
      </c>
      <c r="AD563">
        <v>4</v>
      </c>
      <c r="AE563" t="s">
        <v>165</v>
      </c>
      <c r="AF563" t="s">
        <v>102</v>
      </c>
      <c r="AH563">
        <v>442011500</v>
      </c>
      <c r="AI563">
        <v>442</v>
      </c>
      <c r="AJ563" t="s">
        <v>169</v>
      </c>
    </row>
    <row r="564" spans="1:36">
      <c r="A564" t="s">
        <v>1620</v>
      </c>
      <c r="B564" t="s">
        <v>1621</v>
      </c>
      <c r="C564">
        <v>3</v>
      </c>
      <c r="D564" t="s">
        <v>190</v>
      </c>
      <c r="E564" t="s">
        <v>79</v>
      </c>
      <c r="F564" t="s">
        <v>79</v>
      </c>
      <c r="J564" t="s">
        <v>191</v>
      </c>
      <c r="O564" t="s">
        <v>243</v>
      </c>
      <c r="P564">
        <v>0</v>
      </c>
      <c r="Q564" t="s">
        <v>86</v>
      </c>
      <c r="R564">
        <v>0</v>
      </c>
      <c r="S564">
        <v>0</v>
      </c>
      <c r="T564">
        <v>1065</v>
      </c>
      <c r="U564">
        <v>966037101</v>
      </c>
      <c r="V564" t="s">
        <v>87</v>
      </c>
      <c r="W564" t="s">
        <v>572</v>
      </c>
      <c r="AF564" t="s">
        <v>102</v>
      </c>
      <c r="AH564" t="s">
        <v>1622</v>
      </c>
      <c r="AI564" t="s">
        <v>1623</v>
      </c>
    </row>
    <row r="565" spans="1:36">
      <c r="A565" t="s">
        <v>1624</v>
      </c>
      <c r="B565" t="s">
        <v>1625</v>
      </c>
      <c r="C565">
        <v>3</v>
      </c>
      <c r="D565" t="s">
        <v>190</v>
      </c>
      <c r="E565" t="s">
        <v>79</v>
      </c>
      <c r="F565" t="s">
        <v>79</v>
      </c>
      <c r="J565" t="s">
        <v>191</v>
      </c>
      <c r="O565" t="s">
        <v>243</v>
      </c>
      <c r="P565">
        <v>0</v>
      </c>
      <c r="Q565" t="s">
        <v>86</v>
      </c>
      <c r="R565">
        <v>0</v>
      </c>
      <c r="S565">
        <v>0</v>
      </c>
      <c r="T565">
        <v>2600</v>
      </c>
      <c r="U565">
        <v>966037101</v>
      </c>
      <c r="V565" t="s">
        <v>87</v>
      </c>
      <c r="W565" t="s">
        <v>572</v>
      </c>
      <c r="AF565" t="s">
        <v>102</v>
      </c>
      <c r="AH565" t="s">
        <v>1626</v>
      </c>
      <c r="AI565" t="s">
        <v>1294</v>
      </c>
    </row>
    <row r="566" spans="1:36">
      <c r="A566" t="s">
        <v>1627</v>
      </c>
      <c r="B566" t="s">
        <v>1628</v>
      </c>
      <c r="C566">
        <v>3</v>
      </c>
      <c r="D566" t="s">
        <v>190</v>
      </c>
      <c r="E566" t="s">
        <v>79</v>
      </c>
      <c r="F566" t="s">
        <v>79</v>
      </c>
      <c r="J566" t="s">
        <v>191</v>
      </c>
      <c r="O566" t="s">
        <v>243</v>
      </c>
      <c r="P566">
        <v>0</v>
      </c>
      <c r="Q566" t="s">
        <v>86</v>
      </c>
      <c r="R566">
        <v>0</v>
      </c>
      <c r="S566">
        <v>0</v>
      </c>
      <c r="T566">
        <v>1065</v>
      </c>
      <c r="U566">
        <v>966037181</v>
      </c>
      <c r="V566" t="s">
        <v>87</v>
      </c>
      <c r="W566" t="s">
        <v>1548</v>
      </c>
      <c r="AF566" t="s">
        <v>102</v>
      </c>
      <c r="AH566" t="s">
        <v>1629</v>
      </c>
      <c r="AI566" t="s">
        <v>574</v>
      </c>
    </row>
    <row r="567" spans="1:36">
      <c r="A567" t="s">
        <v>1630</v>
      </c>
      <c r="B567" t="s">
        <v>1631</v>
      </c>
      <c r="C567">
        <v>3</v>
      </c>
      <c r="D567" t="s">
        <v>190</v>
      </c>
      <c r="E567" t="s">
        <v>79</v>
      </c>
      <c r="F567" t="s">
        <v>79</v>
      </c>
      <c r="J567" t="s">
        <v>191</v>
      </c>
      <c r="O567" t="s">
        <v>243</v>
      </c>
      <c r="P567">
        <v>0</v>
      </c>
      <c r="Q567" t="s">
        <v>86</v>
      </c>
      <c r="R567">
        <v>0</v>
      </c>
      <c r="S567">
        <v>0</v>
      </c>
      <c r="T567">
        <v>1065</v>
      </c>
      <c r="U567">
        <v>966037121</v>
      </c>
      <c r="V567" t="s">
        <v>87</v>
      </c>
      <c r="W567" t="s">
        <v>572</v>
      </c>
      <c r="AF567" t="s">
        <v>102</v>
      </c>
      <c r="AH567" t="s">
        <v>1632</v>
      </c>
      <c r="AI567" t="s">
        <v>1633</v>
      </c>
    </row>
    <row r="568" spans="1:36">
      <c r="A568" t="s">
        <v>1634</v>
      </c>
      <c r="B568" t="s">
        <v>1635</v>
      </c>
      <c r="C568">
        <v>3</v>
      </c>
      <c r="D568" t="s">
        <v>190</v>
      </c>
      <c r="E568" t="s">
        <v>79</v>
      </c>
      <c r="F568" t="s">
        <v>79</v>
      </c>
      <c r="J568" t="s">
        <v>191</v>
      </c>
      <c r="O568" t="s">
        <v>243</v>
      </c>
      <c r="P568">
        <v>0</v>
      </c>
      <c r="Q568" t="s">
        <v>86</v>
      </c>
      <c r="R568">
        <v>0</v>
      </c>
      <c r="S568">
        <v>0</v>
      </c>
      <c r="T568">
        <v>2600</v>
      </c>
      <c r="U568">
        <v>966037215</v>
      </c>
      <c r="V568" t="s">
        <v>87</v>
      </c>
      <c r="W568" t="s">
        <v>1485</v>
      </c>
      <c r="AF568" t="s">
        <v>102</v>
      </c>
      <c r="AH568" t="s">
        <v>1636</v>
      </c>
      <c r="AI568" t="s">
        <v>1487</v>
      </c>
    </row>
    <row r="569" spans="1:36">
      <c r="A569" t="s">
        <v>1637</v>
      </c>
      <c r="B569" t="s">
        <v>1638</v>
      </c>
      <c r="C569">
        <v>3</v>
      </c>
      <c r="D569" t="s">
        <v>190</v>
      </c>
      <c r="E569" t="s">
        <v>79</v>
      </c>
      <c r="F569" t="s">
        <v>79</v>
      </c>
      <c r="P569">
        <v>0</v>
      </c>
      <c r="Q569" t="s">
        <v>86</v>
      </c>
      <c r="R569">
        <v>0</v>
      </c>
      <c r="S569">
        <v>0</v>
      </c>
      <c r="T569">
        <v>2600</v>
      </c>
      <c r="U569">
        <v>966037176</v>
      </c>
      <c r="V569" t="s">
        <v>87</v>
      </c>
      <c r="W569" t="s">
        <v>1550</v>
      </c>
      <c r="AH569" t="s">
        <v>1639</v>
      </c>
      <c r="AI569" t="s">
        <v>1640</v>
      </c>
    </row>
    <row r="570" spans="1:36">
      <c r="A570" t="s">
        <v>1641</v>
      </c>
      <c r="B570" t="s">
        <v>1642</v>
      </c>
      <c r="C570">
        <v>3</v>
      </c>
      <c r="D570" t="s">
        <v>190</v>
      </c>
      <c r="E570" t="s">
        <v>79</v>
      </c>
      <c r="F570" t="s">
        <v>79</v>
      </c>
      <c r="J570" t="s">
        <v>191</v>
      </c>
      <c r="O570" t="s">
        <v>243</v>
      </c>
      <c r="P570">
        <v>0</v>
      </c>
      <c r="Q570" t="s">
        <v>86</v>
      </c>
      <c r="R570">
        <v>0</v>
      </c>
      <c r="S570">
        <v>0</v>
      </c>
      <c r="T570">
        <v>2600</v>
      </c>
      <c r="U570">
        <v>966037141</v>
      </c>
      <c r="V570" t="s">
        <v>87</v>
      </c>
      <c r="W570" t="s">
        <v>1643</v>
      </c>
      <c r="AF570" t="s">
        <v>102</v>
      </c>
      <c r="AH570" t="s">
        <v>1644</v>
      </c>
      <c r="AI570" t="s">
        <v>574</v>
      </c>
    </row>
    <row r="571" spans="1:36">
      <c r="A571" t="s">
        <v>1645</v>
      </c>
      <c r="B571" t="s">
        <v>713</v>
      </c>
      <c r="C571">
        <v>3</v>
      </c>
      <c r="D571" t="s">
        <v>190</v>
      </c>
      <c r="E571" t="s">
        <v>79</v>
      </c>
      <c r="F571" t="s">
        <v>79</v>
      </c>
      <c r="J571" t="s">
        <v>191</v>
      </c>
      <c r="O571" t="s">
        <v>243</v>
      </c>
      <c r="P571">
        <v>0</v>
      </c>
      <c r="Q571" t="s">
        <v>86</v>
      </c>
      <c r="R571">
        <v>0</v>
      </c>
      <c r="S571">
        <v>0</v>
      </c>
      <c r="T571">
        <v>2600</v>
      </c>
      <c r="V571" t="s">
        <v>87</v>
      </c>
      <c r="W571" t="s">
        <v>1072</v>
      </c>
      <c r="AF571" t="s">
        <v>102</v>
      </c>
      <c r="AH571" t="s">
        <v>1073</v>
      </c>
      <c r="AI571" t="s">
        <v>1074</v>
      </c>
    </row>
    <row r="572" spans="1:36">
      <c r="A572" t="s">
        <v>1646</v>
      </c>
      <c r="B572" t="s">
        <v>1647</v>
      </c>
      <c r="C572">
        <v>3</v>
      </c>
      <c r="D572" t="s">
        <v>190</v>
      </c>
      <c r="E572" t="s">
        <v>79</v>
      </c>
      <c r="F572" t="s">
        <v>79</v>
      </c>
      <c r="J572" t="s">
        <v>191</v>
      </c>
      <c r="O572" t="s">
        <v>243</v>
      </c>
      <c r="P572">
        <v>0</v>
      </c>
      <c r="Q572" t="s">
        <v>86</v>
      </c>
      <c r="R572">
        <v>0</v>
      </c>
      <c r="S572">
        <v>0</v>
      </c>
      <c r="T572">
        <v>2600</v>
      </c>
      <c r="U572">
        <v>966037131</v>
      </c>
      <c r="V572" t="s">
        <v>87</v>
      </c>
      <c r="W572" t="s">
        <v>1643</v>
      </c>
      <c r="AF572" t="s">
        <v>102</v>
      </c>
      <c r="AH572" t="s">
        <v>1648</v>
      </c>
      <c r="AI572" t="s">
        <v>574</v>
      </c>
    </row>
    <row r="573" spans="1:36">
      <c r="A573" t="s">
        <v>1649</v>
      </c>
      <c r="B573" t="s">
        <v>1650</v>
      </c>
      <c r="C573">
        <v>3</v>
      </c>
      <c r="D573" t="s">
        <v>190</v>
      </c>
      <c r="E573" t="s">
        <v>79</v>
      </c>
      <c r="F573" t="s">
        <v>79</v>
      </c>
      <c r="J573" t="s">
        <v>191</v>
      </c>
      <c r="O573" t="s">
        <v>243</v>
      </c>
      <c r="P573">
        <v>0</v>
      </c>
      <c r="Q573" t="s">
        <v>86</v>
      </c>
      <c r="R573">
        <v>0</v>
      </c>
      <c r="S573">
        <v>0</v>
      </c>
      <c r="T573">
        <v>2600</v>
      </c>
      <c r="U573">
        <v>966037178</v>
      </c>
      <c r="V573" t="s">
        <v>87</v>
      </c>
      <c r="W573" t="s">
        <v>1550</v>
      </c>
      <c r="AF573" t="s">
        <v>102</v>
      </c>
      <c r="AH573" t="s">
        <v>1651</v>
      </c>
      <c r="AI573" t="s">
        <v>1487</v>
      </c>
    </row>
    <row r="574" spans="1:36">
      <c r="A574" t="s">
        <v>1652</v>
      </c>
      <c r="B574" t="s">
        <v>1653</v>
      </c>
      <c r="C574">
        <v>3</v>
      </c>
      <c r="D574" t="s">
        <v>190</v>
      </c>
      <c r="E574" t="s">
        <v>79</v>
      </c>
      <c r="F574" t="s">
        <v>79</v>
      </c>
      <c r="J574" t="s">
        <v>191</v>
      </c>
      <c r="O574" t="s">
        <v>243</v>
      </c>
      <c r="P574">
        <v>0</v>
      </c>
      <c r="Q574" t="s">
        <v>86</v>
      </c>
      <c r="R574">
        <v>0</v>
      </c>
      <c r="S574">
        <v>0</v>
      </c>
      <c r="T574">
        <v>2600</v>
      </c>
      <c r="U574">
        <v>966037211</v>
      </c>
      <c r="V574" t="s">
        <v>87</v>
      </c>
      <c r="W574" t="s">
        <v>1550</v>
      </c>
      <c r="AF574" t="s">
        <v>102</v>
      </c>
      <c r="AH574" t="s">
        <v>1654</v>
      </c>
      <c r="AI574" t="s">
        <v>1487</v>
      </c>
    </row>
    <row r="575" spans="1:36">
      <c r="A575" t="s">
        <v>1655</v>
      </c>
      <c r="B575" t="s">
        <v>1656</v>
      </c>
      <c r="C575">
        <v>3</v>
      </c>
      <c r="D575" t="s">
        <v>190</v>
      </c>
      <c r="E575" t="s">
        <v>79</v>
      </c>
      <c r="F575" t="s">
        <v>79</v>
      </c>
      <c r="J575" t="s">
        <v>191</v>
      </c>
      <c r="O575" t="s">
        <v>243</v>
      </c>
      <c r="P575">
        <v>0</v>
      </c>
      <c r="Q575" t="s">
        <v>86</v>
      </c>
      <c r="R575">
        <v>0</v>
      </c>
      <c r="S575">
        <v>0</v>
      </c>
      <c r="T575">
        <v>2600</v>
      </c>
      <c r="U575">
        <v>966037215</v>
      </c>
      <c r="V575" t="s">
        <v>87</v>
      </c>
      <c r="W575" t="s">
        <v>1485</v>
      </c>
      <c r="AF575" t="s">
        <v>102</v>
      </c>
      <c r="AH575" t="s">
        <v>1657</v>
      </c>
      <c r="AI575" t="s">
        <v>1487</v>
      </c>
    </row>
    <row r="576" spans="1:36">
      <c r="A576" t="s">
        <v>1658</v>
      </c>
      <c r="B576" t="s">
        <v>1659</v>
      </c>
      <c r="C576">
        <v>3</v>
      </c>
      <c r="D576" t="s">
        <v>190</v>
      </c>
      <c r="E576" t="s">
        <v>79</v>
      </c>
      <c r="F576" t="s">
        <v>79</v>
      </c>
      <c r="J576" t="s">
        <v>191</v>
      </c>
      <c r="O576" t="s">
        <v>243</v>
      </c>
      <c r="P576">
        <v>0</v>
      </c>
      <c r="Q576" t="s">
        <v>86</v>
      </c>
      <c r="R576">
        <v>0</v>
      </c>
      <c r="S576">
        <v>0</v>
      </c>
      <c r="T576">
        <v>2600</v>
      </c>
      <c r="U576">
        <v>966037141</v>
      </c>
      <c r="V576" t="s">
        <v>87</v>
      </c>
      <c r="W576" t="s">
        <v>1643</v>
      </c>
      <c r="AF576" t="s">
        <v>102</v>
      </c>
      <c r="AH576" t="s">
        <v>1660</v>
      </c>
      <c r="AI576" t="s">
        <v>574</v>
      </c>
    </row>
    <row r="577" spans="1:36">
      <c r="A577" t="s">
        <v>1661</v>
      </c>
      <c r="B577" t="s">
        <v>1662</v>
      </c>
      <c r="C577">
        <v>3</v>
      </c>
      <c r="D577" t="s">
        <v>183</v>
      </c>
      <c r="E577" t="s">
        <v>79</v>
      </c>
      <c r="F577" t="s">
        <v>79</v>
      </c>
      <c r="J577" t="s">
        <v>191</v>
      </c>
      <c r="O577" t="s">
        <v>243</v>
      </c>
      <c r="P577">
        <v>0</v>
      </c>
      <c r="Q577" t="s">
        <v>86</v>
      </c>
      <c r="R577">
        <v>0</v>
      </c>
      <c r="S577">
        <v>0</v>
      </c>
      <c r="T577">
        <v>3800</v>
      </c>
      <c r="U577">
        <v>9696310</v>
      </c>
      <c r="V577" t="s">
        <v>87</v>
      </c>
      <c r="W577" t="s">
        <v>1663</v>
      </c>
      <c r="AF577" t="s">
        <v>102</v>
      </c>
      <c r="AH577" t="s">
        <v>1664</v>
      </c>
      <c r="AI577" t="s">
        <v>1623</v>
      </c>
    </row>
    <row r="578" spans="1:36">
      <c r="A578" t="s">
        <v>1665</v>
      </c>
      <c r="B578" t="s">
        <v>1666</v>
      </c>
      <c r="C578">
        <v>3</v>
      </c>
      <c r="D578" t="s">
        <v>190</v>
      </c>
      <c r="E578" t="s">
        <v>79</v>
      </c>
      <c r="F578" t="s">
        <v>79</v>
      </c>
      <c r="J578" t="s">
        <v>191</v>
      </c>
      <c r="O578" t="s">
        <v>243</v>
      </c>
      <c r="P578">
        <v>0</v>
      </c>
      <c r="Q578" t="s">
        <v>86</v>
      </c>
      <c r="R578">
        <v>0</v>
      </c>
      <c r="S578">
        <v>0</v>
      </c>
      <c r="T578">
        <v>1065</v>
      </c>
      <c r="U578">
        <v>966037206</v>
      </c>
      <c r="V578" t="s">
        <v>87</v>
      </c>
      <c r="W578" t="s">
        <v>1643</v>
      </c>
      <c r="AF578" t="s">
        <v>102</v>
      </c>
      <c r="AH578" t="s">
        <v>1667</v>
      </c>
      <c r="AI578" t="s">
        <v>574</v>
      </c>
    </row>
    <row r="579" spans="1:36">
      <c r="A579" t="s">
        <v>1668</v>
      </c>
      <c r="B579" t="s">
        <v>1669</v>
      </c>
      <c r="C579">
        <v>3</v>
      </c>
      <c r="D579" t="s">
        <v>190</v>
      </c>
      <c r="E579" t="s">
        <v>79</v>
      </c>
      <c r="F579" t="s">
        <v>79</v>
      </c>
      <c r="J579" t="s">
        <v>191</v>
      </c>
      <c r="O579" t="s">
        <v>243</v>
      </c>
      <c r="P579">
        <v>0</v>
      </c>
      <c r="Q579" t="s">
        <v>86</v>
      </c>
      <c r="R579">
        <v>0</v>
      </c>
      <c r="S579">
        <v>0</v>
      </c>
      <c r="T579">
        <v>2600</v>
      </c>
      <c r="U579">
        <v>966037238</v>
      </c>
      <c r="V579" t="s">
        <v>87</v>
      </c>
      <c r="W579" t="s">
        <v>1643</v>
      </c>
      <c r="AF579" t="s">
        <v>102</v>
      </c>
      <c r="AH579" t="s">
        <v>1670</v>
      </c>
      <c r="AI579" t="s">
        <v>1623</v>
      </c>
    </row>
    <row r="580" spans="1:36">
      <c r="A580" t="s">
        <v>1671</v>
      </c>
      <c r="B580" t="s">
        <v>1672</v>
      </c>
      <c r="C580">
        <v>3</v>
      </c>
      <c r="D580" t="s">
        <v>190</v>
      </c>
      <c r="E580" t="s">
        <v>79</v>
      </c>
      <c r="F580" t="s">
        <v>79</v>
      </c>
      <c r="J580" t="s">
        <v>191</v>
      </c>
      <c r="O580" t="s">
        <v>243</v>
      </c>
      <c r="P580">
        <v>0</v>
      </c>
      <c r="Q580" t="s">
        <v>86</v>
      </c>
      <c r="R580">
        <v>0</v>
      </c>
      <c r="S580">
        <v>0</v>
      </c>
      <c r="T580">
        <v>2600</v>
      </c>
      <c r="U580">
        <v>966037239</v>
      </c>
      <c r="V580" t="s">
        <v>87</v>
      </c>
      <c r="W580" t="s">
        <v>1643</v>
      </c>
      <c r="AF580" t="s">
        <v>102</v>
      </c>
      <c r="AH580" t="s">
        <v>1670</v>
      </c>
      <c r="AI580" t="s">
        <v>1623</v>
      </c>
    </row>
    <row r="581" spans="1:36">
      <c r="A581" t="s">
        <v>1673</v>
      </c>
      <c r="B581" t="s">
        <v>1674</v>
      </c>
      <c r="C581">
        <v>3</v>
      </c>
      <c r="D581" t="s">
        <v>78</v>
      </c>
      <c r="E581" t="s">
        <v>79</v>
      </c>
      <c r="F581" t="s">
        <v>79</v>
      </c>
      <c r="G581" t="s">
        <v>80</v>
      </c>
      <c r="H581" t="s">
        <v>81</v>
      </c>
      <c r="I581" t="s">
        <v>82</v>
      </c>
      <c r="J581" t="s">
        <v>341</v>
      </c>
      <c r="K581" t="s">
        <v>342</v>
      </c>
      <c r="L581" t="s">
        <v>343</v>
      </c>
      <c r="O581" t="s">
        <v>177</v>
      </c>
      <c r="P581">
        <v>0</v>
      </c>
      <c r="Q581" t="s">
        <v>86</v>
      </c>
      <c r="R581">
        <v>0</v>
      </c>
      <c r="S581">
        <v>0</v>
      </c>
      <c r="T581">
        <v>8000</v>
      </c>
      <c r="V581" t="s">
        <v>87</v>
      </c>
      <c r="W581" t="s">
        <v>837</v>
      </c>
      <c r="AB581">
        <v>9999</v>
      </c>
      <c r="AC581" t="s">
        <v>90</v>
      </c>
      <c r="AD581">
        <v>6</v>
      </c>
      <c r="AE581" t="s">
        <v>91</v>
      </c>
      <c r="AF581" t="s">
        <v>102</v>
      </c>
      <c r="AH581">
        <v>3710001236</v>
      </c>
      <c r="AI581">
        <v>3710</v>
      </c>
      <c r="AJ581" t="s">
        <v>292</v>
      </c>
    </row>
    <row r="582" spans="1:36">
      <c r="A582" t="s">
        <v>1675</v>
      </c>
      <c r="B582" t="s">
        <v>1676</v>
      </c>
      <c r="C582">
        <v>3</v>
      </c>
      <c r="D582" t="s">
        <v>174</v>
      </c>
      <c r="E582" t="s">
        <v>79</v>
      </c>
      <c r="F582" t="s">
        <v>79</v>
      </c>
      <c r="G582" t="s">
        <v>80</v>
      </c>
      <c r="H582" t="s">
        <v>81</v>
      </c>
      <c r="I582" t="s">
        <v>82</v>
      </c>
      <c r="J582" t="s">
        <v>341</v>
      </c>
      <c r="K582" t="s">
        <v>342</v>
      </c>
      <c r="L582" t="s">
        <v>343</v>
      </c>
      <c r="O582" t="s">
        <v>177</v>
      </c>
      <c r="P582">
        <v>0</v>
      </c>
      <c r="Q582" t="s">
        <v>86</v>
      </c>
      <c r="R582">
        <v>0</v>
      </c>
      <c r="S582">
        <v>0</v>
      </c>
      <c r="T582">
        <v>4885</v>
      </c>
      <c r="V582" t="s">
        <v>87</v>
      </c>
      <c r="W582" t="s">
        <v>837</v>
      </c>
      <c r="AB582" t="s">
        <v>291</v>
      </c>
      <c r="AC582" t="s">
        <v>90</v>
      </c>
      <c r="AD582">
        <v>6</v>
      </c>
      <c r="AE582" t="s">
        <v>91</v>
      </c>
      <c r="AF582" t="s">
        <v>102</v>
      </c>
      <c r="AH582">
        <v>3710001237</v>
      </c>
      <c r="AI582">
        <v>3710</v>
      </c>
      <c r="AJ582" t="s">
        <v>292</v>
      </c>
    </row>
    <row r="583" spans="1:36">
      <c r="A583" t="s">
        <v>1677</v>
      </c>
      <c r="B583" t="s">
        <v>1678</v>
      </c>
      <c r="C583">
        <v>3</v>
      </c>
      <c r="D583" t="s">
        <v>174</v>
      </c>
      <c r="E583" t="s">
        <v>79</v>
      </c>
      <c r="F583" t="s">
        <v>79</v>
      </c>
      <c r="G583" t="s">
        <v>80</v>
      </c>
      <c r="H583" t="s">
        <v>81</v>
      </c>
      <c r="I583" t="s">
        <v>82</v>
      </c>
      <c r="J583" t="s">
        <v>95</v>
      </c>
      <c r="K583" t="s">
        <v>389</v>
      </c>
      <c r="L583">
        <v>4</v>
      </c>
      <c r="M583" t="s">
        <v>385</v>
      </c>
      <c r="O583" t="s">
        <v>98</v>
      </c>
      <c r="P583">
        <v>0</v>
      </c>
      <c r="Q583" t="s">
        <v>86</v>
      </c>
      <c r="R583">
        <v>0</v>
      </c>
      <c r="S583">
        <v>0</v>
      </c>
      <c r="T583">
        <v>600</v>
      </c>
      <c r="U583">
        <v>963061245</v>
      </c>
      <c r="V583" t="s">
        <v>87</v>
      </c>
      <c r="W583" t="s">
        <v>387</v>
      </c>
      <c r="AB583" t="s">
        <v>391</v>
      </c>
      <c r="AC583" t="s">
        <v>90</v>
      </c>
      <c r="AD583">
        <v>6</v>
      </c>
      <c r="AE583" t="s">
        <v>101</v>
      </c>
      <c r="AF583" t="s">
        <v>102</v>
      </c>
      <c r="AH583">
        <v>6035004101</v>
      </c>
      <c r="AI583">
        <v>6035</v>
      </c>
      <c r="AJ583" t="s">
        <v>392</v>
      </c>
    </row>
    <row r="584" spans="1:36">
      <c r="A584" t="s">
        <v>1679</v>
      </c>
      <c r="B584" t="s">
        <v>1680</v>
      </c>
      <c r="C584">
        <v>4</v>
      </c>
      <c r="D584" t="s">
        <v>78</v>
      </c>
      <c r="E584" t="s">
        <v>79</v>
      </c>
      <c r="F584" t="s">
        <v>79</v>
      </c>
      <c r="G584" t="s">
        <v>80</v>
      </c>
      <c r="H584" t="s">
        <v>81</v>
      </c>
      <c r="I584" t="s">
        <v>82</v>
      </c>
      <c r="J584" t="s">
        <v>153</v>
      </c>
      <c r="K584" t="s">
        <v>1681</v>
      </c>
      <c r="L584" s="1">
        <v>45328</v>
      </c>
      <c r="N584" t="s">
        <v>108</v>
      </c>
      <c r="O584" t="s">
        <v>156</v>
      </c>
      <c r="P584">
        <v>0</v>
      </c>
      <c r="Q584" t="s">
        <v>86</v>
      </c>
      <c r="R584">
        <v>0</v>
      </c>
      <c r="S584">
        <v>0</v>
      </c>
      <c r="T584">
        <v>9500</v>
      </c>
      <c r="V584" t="s">
        <v>157</v>
      </c>
      <c r="W584" t="s">
        <v>1682</v>
      </c>
      <c r="AB584" t="s">
        <v>198</v>
      </c>
      <c r="AC584" t="s">
        <v>90</v>
      </c>
      <c r="AD584" t="s">
        <v>159</v>
      </c>
      <c r="AE584" t="s">
        <v>160</v>
      </c>
      <c r="AF584" t="s">
        <v>102</v>
      </c>
      <c r="AH584">
        <v>7000057713</v>
      </c>
      <c r="AI584">
        <v>7000</v>
      </c>
      <c r="AJ584" t="s">
        <v>272</v>
      </c>
    </row>
    <row r="585" spans="1:36">
      <c r="A585" t="s">
        <v>1683</v>
      </c>
      <c r="B585" t="s">
        <v>1684</v>
      </c>
      <c r="C585">
        <v>4</v>
      </c>
      <c r="D585" t="s">
        <v>78</v>
      </c>
      <c r="E585" t="s">
        <v>79</v>
      </c>
      <c r="F585" t="s">
        <v>79</v>
      </c>
      <c r="G585" t="s">
        <v>80</v>
      </c>
      <c r="H585" t="s">
        <v>81</v>
      </c>
      <c r="I585" t="s">
        <v>82</v>
      </c>
      <c r="J585" t="s">
        <v>153</v>
      </c>
      <c r="K585" t="s">
        <v>1002</v>
      </c>
      <c r="L585">
        <v>96</v>
      </c>
      <c r="N585" t="s">
        <v>155</v>
      </c>
      <c r="O585" t="s">
        <v>156</v>
      </c>
      <c r="P585">
        <v>0</v>
      </c>
      <c r="Q585" t="s">
        <v>86</v>
      </c>
      <c r="R585">
        <v>0</v>
      </c>
      <c r="S585">
        <v>0</v>
      </c>
      <c r="T585">
        <v>9500</v>
      </c>
      <c r="V585" t="s">
        <v>157</v>
      </c>
      <c r="W585" t="s">
        <v>1685</v>
      </c>
      <c r="AD585" t="s">
        <v>159</v>
      </c>
      <c r="AE585" t="s">
        <v>160</v>
      </c>
      <c r="AF585" t="s">
        <v>102</v>
      </c>
      <c r="AH585">
        <v>7000023404</v>
      </c>
      <c r="AI585">
        <v>7000</v>
      </c>
      <c r="AJ585" t="s">
        <v>272</v>
      </c>
    </row>
    <row r="586" spans="1:36">
      <c r="A586" t="s">
        <v>1686</v>
      </c>
      <c r="B586" t="s">
        <v>1687</v>
      </c>
      <c r="C586">
        <v>3</v>
      </c>
      <c r="D586" t="s">
        <v>130</v>
      </c>
      <c r="E586" t="s">
        <v>79</v>
      </c>
      <c r="F586" t="s">
        <v>79</v>
      </c>
      <c r="G586" t="s">
        <v>80</v>
      </c>
      <c r="H586" t="s">
        <v>81</v>
      </c>
      <c r="I586" t="s">
        <v>82</v>
      </c>
      <c r="J586" t="s">
        <v>83</v>
      </c>
      <c r="K586" t="s">
        <v>83</v>
      </c>
      <c r="L586" t="s">
        <v>84</v>
      </c>
      <c r="O586" t="s">
        <v>85</v>
      </c>
      <c r="P586">
        <v>0</v>
      </c>
      <c r="Q586" t="s">
        <v>86</v>
      </c>
      <c r="R586">
        <v>0</v>
      </c>
      <c r="S586">
        <v>0</v>
      </c>
      <c r="T586">
        <v>7100</v>
      </c>
      <c r="V586" t="s">
        <v>87</v>
      </c>
      <c r="W586" t="s">
        <v>88</v>
      </c>
      <c r="AB586" t="s">
        <v>441</v>
      </c>
      <c r="AC586" t="s">
        <v>442</v>
      </c>
      <c r="AD586">
        <v>6</v>
      </c>
      <c r="AE586" t="s">
        <v>91</v>
      </c>
      <c r="AF586" t="s">
        <v>92</v>
      </c>
      <c r="AH586">
        <v>9570008335</v>
      </c>
      <c r="AI586">
        <v>9570</v>
      </c>
      <c r="AJ586" t="s">
        <v>83</v>
      </c>
    </row>
    <row r="587" spans="1:36">
      <c r="A587" t="s">
        <v>1688</v>
      </c>
      <c r="B587" t="s">
        <v>1689</v>
      </c>
      <c r="C587">
        <v>3</v>
      </c>
      <c r="D587" t="s">
        <v>133</v>
      </c>
      <c r="E587" t="s">
        <v>79</v>
      </c>
      <c r="F587" t="s">
        <v>79</v>
      </c>
      <c r="G587" t="s">
        <v>80</v>
      </c>
      <c r="H587" t="s">
        <v>81</v>
      </c>
      <c r="I587" t="s">
        <v>82</v>
      </c>
      <c r="J587" t="s">
        <v>95</v>
      </c>
      <c r="K587" t="s">
        <v>389</v>
      </c>
      <c r="L587">
        <v>98</v>
      </c>
      <c r="M587" t="s">
        <v>385</v>
      </c>
      <c r="O587" t="s">
        <v>98</v>
      </c>
      <c r="P587">
        <v>0</v>
      </c>
      <c r="Q587" t="s">
        <v>86</v>
      </c>
      <c r="R587">
        <v>0</v>
      </c>
      <c r="S587">
        <v>0</v>
      </c>
      <c r="T587">
        <v>8750</v>
      </c>
      <c r="U587">
        <v>963700000</v>
      </c>
      <c r="V587" t="s">
        <v>87</v>
      </c>
      <c r="W587" t="s">
        <v>1690</v>
      </c>
      <c r="AB587" t="s">
        <v>431</v>
      </c>
      <c r="AC587" t="s">
        <v>90</v>
      </c>
      <c r="AD587">
        <v>6</v>
      </c>
      <c r="AE587" t="s">
        <v>101</v>
      </c>
      <c r="AF587" t="s">
        <v>102</v>
      </c>
      <c r="AH587">
        <v>2320000715</v>
      </c>
      <c r="AI587">
        <v>2320</v>
      </c>
      <c r="AJ587" t="s">
        <v>1691</v>
      </c>
    </row>
    <row r="588" spans="1:36">
      <c r="A588" t="s">
        <v>1685</v>
      </c>
      <c r="B588" t="s">
        <v>1692</v>
      </c>
      <c r="C588">
        <v>3</v>
      </c>
      <c r="D588" t="s">
        <v>78</v>
      </c>
      <c r="E588" t="s">
        <v>79</v>
      </c>
      <c r="F588" t="s">
        <v>79</v>
      </c>
      <c r="G588" t="s">
        <v>80</v>
      </c>
      <c r="H588" t="s">
        <v>81</v>
      </c>
      <c r="I588" t="s">
        <v>82</v>
      </c>
      <c r="J588" t="s">
        <v>153</v>
      </c>
      <c r="K588" t="s">
        <v>1002</v>
      </c>
      <c r="L588">
        <v>96</v>
      </c>
      <c r="N588" t="s">
        <v>155</v>
      </c>
      <c r="O588" t="s">
        <v>156</v>
      </c>
      <c r="P588">
        <v>0</v>
      </c>
      <c r="Q588" t="s">
        <v>86</v>
      </c>
      <c r="R588">
        <v>0</v>
      </c>
      <c r="S588">
        <v>0</v>
      </c>
      <c r="T588">
        <v>9500</v>
      </c>
      <c r="V588" t="s">
        <v>87</v>
      </c>
      <c r="W588" t="s">
        <v>1003</v>
      </c>
      <c r="AB588" t="s">
        <v>216</v>
      </c>
      <c r="AC588" t="s">
        <v>90</v>
      </c>
      <c r="AD588">
        <v>6</v>
      </c>
      <c r="AE588" t="s">
        <v>160</v>
      </c>
      <c r="AF588" t="s">
        <v>102</v>
      </c>
      <c r="AH588">
        <v>1980850002</v>
      </c>
      <c r="AI588">
        <v>1980</v>
      </c>
      <c r="AJ588" t="s">
        <v>620</v>
      </c>
    </row>
    <row r="589" spans="1:36">
      <c r="A589" t="s">
        <v>1682</v>
      </c>
      <c r="B589" t="s">
        <v>1693</v>
      </c>
      <c r="C589">
        <v>3</v>
      </c>
      <c r="D589" t="s">
        <v>78</v>
      </c>
      <c r="E589" t="s">
        <v>79</v>
      </c>
      <c r="F589" t="s">
        <v>79</v>
      </c>
      <c r="G589" t="s">
        <v>80</v>
      </c>
      <c r="H589" t="s">
        <v>81</v>
      </c>
      <c r="I589" t="s">
        <v>82</v>
      </c>
      <c r="J589" t="s">
        <v>153</v>
      </c>
      <c r="K589" t="s">
        <v>1681</v>
      </c>
      <c r="L589" s="1">
        <v>45328</v>
      </c>
      <c r="N589" t="s">
        <v>108</v>
      </c>
      <c r="O589" t="s">
        <v>156</v>
      </c>
      <c r="P589">
        <v>0</v>
      </c>
      <c r="Q589" t="s">
        <v>86</v>
      </c>
      <c r="R589">
        <v>0</v>
      </c>
      <c r="S589">
        <v>0</v>
      </c>
      <c r="T589">
        <v>9500</v>
      </c>
      <c r="V589" t="s">
        <v>87</v>
      </c>
      <c r="W589" t="s">
        <v>1694</v>
      </c>
      <c r="AB589" t="s">
        <v>198</v>
      </c>
      <c r="AC589" t="s">
        <v>90</v>
      </c>
      <c r="AD589">
        <v>6</v>
      </c>
      <c r="AE589" t="s">
        <v>160</v>
      </c>
      <c r="AF589" t="s">
        <v>102</v>
      </c>
      <c r="AH589">
        <v>1980202003</v>
      </c>
      <c r="AI589">
        <v>1980</v>
      </c>
      <c r="AJ589" t="s">
        <v>620</v>
      </c>
    </row>
    <row r="590" spans="1:36">
      <c r="A590" t="s">
        <v>1353</v>
      </c>
      <c r="B590" t="s">
        <v>1695</v>
      </c>
      <c r="C590">
        <v>3</v>
      </c>
      <c r="D590" t="s">
        <v>190</v>
      </c>
      <c r="E590" t="s">
        <v>79</v>
      </c>
      <c r="F590" t="s">
        <v>79</v>
      </c>
      <c r="J590" t="s">
        <v>191</v>
      </c>
      <c r="O590" t="s">
        <v>243</v>
      </c>
      <c r="P590">
        <v>0</v>
      </c>
      <c r="Q590" t="s">
        <v>86</v>
      </c>
      <c r="R590">
        <v>0</v>
      </c>
      <c r="S590">
        <v>0</v>
      </c>
      <c r="T590">
        <v>1060</v>
      </c>
      <c r="V590">
        <v>5</v>
      </c>
      <c r="W590" t="s">
        <v>1362</v>
      </c>
      <c r="AF590" t="s">
        <v>102</v>
      </c>
      <c r="AH590" t="s">
        <v>1696</v>
      </c>
      <c r="AI590" t="s">
        <v>1355</v>
      </c>
    </row>
    <row r="591" spans="1:36">
      <c r="A591" t="s">
        <v>264</v>
      </c>
      <c r="B591" t="s">
        <v>1697</v>
      </c>
      <c r="C591">
        <v>3</v>
      </c>
      <c r="D591" t="s">
        <v>190</v>
      </c>
      <c r="E591" t="s">
        <v>79</v>
      </c>
      <c r="F591" t="s">
        <v>79</v>
      </c>
      <c r="J591" t="s">
        <v>191</v>
      </c>
      <c r="O591" t="s">
        <v>243</v>
      </c>
      <c r="P591">
        <v>0</v>
      </c>
      <c r="Q591" t="s">
        <v>86</v>
      </c>
      <c r="R591">
        <v>0</v>
      </c>
      <c r="S591">
        <v>0</v>
      </c>
      <c r="T591">
        <v>1060</v>
      </c>
      <c r="V591">
        <v>5</v>
      </c>
      <c r="W591" t="s">
        <v>1322</v>
      </c>
      <c r="AF591" t="s">
        <v>102</v>
      </c>
      <c r="AH591" t="s">
        <v>1698</v>
      </c>
      <c r="AI591" t="s">
        <v>266</v>
      </c>
    </row>
    <row r="592" spans="1:36">
      <c r="A592" t="s">
        <v>1571</v>
      </c>
      <c r="B592" t="s">
        <v>1699</v>
      </c>
      <c r="C592">
        <v>3</v>
      </c>
      <c r="D592" t="s">
        <v>190</v>
      </c>
      <c r="E592" t="s">
        <v>79</v>
      </c>
      <c r="F592" t="s">
        <v>79</v>
      </c>
      <c r="J592" t="s">
        <v>191</v>
      </c>
      <c r="O592" t="s">
        <v>243</v>
      </c>
      <c r="P592">
        <v>0</v>
      </c>
      <c r="Q592" t="s">
        <v>86</v>
      </c>
      <c r="R592">
        <v>0</v>
      </c>
      <c r="S592">
        <v>0</v>
      </c>
      <c r="T592">
        <v>1060</v>
      </c>
      <c r="V592">
        <v>4</v>
      </c>
      <c r="W592" t="s">
        <v>249</v>
      </c>
      <c r="AF592" t="s">
        <v>102</v>
      </c>
      <c r="AH592" t="s">
        <v>1700</v>
      </c>
      <c r="AI592" t="s">
        <v>1700</v>
      </c>
    </row>
    <row r="593" spans="1:36">
      <c r="A593" t="s">
        <v>249</v>
      </c>
      <c r="B593" t="s">
        <v>1701</v>
      </c>
      <c r="C593">
        <v>3</v>
      </c>
      <c r="D593" t="s">
        <v>190</v>
      </c>
      <c r="E593" t="s">
        <v>79</v>
      </c>
      <c r="F593" t="s">
        <v>79</v>
      </c>
      <c r="J593" t="s">
        <v>191</v>
      </c>
      <c r="O593" t="s">
        <v>243</v>
      </c>
      <c r="P593">
        <v>0</v>
      </c>
      <c r="Q593" t="s">
        <v>86</v>
      </c>
      <c r="R593">
        <v>0</v>
      </c>
      <c r="S593">
        <v>0</v>
      </c>
      <c r="T593">
        <v>1060</v>
      </c>
      <c r="U593">
        <v>966065601</v>
      </c>
      <c r="V593">
        <v>3</v>
      </c>
      <c r="W593" t="s">
        <v>1082</v>
      </c>
      <c r="AF593" t="s">
        <v>102</v>
      </c>
      <c r="AH593" t="s">
        <v>1702</v>
      </c>
      <c r="AI593" t="s">
        <v>251</v>
      </c>
    </row>
    <row r="594" spans="1:36">
      <c r="A594" t="s">
        <v>1362</v>
      </c>
      <c r="B594" t="s">
        <v>1703</v>
      </c>
      <c r="C594">
        <v>3</v>
      </c>
      <c r="D594" t="s">
        <v>190</v>
      </c>
      <c r="E594" t="s">
        <v>79</v>
      </c>
      <c r="F594" t="s">
        <v>79</v>
      </c>
      <c r="J594" t="s">
        <v>191</v>
      </c>
      <c r="O594" t="s">
        <v>243</v>
      </c>
      <c r="P594">
        <v>0</v>
      </c>
      <c r="Q594" t="s">
        <v>86</v>
      </c>
      <c r="R594">
        <v>0</v>
      </c>
      <c r="S594">
        <v>0</v>
      </c>
      <c r="T594">
        <v>1060</v>
      </c>
      <c r="V594">
        <v>4</v>
      </c>
      <c r="W594" t="s">
        <v>249</v>
      </c>
      <c r="AF594" t="s">
        <v>102</v>
      </c>
      <c r="AH594" t="s">
        <v>1704</v>
      </c>
      <c r="AI594" t="s">
        <v>1253</v>
      </c>
    </row>
    <row r="595" spans="1:36">
      <c r="A595" t="s">
        <v>1255</v>
      </c>
      <c r="B595" t="s">
        <v>1705</v>
      </c>
      <c r="C595">
        <v>3</v>
      </c>
      <c r="D595" t="s">
        <v>190</v>
      </c>
      <c r="E595" t="s">
        <v>79</v>
      </c>
      <c r="F595" t="s">
        <v>79</v>
      </c>
      <c r="J595" t="s">
        <v>191</v>
      </c>
      <c r="O595" t="s">
        <v>243</v>
      </c>
      <c r="P595">
        <v>0</v>
      </c>
      <c r="Q595" t="s">
        <v>86</v>
      </c>
      <c r="R595">
        <v>0</v>
      </c>
      <c r="S595">
        <v>0</v>
      </c>
      <c r="T595">
        <v>1060</v>
      </c>
      <c r="V595">
        <v>5</v>
      </c>
      <c r="W595" t="s">
        <v>1362</v>
      </c>
      <c r="AF595" t="s">
        <v>102</v>
      </c>
      <c r="AH595" t="s">
        <v>1706</v>
      </c>
      <c r="AI595" t="s">
        <v>1253</v>
      </c>
    </row>
    <row r="596" spans="1:36">
      <c r="A596" t="s">
        <v>1707</v>
      </c>
      <c r="B596" t="s">
        <v>1708</v>
      </c>
      <c r="C596">
        <v>3</v>
      </c>
      <c r="D596" t="s">
        <v>190</v>
      </c>
      <c r="E596" t="s">
        <v>79</v>
      </c>
      <c r="F596" t="s">
        <v>79</v>
      </c>
      <c r="J596" t="s">
        <v>191</v>
      </c>
      <c r="O596" t="s">
        <v>243</v>
      </c>
      <c r="P596">
        <v>0</v>
      </c>
      <c r="Q596" t="s">
        <v>86</v>
      </c>
      <c r="R596">
        <v>0</v>
      </c>
      <c r="S596">
        <v>0</v>
      </c>
      <c r="T596">
        <v>1060</v>
      </c>
      <c r="V596">
        <v>6</v>
      </c>
      <c r="W596" t="s">
        <v>1509</v>
      </c>
      <c r="AF596" t="s">
        <v>102</v>
      </c>
      <c r="AI596" t="s">
        <v>1709</v>
      </c>
    </row>
    <row r="597" spans="1:36">
      <c r="A597" t="s">
        <v>1710</v>
      </c>
      <c r="B597" t="s">
        <v>1711</v>
      </c>
      <c r="C597">
        <v>3</v>
      </c>
      <c r="D597" t="s">
        <v>190</v>
      </c>
      <c r="E597" t="s">
        <v>125</v>
      </c>
      <c r="F597" t="s">
        <v>79</v>
      </c>
      <c r="G597" t="s">
        <v>80</v>
      </c>
      <c r="H597" t="s">
        <v>81</v>
      </c>
      <c r="I597" t="s">
        <v>82</v>
      </c>
      <c r="J597" t="s">
        <v>191</v>
      </c>
      <c r="K597" t="s">
        <v>192</v>
      </c>
      <c r="L597">
        <v>1</v>
      </c>
      <c r="P597">
        <v>0</v>
      </c>
      <c r="Q597" t="s">
        <v>86</v>
      </c>
      <c r="R597">
        <v>0</v>
      </c>
      <c r="S597">
        <v>0</v>
      </c>
      <c r="T597">
        <v>1060</v>
      </c>
      <c r="V597" t="s">
        <v>87</v>
      </c>
      <c r="W597" t="s">
        <v>592</v>
      </c>
      <c r="AD597">
        <v>4</v>
      </c>
      <c r="AE597" t="s">
        <v>101</v>
      </c>
      <c r="AF597" t="s">
        <v>102</v>
      </c>
      <c r="AH597">
        <v>8456003125</v>
      </c>
      <c r="AI597">
        <v>8456</v>
      </c>
      <c r="AJ597" t="s">
        <v>593</v>
      </c>
    </row>
    <row r="598" spans="1:36">
      <c r="A598" t="s">
        <v>1712</v>
      </c>
      <c r="B598" t="s">
        <v>1713</v>
      </c>
      <c r="C598">
        <v>3</v>
      </c>
      <c r="D598" t="s">
        <v>190</v>
      </c>
      <c r="E598" t="s">
        <v>79</v>
      </c>
      <c r="F598" t="s">
        <v>125</v>
      </c>
      <c r="P598">
        <v>0</v>
      </c>
      <c r="Q598" t="s">
        <v>86</v>
      </c>
      <c r="R598">
        <v>0</v>
      </c>
      <c r="S598">
        <v>0</v>
      </c>
      <c r="T598">
        <v>2600</v>
      </c>
      <c r="V598">
        <v>4</v>
      </c>
      <c r="W598" t="s">
        <v>1714</v>
      </c>
      <c r="AI598" t="s">
        <v>1715</v>
      </c>
    </row>
    <row r="599" spans="1:36">
      <c r="A599" t="s">
        <v>1714</v>
      </c>
      <c r="B599" t="s">
        <v>1716</v>
      </c>
      <c r="C599">
        <v>3</v>
      </c>
      <c r="D599" t="s">
        <v>190</v>
      </c>
      <c r="E599" t="s">
        <v>79</v>
      </c>
      <c r="F599" t="s">
        <v>79</v>
      </c>
      <c r="J599" t="s">
        <v>191</v>
      </c>
      <c r="O599" t="s">
        <v>243</v>
      </c>
      <c r="P599">
        <v>0</v>
      </c>
      <c r="Q599" t="s">
        <v>86</v>
      </c>
      <c r="R599">
        <v>0</v>
      </c>
      <c r="S599">
        <v>0</v>
      </c>
      <c r="T599">
        <v>2600</v>
      </c>
      <c r="U599">
        <v>966037101</v>
      </c>
      <c r="V599">
        <v>4</v>
      </c>
      <c r="W599" t="s">
        <v>249</v>
      </c>
      <c r="AF599" t="s">
        <v>102</v>
      </c>
      <c r="AH599" t="s">
        <v>1717</v>
      </c>
      <c r="AI599" t="s">
        <v>1623</v>
      </c>
    </row>
    <row r="600" spans="1:36">
      <c r="A600" t="s">
        <v>1322</v>
      </c>
      <c r="B600" t="s">
        <v>1718</v>
      </c>
      <c r="C600">
        <v>3</v>
      </c>
      <c r="D600" t="s">
        <v>190</v>
      </c>
      <c r="E600" t="s">
        <v>79</v>
      </c>
      <c r="F600" t="s">
        <v>79</v>
      </c>
      <c r="J600" t="s">
        <v>191</v>
      </c>
      <c r="O600" t="s">
        <v>243</v>
      </c>
      <c r="P600">
        <v>0</v>
      </c>
      <c r="Q600" t="s">
        <v>86</v>
      </c>
      <c r="R600">
        <v>0</v>
      </c>
      <c r="S600">
        <v>0</v>
      </c>
      <c r="T600">
        <v>1060</v>
      </c>
      <c r="V600">
        <v>4</v>
      </c>
      <c r="W600" t="s">
        <v>249</v>
      </c>
      <c r="AF600" t="s">
        <v>102</v>
      </c>
      <c r="AH600" t="s">
        <v>1719</v>
      </c>
      <c r="AI600" t="s">
        <v>1324</v>
      </c>
    </row>
    <row r="601" spans="1:36">
      <c r="A601" t="s">
        <v>1720</v>
      </c>
      <c r="B601" t="s">
        <v>1721</v>
      </c>
      <c r="C601">
        <v>3</v>
      </c>
      <c r="D601" t="s">
        <v>183</v>
      </c>
      <c r="E601" t="s">
        <v>79</v>
      </c>
      <c r="F601" t="s">
        <v>79</v>
      </c>
      <c r="G601" t="s">
        <v>80</v>
      </c>
      <c r="H601" t="s">
        <v>81</v>
      </c>
      <c r="I601" t="s">
        <v>82</v>
      </c>
      <c r="J601" t="s">
        <v>83</v>
      </c>
      <c r="K601" t="s">
        <v>83</v>
      </c>
      <c r="L601" t="s">
        <v>84</v>
      </c>
      <c r="O601" t="s">
        <v>85</v>
      </c>
      <c r="P601">
        <v>0</v>
      </c>
      <c r="Q601" t="s">
        <v>86</v>
      </c>
      <c r="R601">
        <v>0</v>
      </c>
      <c r="S601">
        <v>0</v>
      </c>
      <c r="T601">
        <v>3800</v>
      </c>
      <c r="V601" t="s">
        <v>87</v>
      </c>
      <c r="W601" t="s">
        <v>1722</v>
      </c>
      <c r="AB601" t="s">
        <v>441</v>
      </c>
      <c r="AC601" t="s">
        <v>442</v>
      </c>
      <c r="AD601">
        <v>6</v>
      </c>
      <c r="AE601" t="s">
        <v>91</v>
      </c>
      <c r="AF601" t="s">
        <v>92</v>
      </c>
      <c r="AH601">
        <v>9570007010</v>
      </c>
      <c r="AI601">
        <v>9570</v>
      </c>
      <c r="AJ601" t="s">
        <v>83</v>
      </c>
    </row>
    <row r="602" spans="1:36">
      <c r="A602" t="s">
        <v>1723</v>
      </c>
      <c r="B602" t="s">
        <v>1724</v>
      </c>
      <c r="C602">
        <v>3</v>
      </c>
      <c r="D602" t="s">
        <v>183</v>
      </c>
      <c r="E602" t="s">
        <v>79</v>
      </c>
      <c r="F602" t="s">
        <v>79</v>
      </c>
      <c r="J602" t="s">
        <v>191</v>
      </c>
      <c r="O602" t="s">
        <v>243</v>
      </c>
      <c r="P602">
        <v>0</v>
      </c>
      <c r="Q602" t="s">
        <v>86</v>
      </c>
      <c r="R602">
        <v>0</v>
      </c>
      <c r="S602">
        <v>0</v>
      </c>
      <c r="T602">
        <v>3800</v>
      </c>
      <c r="U602">
        <v>966037150</v>
      </c>
      <c r="V602" t="s">
        <v>87</v>
      </c>
      <c r="W602" t="s">
        <v>1663</v>
      </c>
      <c r="AF602" t="s">
        <v>102</v>
      </c>
      <c r="AH602" t="s">
        <v>1725</v>
      </c>
      <c r="AI602" t="s">
        <v>574</v>
      </c>
    </row>
    <row r="603" spans="1:36">
      <c r="A603" t="s">
        <v>1726</v>
      </c>
      <c r="B603" t="s">
        <v>1727</v>
      </c>
      <c r="C603">
        <v>4</v>
      </c>
      <c r="D603" t="s">
        <v>183</v>
      </c>
      <c r="E603" t="s">
        <v>79</v>
      </c>
      <c r="F603" t="s">
        <v>79</v>
      </c>
      <c r="J603" t="s">
        <v>191</v>
      </c>
      <c r="O603" t="s">
        <v>243</v>
      </c>
      <c r="P603">
        <v>0</v>
      </c>
      <c r="Q603" t="s">
        <v>86</v>
      </c>
      <c r="R603">
        <v>0</v>
      </c>
      <c r="S603">
        <v>0</v>
      </c>
      <c r="T603">
        <v>3800</v>
      </c>
      <c r="U603">
        <v>96310</v>
      </c>
      <c r="V603" t="s">
        <v>87</v>
      </c>
      <c r="AF603" t="s">
        <v>102</v>
      </c>
      <c r="AI603" t="s">
        <v>1728</v>
      </c>
    </row>
    <row r="604" spans="1:36">
      <c r="A604" t="s">
        <v>1729</v>
      </c>
      <c r="B604" t="s">
        <v>1730</v>
      </c>
      <c r="C604">
        <v>3</v>
      </c>
      <c r="D604" t="s">
        <v>190</v>
      </c>
      <c r="E604" t="s">
        <v>79</v>
      </c>
      <c r="F604" t="s">
        <v>79</v>
      </c>
      <c r="J604" t="s">
        <v>191</v>
      </c>
      <c r="O604" t="s">
        <v>243</v>
      </c>
      <c r="P604">
        <v>0</v>
      </c>
      <c r="Q604" t="s">
        <v>86</v>
      </c>
      <c r="R604">
        <v>0</v>
      </c>
      <c r="S604">
        <v>0</v>
      </c>
      <c r="T604">
        <v>1060</v>
      </c>
      <c r="V604" t="s">
        <v>87</v>
      </c>
      <c r="W604" t="s">
        <v>1309</v>
      </c>
      <c r="AF604" t="s">
        <v>102</v>
      </c>
      <c r="AH604" t="s">
        <v>1731</v>
      </c>
      <c r="AI604" t="s">
        <v>1294</v>
      </c>
    </row>
    <row r="605" spans="1:36">
      <c r="A605" t="s">
        <v>1732</v>
      </c>
      <c r="B605" t="s">
        <v>1733</v>
      </c>
      <c r="C605">
        <v>3</v>
      </c>
      <c r="D605" t="s">
        <v>190</v>
      </c>
      <c r="E605" t="s">
        <v>79</v>
      </c>
      <c r="F605" t="s">
        <v>79</v>
      </c>
      <c r="J605" t="s">
        <v>191</v>
      </c>
      <c r="O605" t="s">
        <v>243</v>
      </c>
      <c r="P605">
        <v>0</v>
      </c>
      <c r="Q605" t="s">
        <v>86</v>
      </c>
      <c r="R605">
        <v>0</v>
      </c>
      <c r="S605">
        <v>0</v>
      </c>
      <c r="T605">
        <v>1060</v>
      </c>
      <c r="V605">
        <v>6</v>
      </c>
      <c r="W605" t="s">
        <v>1509</v>
      </c>
      <c r="AF605" t="s">
        <v>102</v>
      </c>
      <c r="AH605" t="s">
        <v>1734</v>
      </c>
      <c r="AI605" t="s">
        <v>1253</v>
      </c>
    </row>
    <row r="606" spans="1:36">
      <c r="A606" t="s">
        <v>1735</v>
      </c>
      <c r="B606" t="s">
        <v>1736</v>
      </c>
      <c r="C606">
        <v>3</v>
      </c>
      <c r="D606" t="s">
        <v>133</v>
      </c>
      <c r="E606" t="s">
        <v>125</v>
      </c>
      <c r="F606" t="s">
        <v>125</v>
      </c>
      <c r="G606" t="s">
        <v>80</v>
      </c>
      <c r="H606" t="s">
        <v>81</v>
      </c>
      <c r="I606" t="s">
        <v>82</v>
      </c>
      <c r="P606">
        <v>0</v>
      </c>
      <c r="Q606" t="s">
        <v>86</v>
      </c>
      <c r="R606">
        <v>0</v>
      </c>
      <c r="S606">
        <v>0</v>
      </c>
      <c r="T606">
        <v>1180</v>
      </c>
      <c r="V606" t="s">
        <v>87</v>
      </c>
      <c r="W606" t="s">
        <v>918</v>
      </c>
      <c r="AB606">
        <v>2700</v>
      </c>
      <c r="AC606" t="s">
        <v>90</v>
      </c>
      <c r="AD606">
        <v>4</v>
      </c>
      <c r="AH606">
        <v>8456003250</v>
      </c>
      <c r="AI606">
        <v>8456</v>
      </c>
      <c r="AJ606" t="s">
        <v>593</v>
      </c>
    </row>
    <row r="607" spans="1:36">
      <c r="A607" t="s">
        <v>1737</v>
      </c>
      <c r="B607" t="s">
        <v>1738</v>
      </c>
      <c r="C607">
        <v>3</v>
      </c>
      <c r="D607" t="s">
        <v>78</v>
      </c>
      <c r="E607" t="s">
        <v>79</v>
      </c>
      <c r="F607" t="s">
        <v>79</v>
      </c>
      <c r="G607" t="s">
        <v>80</v>
      </c>
      <c r="H607" t="s">
        <v>81</v>
      </c>
      <c r="I607" t="s">
        <v>82</v>
      </c>
      <c r="J607" t="s">
        <v>341</v>
      </c>
      <c r="K607" t="s">
        <v>931</v>
      </c>
      <c r="L607" t="s">
        <v>343</v>
      </c>
      <c r="O607" t="s">
        <v>177</v>
      </c>
      <c r="P607">
        <v>0</v>
      </c>
      <c r="Q607" t="s">
        <v>86</v>
      </c>
      <c r="R607">
        <v>0</v>
      </c>
      <c r="S607">
        <v>0</v>
      </c>
      <c r="T607">
        <v>9500</v>
      </c>
      <c r="V607" t="s">
        <v>87</v>
      </c>
      <c r="W607" t="s">
        <v>932</v>
      </c>
      <c r="AB607" t="s">
        <v>933</v>
      </c>
      <c r="AC607" t="s">
        <v>90</v>
      </c>
      <c r="AD607">
        <v>6</v>
      </c>
      <c r="AE607" t="s">
        <v>91</v>
      </c>
      <c r="AF607" t="s">
        <v>102</v>
      </c>
      <c r="AH607">
        <v>5115014525</v>
      </c>
      <c r="AI607">
        <v>5115</v>
      </c>
      <c r="AJ607" t="s">
        <v>934</v>
      </c>
    </row>
    <row r="608" spans="1:36">
      <c r="A608" t="s">
        <v>1739</v>
      </c>
      <c r="B608" t="s">
        <v>1740</v>
      </c>
      <c r="C608">
        <v>3</v>
      </c>
      <c r="D608" t="s">
        <v>78</v>
      </c>
      <c r="E608" t="s">
        <v>79</v>
      </c>
      <c r="F608" t="s">
        <v>79</v>
      </c>
      <c r="G608" t="s">
        <v>80</v>
      </c>
      <c r="H608" t="s">
        <v>81</v>
      </c>
      <c r="I608" t="s">
        <v>82</v>
      </c>
      <c r="J608" t="s">
        <v>153</v>
      </c>
      <c r="K608" t="s">
        <v>236</v>
      </c>
      <c r="L608">
        <v>1</v>
      </c>
      <c r="O608" t="s">
        <v>237</v>
      </c>
      <c r="P608">
        <v>0</v>
      </c>
      <c r="Q608" t="s">
        <v>86</v>
      </c>
      <c r="R608">
        <v>0</v>
      </c>
      <c r="S608">
        <v>0</v>
      </c>
      <c r="T608">
        <v>9500</v>
      </c>
      <c r="V608" t="s">
        <v>87</v>
      </c>
      <c r="W608" t="s">
        <v>1741</v>
      </c>
      <c r="AB608" t="s">
        <v>239</v>
      </c>
      <c r="AC608" t="s">
        <v>90</v>
      </c>
      <c r="AD608">
        <v>6</v>
      </c>
      <c r="AF608" t="s">
        <v>102</v>
      </c>
      <c r="AH608">
        <v>5465097001</v>
      </c>
      <c r="AI608">
        <v>5465</v>
      </c>
      <c r="AJ608" t="s">
        <v>240</v>
      </c>
    </row>
    <row r="609" spans="1:36">
      <c r="A609" t="s">
        <v>1742</v>
      </c>
      <c r="B609" t="s">
        <v>1743</v>
      </c>
      <c r="C609">
        <v>3</v>
      </c>
      <c r="D609" t="s">
        <v>183</v>
      </c>
      <c r="E609" t="s">
        <v>79</v>
      </c>
      <c r="F609" t="s">
        <v>79</v>
      </c>
      <c r="G609" t="s">
        <v>80</v>
      </c>
      <c r="H609" t="s">
        <v>81</v>
      </c>
      <c r="I609" t="s">
        <v>82</v>
      </c>
      <c r="J609" t="s">
        <v>95</v>
      </c>
      <c r="K609" t="s">
        <v>184</v>
      </c>
      <c r="L609">
        <v>98</v>
      </c>
      <c r="N609" t="s">
        <v>185</v>
      </c>
      <c r="O609" t="s">
        <v>98</v>
      </c>
      <c r="P609">
        <v>0</v>
      </c>
      <c r="Q609" t="s">
        <v>86</v>
      </c>
      <c r="R609">
        <v>0</v>
      </c>
      <c r="S609">
        <v>0</v>
      </c>
      <c r="T609">
        <v>3800</v>
      </c>
      <c r="V609" t="s">
        <v>87</v>
      </c>
      <c r="W609" t="s">
        <v>186</v>
      </c>
      <c r="AB609" t="s">
        <v>100</v>
      </c>
      <c r="AC609" t="s">
        <v>90</v>
      </c>
      <c r="AD609">
        <v>6</v>
      </c>
      <c r="AE609" t="s">
        <v>101</v>
      </c>
      <c r="AF609" t="s">
        <v>102</v>
      </c>
      <c r="AH609">
        <v>2336000530</v>
      </c>
      <c r="AI609">
        <v>2336</v>
      </c>
      <c r="AJ609" t="s">
        <v>187</v>
      </c>
    </row>
    <row r="610" spans="1:36">
      <c r="A610" t="s">
        <v>1744</v>
      </c>
      <c r="B610" t="s">
        <v>1745</v>
      </c>
      <c r="C610">
        <v>3</v>
      </c>
      <c r="D610" t="s">
        <v>174</v>
      </c>
      <c r="E610" t="s">
        <v>125</v>
      </c>
      <c r="F610" t="s">
        <v>79</v>
      </c>
      <c r="G610" t="s">
        <v>80</v>
      </c>
      <c r="H610" t="s">
        <v>81</v>
      </c>
      <c r="I610" t="s">
        <v>82</v>
      </c>
      <c r="J610" t="s">
        <v>95</v>
      </c>
      <c r="K610" t="s">
        <v>184</v>
      </c>
      <c r="L610">
        <v>98</v>
      </c>
      <c r="N610" t="s">
        <v>185</v>
      </c>
      <c r="O610" t="s">
        <v>98</v>
      </c>
      <c r="P610">
        <v>0</v>
      </c>
      <c r="Q610" t="s">
        <v>86</v>
      </c>
      <c r="R610">
        <v>0</v>
      </c>
      <c r="S610">
        <v>0</v>
      </c>
      <c r="T610">
        <v>600</v>
      </c>
      <c r="V610" t="s">
        <v>87</v>
      </c>
      <c r="W610" t="s">
        <v>186</v>
      </c>
      <c r="AB610" t="s">
        <v>100</v>
      </c>
      <c r="AC610" t="s">
        <v>90</v>
      </c>
      <c r="AD610">
        <v>2</v>
      </c>
      <c r="AE610" t="s">
        <v>165</v>
      </c>
      <c r="AF610" t="s">
        <v>102</v>
      </c>
      <c r="AH610">
        <v>2336000520</v>
      </c>
      <c r="AI610">
        <v>2336</v>
      </c>
      <c r="AJ610" t="s">
        <v>187</v>
      </c>
    </row>
    <row r="611" spans="1:36">
      <c r="A611" t="s">
        <v>572</v>
      </c>
      <c r="B611" t="s">
        <v>1746</v>
      </c>
      <c r="C611">
        <v>3</v>
      </c>
      <c r="D611" t="s">
        <v>190</v>
      </c>
      <c r="E611" t="s">
        <v>79</v>
      </c>
      <c r="F611" t="s">
        <v>79</v>
      </c>
      <c r="J611" t="s">
        <v>191</v>
      </c>
      <c r="O611" t="s">
        <v>243</v>
      </c>
      <c r="P611">
        <v>0</v>
      </c>
      <c r="Q611" t="s">
        <v>86</v>
      </c>
      <c r="R611">
        <v>0</v>
      </c>
      <c r="S611">
        <v>0</v>
      </c>
      <c r="T611">
        <v>1065</v>
      </c>
      <c r="U611">
        <v>966037101</v>
      </c>
      <c r="V611">
        <v>5</v>
      </c>
      <c r="W611" t="s">
        <v>1714</v>
      </c>
      <c r="AF611" t="s">
        <v>102</v>
      </c>
      <c r="AH611" t="s">
        <v>1747</v>
      </c>
      <c r="AI611" t="s">
        <v>1623</v>
      </c>
    </row>
    <row r="612" spans="1:36">
      <c r="A612" t="s">
        <v>1748</v>
      </c>
      <c r="B612" t="s">
        <v>1749</v>
      </c>
      <c r="C612">
        <v>3</v>
      </c>
      <c r="D612" t="s">
        <v>183</v>
      </c>
      <c r="E612" t="s">
        <v>79</v>
      </c>
      <c r="F612" t="s">
        <v>79</v>
      </c>
      <c r="J612" t="s">
        <v>191</v>
      </c>
      <c r="O612" t="s">
        <v>243</v>
      </c>
      <c r="P612">
        <v>0</v>
      </c>
      <c r="Q612" t="s">
        <v>86</v>
      </c>
      <c r="R612">
        <v>0</v>
      </c>
      <c r="S612">
        <v>0</v>
      </c>
      <c r="T612">
        <v>3800</v>
      </c>
      <c r="U612">
        <v>966037101</v>
      </c>
      <c r="V612" t="s">
        <v>87</v>
      </c>
      <c r="W612" t="s">
        <v>572</v>
      </c>
      <c r="AF612" t="s">
        <v>102</v>
      </c>
      <c r="AH612" t="s">
        <v>1750</v>
      </c>
      <c r="AI612" t="s">
        <v>574</v>
      </c>
    </row>
    <row r="613" spans="1:36">
      <c r="A613" t="s">
        <v>1643</v>
      </c>
      <c r="B613" t="s">
        <v>1751</v>
      </c>
      <c r="C613">
        <v>3</v>
      </c>
      <c r="D613" t="s">
        <v>190</v>
      </c>
      <c r="E613" t="s">
        <v>79</v>
      </c>
      <c r="F613" t="s">
        <v>79</v>
      </c>
      <c r="J613" t="s">
        <v>191</v>
      </c>
      <c r="O613" t="s">
        <v>243</v>
      </c>
      <c r="P613">
        <v>0</v>
      </c>
      <c r="Q613" t="s">
        <v>86</v>
      </c>
      <c r="R613">
        <v>0</v>
      </c>
      <c r="S613">
        <v>0</v>
      </c>
      <c r="T613">
        <v>2600</v>
      </c>
      <c r="U613">
        <v>966037131</v>
      </c>
      <c r="V613">
        <v>5</v>
      </c>
      <c r="W613" t="s">
        <v>1714</v>
      </c>
      <c r="AF613" t="s">
        <v>102</v>
      </c>
      <c r="AH613" t="s">
        <v>1752</v>
      </c>
      <c r="AI613" t="s">
        <v>1623</v>
      </c>
    </row>
    <row r="614" spans="1:36">
      <c r="A614" t="s">
        <v>1550</v>
      </c>
      <c r="B614" t="s">
        <v>1753</v>
      </c>
      <c r="C614">
        <v>3</v>
      </c>
      <c r="D614" t="s">
        <v>190</v>
      </c>
      <c r="E614" t="s">
        <v>79</v>
      </c>
      <c r="F614" t="s">
        <v>79</v>
      </c>
      <c r="J614" t="s">
        <v>191</v>
      </c>
      <c r="O614" t="s">
        <v>243</v>
      </c>
      <c r="P614">
        <v>0</v>
      </c>
      <c r="Q614" t="s">
        <v>86</v>
      </c>
      <c r="R614">
        <v>0</v>
      </c>
      <c r="S614">
        <v>0</v>
      </c>
      <c r="T614">
        <v>2600</v>
      </c>
      <c r="U614">
        <v>966037178</v>
      </c>
      <c r="V614">
        <v>5</v>
      </c>
      <c r="W614" t="s">
        <v>1714</v>
      </c>
      <c r="AF614" t="s">
        <v>102</v>
      </c>
      <c r="AH614" t="s">
        <v>1754</v>
      </c>
      <c r="AI614" t="s">
        <v>1487</v>
      </c>
    </row>
    <row r="615" spans="1:36">
      <c r="A615" t="s">
        <v>1485</v>
      </c>
      <c r="B615" t="s">
        <v>1755</v>
      </c>
      <c r="C615">
        <v>3</v>
      </c>
      <c r="D615" t="s">
        <v>190</v>
      </c>
      <c r="E615" t="s">
        <v>79</v>
      </c>
      <c r="F615" t="s">
        <v>79</v>
      </c>
      <c r="J615" t="s">
        <v>191</v>
      </c>
      <c r="O615" t="s">
        <v>243</v>
      </c>
      <c r="P615">
        <v>0</v>
      </c>
      <c r="Q615" t="s">
        <v>86</v>
      </c>
      <c r="R615">
        <v>0</v>
      </c>
      <c r="S615">
        <v>0</v>
      </c>
      <c r="T615">
        <v>2600</v>
      </c>
      <c r="U615">
        <v>966037215</v>
      </c>
      <c r="V615">
        <v>6</v>
      </c>
      <c r="W615" t="s">
        <v>1550</v>
      </c>
      <c r="AF615" t="s">
        <v>102</v>
      </c>
      <c r="AH615" t="s">
        <v>1756</v>
      </c>
      <c r="AI615" t="s">
        <v>1487</v>
      </c>
    </row>
    <row r="616" spans="1:36">
      <c r="A616" t="s">
        <v>1757</v>
      </c>
      <c r="B616" t="s">
        <v>1758</v>
      </c>
      <c r="C616">
        <v>3</v>
      </c>
      <c r="D616" t="s">
        <v>183</v>
      </c>
      <c r="E616" t="s">
        <v>79</v>
      </c>
      <c r="F616" t="s">
        <v>79</v>
      </c>
      <c r="J616" t="s">
        <v>191</v>
      </c>
      <c r="O616" t="s">
        <v>243</v>
      </c>
      <c r="P616">
        <v>0</v>
      </c>
      <c r="Q616" t="s">
        <v>86</v>
      </c>
      <c r="R616">
        <v>0</v>
      </c>
      <c r="S616">
        <v>0</v>
      </c>
      <c r="T616">
        <v>3800</v>
      </c>
      <c r="U616">
        <v>966037161</v>
      </c>
      <c r="V616" t="s">
        <v>87</v>
      </c>
      <c r="W616" t="s">
        <v>1663</v>
      </c>
      <c r="AF616" t="s">
        <v>102</v>
      </c>
      <c r="AH616" t="s">
        <v>1759</v>
      </c>
      <c r="AI616" t="s">
        <v>1760</v>
      </c>
    </row>
    <row r="617" spans="1:36">
      <c r="A617" t="s">
        <v>1761</v>
      </c>
      <c r="B617" t="s">
        <v>1762</v>
      </c>
      <c r="C617">
        <v>3</v>
      </c>
      <c r="D617" t="s">
        <v>183</v>
      </c>
      <c r="E617" t="s">
        <v>125</v>
      </c>
      <c r="F617" t="s">
        <v>79</v>
      </c>
      <c r="G617" t="s">
        <v>80</v>
      </c>
      <c r="H617" t="s">
        <v>81</v>
      </c>
      <c r="I617" t="s">
        <v>82</v>
      </c>
      <c r="J617" t="s">
        <v>95</v>
      </c>
      <c r="K617" t="s">
        <v>184</v>
      </c>
      <c r="L617">
        <v>98</v>
      </c>
      <c r="N617" t="s">
        <v>185</v>
      </c>
      <c r="O617" t="s">
        <v>98</v>
      </c>
      <c r="P617">
        <v>0</v>
      </c>
      <c r="Q617" t="s">
        <v>86</v>
      </c>
      <c r="R617">
        <v>0</v>
      </c>
      <c r="S617">
        <v>0</v>
      </c>
      <c r="T617">
        <v>3800</v>
      </c>
      <c r="V617" t="s">
        <v>87</v>
      </c>
      <c r="W617" t="s">
        <v>204</v>
      </c>
      <c r="AB617" t="s">
        <v>100</v>
      </c>
      <c r="AC617" t="s">
        <v>90</v>
      </c>
      <c r="AD617">
        <v>4</v>
      </c>
      <c r="AE617" t="s">
        <v>165</v>
      </c>
      <c r="AF617" t="s">
        <v>102</v>
      </c>
      <c r="AH617">
        <v>2333092016</v>
      </c>
      <c r="AI617">
        <v>2333</v>
      </c>
      <c r="AJ617" t="s">
        <v>206</v>
      </c>
    </row>
    <row r="618" spans="1:36">
      <c r="A618" t="s">
        <v>1763</v>
      </c>
      <c r="B618" t="s">
        <v>1764</v>
      </c>
      <c r="C618">
        <v>3</v>
      </c>
      <c r="D618" t="s">
        <v>133</v>
      </c>
      <c r="E618" t="s">
        <v>79</v>
      </c>
      <c r="F618" t="s">
        <v>79</v>
      </c>
      <c r="G618" t="s">
        <v>80</v>
      </c>
      <c r="H618" t="s">
        <v>81</v>
      </c>
      <c r="I618" t="s">
        <v>82</v>
      </c>
      <c r="J618" t="s">
        <v>106</v>
      </c>
      <c r="K618" t="s">
        <v>107</v>
      </c>
      <c r="L618" s="1">
        <v>45328</v>
      </c>
      <c r="N618" t="s">
        <v>108</v>
      </c>
      <c r="O618" t="s">
        <v>98</v>
      </c>
      <c r="P618">
        <v>0</v>
      </c>
      <c r="Q618" t="s">
        <v>86</v>
      </c>
      <c r="R618">
        <v>0</v>
      </c>
      <c r="S618">
        <v>0</v>
      </c>
      <c r="T618">
        <v>3950</v>
      </c>
      <c r="V618" t="s">
        <v>87</v>
      </c>
      <c r="W618" t="s">
        <v>1147</v>
      </c>
      <c r="AB618">
        <v>9999</v>
      </c>
      <c r="AC618" t="s">
        <v>90</v>
      </c>
      <c r="AD618">
        <v>6</v>
      </c>
      <c r="AE618" t="s">
        <v>101</v>
      </c>
      <c r="AF618" t="s">
        <v>102</v>
      </c>
      <c r="AH618">
        <v>3675400028</v>
      </c>
      <c r="AI618">
        <v>3675</v>
      </c>
      <c r="AJ618" t="s">
        <v>1148</v>
      </c>
    </row>
    <row r="619" spans="1:36">
      <c r="A619" t="s">
        <v>1765</v>
      </c>
      <c r="B619" t="s">
        <v>1766</v>
      </c>
      <c r="C619">
        <v>3</v>
      </c>
      <c r="D619" t="s">
        <v>133</v>
      </c>
      <c r="E619" t="s">
        <v>79</v>
      </c>
      <c r="F619" t="s">
        <v>79</v>
      </c>
      <c r="G619" t="s">
        <v>1584</v>
      </c>
      <c r="H619" t="s">
        <v>1585</v>
      </c>
      <c r="I619" t="s">
        <v>1586</v>
      </c>
      <c r="J619" t="s">
        <v>106</v>
      </c>
      <c r="K619" t="s">
        <v>107</v>
      </c>
      <c r="L619" s="1">
        <v>45328</v>
      </c>
      <c r="N619" t="s">
        <v>108</v>
      </c>
      <c r="O619" t="s">
        <v>98</v>
      </c>
      <c r="P619">
        <v>0</v>
      </c>
      <c r="Q619" t="s">
        <v>86</v>
      </c>
      <c r="R619">
        <v>0</v>
      </c>
      <c r="S619">
        <v>0</v>
      </c>
      <c r="T619">
        <v>3950</v>
      </c>
      <c r="V619" t="s">
        <v>87</v>
      </c>
      <c r="W619" t="s">
        <v>1147</v>
      </c>
      <c r="AB619">
        <v>9999</v>
      </c>
      <c r="AC619" t="s">
        <v>90</v>
      </c>
      <c r="AD619">
        <v>6</v>
      </c>
      <c r="AE619" t="s">
        <v>101</v>
      </c>
      <c r="AF619" t="s">
        <v>102</v>
      </c>
      <c r="AH619">
        <v>3675400029</v>
      </c>
      <c r="AI619">
        <v>3675</v>
      </c>
      <c r="AJ619" t="s">
        <v>1148</v>
      </c>
    </row>
    <row r="620" spans="1:36">
      <c r="A620" t="s">
        <v>1767</v>
      </c>
      <c r="B620" t="s">
        <v>1768</v>
      </c>
      <c r="C620">
        <v>4</v>
      </c>
      <c r="D620" t="s">
        <v>190</v>
      </c>
      <c r="E620" t="s">
        <v>79</v>
      </c>
      <c r="F620" t="s">
        <v>79</v>
      </c>
      <c r="J620" t="s">
        <v>191</v>
      </c>
      <c r="O620" t="s">
        <v>243</v>
      </c>
      <c r="P620">
        <v>0</v>
      </c>
      <c r="Q620" t="s">
        <v>86</v>
      </c>
      <c r="R620">
        <v>0</v>
      </c>
      <c r="S620">
        <v>0</v>
      </c>
      <c r="T620">
        <v>1065</v>
      </c>
      <c r="U620">
        <v>0</v>
      </c>
      <c r="V620" t="s">
        <v>87</v>
      </c>
      <c r="W620" t="s">
        <v>1072</v>
      </c>
      <c r="AF620" t="s">
        <v>102</v>
      </c>
      <c r="AH620" t="s">
        <v>1769</v>
      </c>
      <c r="AI620" t="s">
        <v>721</v>
      </c>
    </row>
    <row r="621" spans="1:36">
      <c r="A621" t="s">
        <v>1770</v>
      </c>
      <c r="B621" t="s">
        <v>1771</v>
      </c>
      <c r="C621">
        <v>3</v>
      </c>
      <c r="D621" t="s">
        <v>78</v>
      </c>
      <c r="E621" t="s">
        <v>125</v>
      </c>
      <c r="F621" t="s">
        <v>79</v>
      </c>
      <c r="G621" t="s">
        <v>80</v>
      </c>
      <c r="H621" t="s">
        <v>81</v>
      </c>
      <c r="I621" t="s">
        <v>82</v>
      </c>
      <c r="J621" t="s">
        <v>119</v>
      </c>
      <c r="K621" t="s">
        <v>1772</v>
      </c>
      <c r="L621">
        <v>4</v>
      </c>
      <c r="O621" t="s">
        <v>119</v>
      </c>
      <c r="P621">
        <v>0</v>
      </c>
      <c r="Q621" t="s">
        <v>86</v>
      </c>
      <c r="R621">
        <v>0</v>
      </c>
      <c r="S621">
        <v>0</v>
      </c>
      <c r="T621">
        <v>8000</v>
      </c>
      <c r="V621" t="s">
        <v>87</v>
      </c>
      <c r="W621" t="s">
        <v>1773</v>
      </c>
      <c r="AB621">
        <v>2222</v>
      </c>
      <c r="AC621" t="s">
        <v>1774</v>
      </c>
      <c r="AD621">
        <v>4</v>
      </c>
      <c r="AE621" t="s">
        <v>101</v>
      </c>
      <c r="AF621" t="s">
        <v>102</v>
      </c>
      <c r="AH621">
        <v>9670002034</v>
      </c>
      <c r="AI621">
        <v>9670</v>
      </c>
      <c r="AJ621" t="s">
        <v>1775</v>
      </c>
    </row>
    <row r="622" spans="1:36">
      <c r="A622" t="s">
        <v>1776</v>
      </c>
      <c r="B622" t="s">
        <v>1777</v>
      </c>
      <c r="C622">
        <v>3</v>
      </c>
      <c r="D622" t="s">
        <v>183</v>
      </c>
      <c r="E622" t="s">
        <v>79</v>
      </c>
      <c r="F622" t="s">
        <v>79</v>
      </c>
      <c r="J622" t="s">
        <v>191</v>
      </c>
      <c r="O622" t="s">
        <v>243</v>
      </c>
      <c r="P622">
        <v>0</v>
      </c>
      <c r="Q622" t="s">
        <v>86</v>
      </c>
      <c r="R622">
        <v>0</v>
      </c>
      <c r="S622">
        <v>0</v>
      </c>
      <c r="T622">
        <v>3800</v>
      </c>
      <c r="U622">
        <v>966037215</v>
      </c>
      <c r="V622" t="s">
        <v>87</v>
      </c>
      <c r="W622" t="s">
        <v>1485</v>
      </c>
      <c r="AF622" t="s">
        <v>102</v>
      </c>
      <c r="AH622" t="s">
        <v>1657</v>
      </c>
      <c r="AI622" t="s">
        <v>1487</v>
      </c>
    </row>
    <row r="623" spans="1:36">
      <c r="A623" t="s">
        <v>1778</v>
      </c>
      <c r="B623" t="s">
        <v>1779</v>
      </c>
      <c r="C623">
        <v>3</v>
      </c>
      <c r="D623" t="s">
        <v>174</v>
      </c>
      <c r="E623" t="s">
        <v>125</v>
      </c>
      <c r="F623" t="s">
        <v>79</v>
      </c>
      <c r="G623" t="s">
        <v>80</v>
      </c>
      <c r="H623" t="s">
        <v>81</v>
      </c>
      <c r="I623" t="s">
        <v>82</v>
      </c>
      <c r="J623" t="s">
        <v>95</v>
      </c>
      <c r="K623" t="s">
        <v>184</v>
      </c>
      <c r="L623">
        <v>98</v>
      </c>
      <c r="N623" t="s">
        <v>185</v>
      </c>
      <c r="O623" t="s">
        <v>98</v>
      </c>
      <c r="P623">
        <v>0</v>
      </c>
      <c r="Q623" t="s">
        <v>86</v>
      </c>
      <c r="R623">
        <v>0</v>
      </c>
      <c r="S623">
        <v>0</v>
      </c>
      <c r="T623">
        <v>600</v>
      </c>
      <c r="V623" t="s">
        <v>87</v>
      </c>
      <c r="W623" t="s">
        <v>186</v>
      </c>
      <c r="AB623" t="s">
        <v>100</v>
      </c>
      <c r="AC623" t="s">
        <v>90</v>
      </c>
      <c r="AD623">
        <v>4</v>
      </c>
      <c r="AE623" t="s">
        <v>165</v>
      </c>
      <c r="AF623" t="s">
        <v>102</v>
      </c>
      <c r="AH623">
        <v>2336000510</v>
      </c>
      <c r="AI623">
        <v>2336</v>
      </c>
      <c r="AJ623" t="s">
        <v>187</v>
      </c>
    </row>
    <row r="624" spans="1:36">
      <c r="A624" t="s">
        <v>1780</v>
      </c>
      <c r="B624" t="s">
        <v>1781</v>
      </c>
      <c r="C624">
        <v>3</v>
      </c>
      <c r="D624" t="s">
        <v>78</v>
      </c>
      <c r="E624" t="s">
        <v>79</v>
      </c>
      <c r="F624" t="s">
        <v>79</v>
      </c>
      <c r="G624" t="s">
        <v>80</v>
      </c>
      <c r="H624" t="s">
        <v>81</v>
      </c>
      <c r="I624" t="s">
        <v>82</v>
      </c>
      <c r="J624" t="s">
        <v>301</v>
      </c>
      <c r="K624" t="s">
        <v>406</v>
      </c>
      <c r="L624">
        <v>4</v>
      </c>
      <c r="O624" t="s">
        <v>301</v>
      </c>
      <c r="P624">
        <v>0</v>
      </c>
      <c r="Q624" t="s">
        <v>86</v>
      </c>
      <c r="R624">
        <v>0</v>
      </c>
      <c r="S624">
        <v>0</v>
      </c>
      <c r="T624">
        <v>9510</v>
      </c>
      <c r="V624" t="s">
        <v>87</v>
      </c>
      <c r="W624" t="s">
        <v>404</v>
      </c>
      <c r="AB624" t="s">
        <v>314</v>
      </c>
      <c r="AC624" t="s">
        <v>90</v>
      </c>
      <c r="AD624">
        <v>6</v>
      </c>
      <c r="AE624" t="s">
        <v>91</v>
      </c>
      <c r="AF624" t="s">
        <v>102</v>
      </c>
      <c r="AH624">
        <v>6173080046</v>
      </c>
      <c r="AI624">
        <v>6173</v>
      </c>
      <c r="AJ624" t="s">
        <v>407</v>
      </c>
    </row>
    <row r="625" spans="1:36">
      <c r="A625" t="s">
        <v>1782</v>
      </c>
      <c r="B625" t="s">
        <v>1783</v>
      </c>
      <c r="C625">
        <v>3</v>
      </c>
      <c r="D625" t="s">
        <v>174</v>
      </c>
      <c r="E625" t="s">
        <v>79</v>
      </c>
      <c r="F625" t="s">
        <v>79</v>
      </c>
      <c r="G625" t="s">
        <v>80</v>
      </c>
      <c r="H625" t="s">
        <v>81</v>
      </c>
      <c r="I625" t="s">
        <v>82</v>
      </c>
      <c r="J625" t="s">
        <v>301</v>
      </c>
      <c r="K625" t="s">
        <v>406</v>
      </c>
      <c r="L625">
        <v>4</v>
      </c>
      <c r="O625" t="s">
        <v>301</v>
      </c>
      <c r="P625">
        <v>0</v>
      </c>
      <c r="Q625" t="s">
        <v>86</v>
      </c>
      <c r="R625">
        <v>0</v>
      </c>
      <c r="S625">
        <v>0</v>
      </c>
      <c r="T625">
        <v>4885</v>
      </c>
      <c r="V625" t="s">
        <v>87</v>
      </c>
      <c r="W625" t="s">
        <v>404</v>
      </c>
      <c r="AB625" t="s">
        <v>304</v>
      </c>
      <c r="AC625" t="s">
        <v>305</v>
      </c>
      <c r="AD625">
        <v>6</v>
      </c>
      <c r="AE625" t="s">
        <v>91</v>
      </c>
      <c r="AF625" t="s">
        <v>102</v>
      </c>
      <c r="AH625">
        <v>6173080045</v>
      </c>
      <c r="AI625">
        <v>6173</v>
      </c>
      <c r="AJ625" t="s">
        <v>407</v>
      </c>
    </row>
    <row r="626" spans="1:36">
      <c r="A626" t="s">
        <v>1784</v>
      </c>
      <c r="B626" t="s">
        <v>1785</v>
      </c>
      <c r="C626">
        <v>3</v>
      </c>
      <c r="D626" t="s">
        <v>174</v>
      </c>
      <c r="E626" t="s">
        <v>79</v>
      </c>
      <c r="F626" t="s">
        <v>79</v>
      </c>
      <c r="G626" t="s">
        <v>80</v>
      </c>
      <c r="H626" t="s">
        <v>81</v>
      </c>
      <c r="I626" t="s">
        <v>82</v>
      </c>
      <c r="J626" t="s">
        <v>301</v>
      </c>
      <c r="K626" t="s">
        <v>406</v>
      </c>
      <c r="L626">
        <v>4</v>
      </c>
      <c r="O626" t="s">
        <v>301</v>
      </c>
      <c r="P626">
        <v>0</v>
      </c>
      <c r="Q626" t="s">
        <v>86</v>
      </c>
      <c r="R626">
        <v>0</v>
      </c>
      <c r="S626">
        <v>0</v>
      </c>
      <c r="T626">
        <v>600</v>
      </c>
      <c r="V626" t="s">
        <v>87</v>
      </c>
      <c r="W626" t="s">
        <v>404</v>
      </c>
      <c r="AB626" t="s">
        <v>304</v>
      </c>
      <c r="AC626" t="s">
        <v>305</v>
      </c>
      <c r="AD626">
        <v>6</v>
      </c>
      <c r="AE626" t="s">
        <v>91</v>
      </c>
      <c r="AF626" t="s">
        <v>102</v>
      </c>
      <c r="AH626">
        <v>6173080044</v>
      </c>
      <c r="AI626">
        <v>6173</v>
      </c>
      <c r="AJ626" t="s">
        <v>407</v>
      </c>
    </row>
    <row r="627" spans="1:36">
      <c r="A627" t="s">
        <v>1786</v>
      </c>
      <c r="B627" t="s">
        <v>1787</v>
      </c>
      <c r="C627">
        <v>3</v>
      </c>
      <c r="D627" t="s">
        <v>78</v>
      </c>
      <c r="E627" t="s">
        <v>79</v>
      </c>
      <c r="F627" t="s">
        <v>79</v>
      </c>
      <c r="G627" t="s">
        <v>80</v>
      </c>
      <c r="H627" t="s">
        <v>81</v>
      </c>
      <c r="I627" t="s">
        <v>82</v>
      </c>
      <c r="J627" t="s">
        <v>301</v>
      </c>
      <c r="K627" t="s">
        <v>406</v>
      </c>
      <c r="L627">
        <v>4</v>
      </c>
      <c r="O627" t="s">
        <v>301</v>
      </c>
      <c r="P627">
        <v>0</v>
      </c>
      <c r="Q627" t="s">
        <v>86</v>
      </c>
      <c r="R627">
        <v>0</v>
      </c>
      <c r="S627">
        <v>0</v>
      </c>
      <c r="T627">
        <v>9500</v>
      </c>
      <c r="V627" t="s">
        <v>87</v>
      </c>
      <c r="W627" t="s">
        <v>404</v>
      </c>
      <c r="AB627" t="s">
        <v>314</v>
      </c>
      <c r="AC627" t="s">
        <v>90</v>
      </c>
      <c r="AD627">
        <v>6</v>
      </c>
      <c r="AE627" t="s">
        <v>91</v>
      </c>
      <c r="AF627" t="s">
        <v>102</v>
      </c>
      <c r="AH627">
        <v>6173080043</v>
      </c>
      <c r="AI627">
        <v>6173</v>
      </c>
      <c r="AJ627" t="s">
        <v>407</v>
      </c>
    </row>
    <row r="628" spans="1:36">
      <c r="A628" t="s">
        <v>1788</v>
      </c>
      <c r="B628" t="s">
        <v>1789</v>
      </c>
      <c r="C628">
        <v>3</v>
      </c>
      <c r="D628" t="s">
        <v>78</v>
      </c>
      <c r="E628" t="s">
        <v>79</v>
      </c>
      <c r="F628" t="s">
        <v>79</v>
      </c>
      <c r="G628" t="s">
        <v>80</v>
      </c>
      <c r="H628" t="s">
        <v>81</v>
      </c>
      <c r="I628" t="s">
        <v>82</v>
      </c>
      <c r="J628" t="s">
        <v>301</v>
      </c>
      <c r="K628" t="s">
        <v>406</v>
      </c>
      <c r="L628">
        <v>4</v>
      </c>
      <c r="O628" t="s">
        <v>301</v>
      </c>
      <c r="P628">
        <v>0</v>
      </c>
      <c r="Q628" t="s">
        <v>86</v>
      </c>
      <c r="R628">
        <v>0</v>
      </c>
      <c r="S628">
        <v>0</v>
      </c>
      <c r="T628">
        <v>3000</v>
      </c>
      <c r="V628" t="s">
        <v>87</v>
      </c>
      <c r="W628" t="s">
        <v>404</v>
      </c>
      <c r="AB628" t="s">
        <v>314</v>
      </c>
      <c r="AC628" t="s">
        <v>90</v>
      </c>
      <c r="AD628">
        <v>6</v>
      </c>
      <c r="AE628" t="s">
        <v>91</v>
      </c>
      <c r="AF628" t="s">
        <v>102</v>
      </c>
      <c r="AH628">
        <v>6173080042</v>
      </c>
      <c r="AI628">
        <v>6173</v>
      </c>
      <c r="AJ628" t="s">
        <v>407</v>
      </c>
    </row>
    <row r="629" spans="1:36">
      <c r="A629" t="s">
        <v>1790</v>
      </c>
      <c r="B629" t="s">
        <v>1791</v>
      </c>
      <c r="C629">
        <v>3</v>
      </c>
      <c r="D629" t="s">
        <v>133</v>
      </c>
      <c r="E629" t="s">
        <v>79</v>
      </c>
      <c r="F629" t="s">
        <v>79</v>
      </c>
      <c r="G629" t="s">
        <v>80</v>
      </c>
      <c r="H629" t="s">
        <v>81</v>
      </c>
      <c r="I629" t="s">
        <v>82</v>
      </c>
      <c r="J629" t="s">
        <v>301</v>
      </c>
      <c r="K629" t="s">
        <v>406</v>
      </c>
      <c r="L629">
        <v>4</v>
      </c>
      <c r="O629" t="s">
        <v>301</v>
      </c>
      <c r="P629">
        <v>0</v>
      </c>
      <c r="Q629" t="s">
        <v>86</v>
      </c>
      <c r="R629">
        <v>0</v>
      </c>
      <c r="S629">
        <v>0</v>
      </c>
      <c r="T629">
        <v>3950</v>
      </c>
      <c r="V629" t="s">
        <v>87</v>
      </c>
      <c r="W629" t="s">
        <v>404</v>
      </c>
      <c r="AB629" t="s">
        <v>304</v>
      </c>
      <c r="AC629" t="s">
        <v>305</v>
      </c>
      <c r="AD629">
        <v>6</v>
      </c>
      <c r="AE629" t="s">
        <v>91</v>
      </c>
      <c r="AF629" t="s">
        <v>102</v>
      </c>
      <c r="AH629">
        <v>6173080040</v>
      </c>
      <c r="AI629">
        <v>6173</v>
      </c>
      <c r="AJ629" t="s">
        <v>407</v>
      </c>
    </row>
    <row r="630" spans="1:36">
      <c r="A630" t="s">
        <v>1792</v>
      </c>
      <c r="B630" t="s">
        <v>1793</v>
      </c>
      <c r="C630">
        <v>3</v>
      </c>
      <c r="D630" t="s">
        <v>78</v>
      </c>
      <c r="E630" t="s">
        <v>79</v>
      </c>
      <c r="F630" t="s">
        <v>79</v>
      </c>
      <c r="G630" t="s">
        <v>80</v>
      </c>
      <c r="H630" t="s">
        <v>81</v>
      </c>
      <c r="I630" t="s">
        <v>82</v>
      </c>
      <c r="J630" t="s">
        <v>301</v>
      </c>
      <c r="K630" t="s">
        <v>1794</v>
      </c>
      <c r="L630">
        <v>4</v>
      </c>
      <c r="O630" t="s">
        <v>301</v>
      </c>
      <c r="P630">
        <v>0</v>
      </c>
      <c r="Q630" t="s">
        <v>86</v>
      </c>
      <c r="R630">
        <v>0</v>
      </c>
      <c r="S630">
        <v>0</v>
      </c>
      <c r="T630">
        <v>9500</v>
      </c>
      <c r="V630" t="s">
        <v>87</v>
      </c>
      <c r="W630" t="s">
        <v>1795</v>
      </c>
      <c r="AB630" t="s">
        <v>304</v>
      </c>
      <c r="AC630" t="s">
        <v>305</v>
      </c>
      <c r="AD630">
        <v>6</v>
      </c>
      <c r="AE630" t="s">
        <v>91</v>
      </c>
      <c r="AF630" t="s">
        <v>102</v>
      </c>
      <c r="AH630">
        <v>5852000252</v>
      </c>
      <c r="AI630">
        <v>5852</v>
      </c>
      <c r="AJ630" t="s">
        <v>1796</v>
      </c>
    </row>
    <row r="631" spans="1:36">
      <c r="A631" t="s">
        <v>1797</v>
      </c>
      <c r="B631" t="s">
        <v>1798</v>
      </c>
      <c r="C631">
        <v>3</v>
      </c>
      <c r="D631" t="s">
        <v>190</v>
      </c>
      <c r="E631" t="s">
        <v>79</v>
      </c>
      <c r="F631" t="s">
        <v>79</v>
      </c>
      <c r="J631" t="s">
        <v>191</v>
      </c>
      <c r="O631" t="s">
        <v>243</v>
      </c>
      <c r="P631">
        <v>0</v>
      </c>
      <c r="Q631" t="s">
        <v>86</v>
      </c>
      <c r="R631">
        <v>0</v>
      </c>
      <c r="S631">
        <v>0</v>
      </c>
      <c r="T631">
        <v>1060</v>
      </c>
      <c r="V631" t="s">
        <v>87</v>
      </c>
      <c r="W631" t="s">
        <v>1255</v>
      </c>
      <c r="AF631" t="s">
        <v>102</v>
      </c>
      <c r="AH631" t="s">
        <v>1799</v>
      </c>
      <c r="AI631" t="s">
        <v>1253</v>
      </c>
    </row>
    <row r="632" spans="1:36">
      <c r="A632" t="s">
        <v>1800</v>
      </c>
      <c r="B632" t="s">
        <v>1801</v>
      </c>
      <c r="C632">
        <v>3</v>
      </c>
      <c r="D632" t="s">
        <v>190</v>
      </c>
      <c r="E632" t="s">
        <v>79</v>
      </c>
      <c r="F632" t="s">
        <v>79</v>
      </c>
      <c r="J632" t="s">
        <v>191</v>
      </c>
      <c r="O632" t="s">
        <v>243</v>
      </c>
      <c r="P632">
        <v>0</v>
      </c>
      <c r="Q632" t="s">
        <v>86</v>
      </c>
      <c r="R632">
        <v>0</v>
      </c>
      <c r="S632">
        <v>0</v>
      </c>
      <c r="T632">
        <v>1060</v>
      </c>
      <c r="V632" t="s">
        <v>87</v>
      </c>
      <c r="W632" t="s">
        <v>1255</v>
      </c>
      <c r="AF632" t="s">
        <v>102</v>
      </c>
      <c r="AH632" t="s">
        <v>1802</v>
      </c>
      <c r="AI632" t="s">
        <v>1294</v>
      </c>
    </row>
    <row r="633" spans="1:36">
      <c r="A633" t="s">
        <v>1803</v>
      </c>
      <c r="B633" t="s">
        <v>1804</v>
      </c>
      <c r="C633">
        <v>3</v>
      </c>
      <c r="D633" t="s">
        <v>190</v>
      </c>
      <c r="E633" t="s">
        <v>79</v>
      </c>
      <c r="F633" t="s">
        <v>79</v>
      </c>
      <c r="J633" t="s">
        <v>191</v>
      </c>
      <c r="O633" t="s">
        <v>243</v>
      </c>
      <c r="P633">
        <v>0</v>
      </c>
      <c r="Q633" t="s">
        <v>86</v>
      </c>
      <c r="R633">
        <v>0</v>
      </c>
      <c r="S633">
        <v>0</v>
      </c>
      <c r="T633">
        <v>1060</v>
      </c>
      <c r="V633" t="s">
        <v>87</v>
      </c>
      <c r="W633" t="s">
        <v>1255</v>
      </c>
      <c r="AF633" t="s">
        <v>102</v>
      </c>
      <c r="AH633" t="s">
        <v>1805</v>
      </c>
      <c r="AI633" t="s">
        <v>1253</v>
      </c>
    </row>
    <row r="634" spans="1:36">
      <c r="A634" t="s">
        <v>1806</v>
      </c>
      <c r="B634" t="s">
        <v>1807</v>
      </c>
      <c r="C634">
        <v>3</v>
      </c>
      <c r="D634" t="s">
        <v>190</v>
      </c>
      <c r="E634" t="s">
        <v>79</v>
      </c>
      <c r="F634" t="s">
        <v>79</v>
      </c>
      <c r="J634" t="s">
        <v>191</v>
      </c>
      <c r="O634" t="s">
        <v>243</v>
      </c>
      <c r="P634">
        <v>0</v>
      </c>
      <c r="Q634" t="s">
        <v>86</v>
      </c>
      <c r="R634">
        <v>0</v>
      </c>
      <c r="S634">
        <v>0</v>
      </c>
      <c r="T634">
        <v>1060</v>
      </c>
      <c r="V634" t="s">
        <v>87</v>
      </c>
      <c r="W634" t="s">
        <v>671</v>
      </c>
      <c r="AF634" t="s">
        <v>102</v>
      </c>
      <c r="AH634" t="s">
        <v>1808</v>
      </c>
      <c r="AI634" t="s">
        <v>673</v>
      </c>
    </row>
    <row r="635" spans="1:36">
      <c r="A635" t="s">
        <v>1809</v>
      </c>
      <c r="B635" t="s">
        <v>1810</v>
      </c>
      <c r="C635">
        <v>3</v>
      </c>
      <c r="D635" t="s">
        <v>190</v>
      </c>
      <c r="E635" t="s">
        <v>79</v>
      </c>
      <c r="F635" t="s">
        <v>79</v>
      </c>
      <c r="J635" t="s">
        <v>191</v>
      </c>
      <c r="O635" t="s">
        <v>243</v>
      </c>
      <c r="P635">
        <v>0</v>
      </c>
      <c r="Q635" t="s">
        <v>86</v>
      </c>
      <c r="R635">
        <v>0</v>
      </c>
      <c r="S635">
        <v>0</v>
      </c>
      <c r="T635">
        <v>1060</v>
      </c>
      <c r="V635" t="s">
        <v>87</v>
      </c>
      <c r="W635" t="s">
        <v>671</v>
      </c>
      <c r="AF635" t="s">
        <v>102</v>
      </c>
      <c r="AH635" t="s">
        <v>1811</v>
      </c>
      <c r="AI635" t="s">
        <v>673</v>
      </c>
    </row>
    <row r="636" spans="1:36">
      <c r="A636" t="s">
        <v>1812</v>
      </c>
      <c r="B636" t="s">
        <v>1813</v>
      </c>
      <c r="C636">
        <v>3</v>
      </c>
      <c r="D636" t="s">
        <v>190</v>
      </c>
      <c r="E636" t="s">
        <v>79</v>
      </c>
      <c r="F636" t="s">
        <v>79</v>
      </c>
      <c r="J636" t="s">
        <v>191</v>
      </c>
      <c r="O636" t="s">
        <v>243</v>
      </c>
      <c r="P636">
        <v>0</v>
      </c>
      <c r="Q636" t="s">
        <v>86</v>
      </c>
      <c r="R636">
        <v>0</v>
      </c>
      <c r="S636">
        <v>0</v>
      </c>
      <c r="T636">
        <v>1060</v>
      </c>
      <c r="V636" t="s">
        <v>87</v>
      </c>
      <c r="W636" t="s">
        <v>671</v>
      </c>
      <c r="AF636" t="s">
        <v>102</v>
      </c>
      <c r="AH636" t="s">
        <v>1814</v>
      </c>
      <c r="AI636" t="s">
        <v>673</v>
      </c>
    </row>
    <row r="637" spans="1:36">
      <c r="A637" t="s">
        <v>1815</v>
      </c>
      <c r="B637" t="s">
        <v>1816</v>
      </c>
      <c r="C637">
        <v>3</v>
      </c>
      <c r="D637" t="s">
        <v>133</v>
      </c>
      <c r="E637" t="s">
        <v>79</v>
      </c>
      <c r="F637" t="s">
        <v>79</v>
      </c>
      <c r="G637" t="s">
        <v>80</v>
      </c>
      <c r="H637" t="s">
        <v>81</v>
      </c>
      <c r="I637" t="s">
        <v>82</v>
      </c>
      <c r="J637" t="s">
        <v>95</v>
      </c>
      <c r="K637" t="s">
        <v>184</v>
      </c>
      <c r="L637">
        <v>98</v>
      </c>
      <c r="N637" t="s">
        <v>185</v>
      </c>
      <c r="O637" t="s">
        <v>98</v>
      </c>
      <c r="P637">
        <v>0</v>
      </c>
      <c r="Q637" t="s">
        <v>86</v>
      </c>
      <c r="R637">
        <v>0</v>
      </c>
      <c r="S637">
        <v>0</v>
      </c>
      <c r="T637">
        <v>3950</v>
      </c>
      <c r="U637">
        <v>96367</v>
      </c>
      <c r="V637" t="s">
        <v>87</v>
      </c>
      <c r="W637" t="s">
        <v>204</v>
      </c>
      <c r="AB637" t="s">
        <v>205</v>
      </c>
      <c r="AC637" t="s">
        <v>90</v>
      </c>
      <c r="AD637">
        <v>6</v>
      </c>
      <c r="AE637" t="s">
        <v>101</v>
      </c>
      <c r="AF637" t="s">
        <v>102</v>
      </c>
      <c r="AH637">
        <v>2333092025</v>
      </c>
      <c r="AI637">
        <v>2333</v>
      </c>
      <c r="AJ637" t="s">
        <v>206</v>
      </c>
    </row>
    <row r="638" spans="1:36">
      <c r="A638" t="s">
        <v>1817</v>
      </c>
      <c r="B638" t="s">
        <v>1818</v>
      </c>
      <c r="C638">
        <v>3</v>
      </c>
      <c r="D638" t="s">
        <v>78</v>
      </c>
      <c r="E638" t="s">
        <v>79</v>
      </c>
      <c r="F638" t="s">
        <v>79</v>
      </c>
      <c r="G638" t="s">
        <v>80</v>
      </c>
      <c r="H638" t="s">
        <v>81</v>
      </c>
      <c r="I638" t="s">
        <v>82</v>
      </c>
      <c r="J638" t="s">
        <v>106</v>
      </c>
      <c r="K638" t="s">
        <v>107</v>
      </c>
      <c r="L638" s="1">
        <v>45328</v>
      </c>
      <c r="N638" t="s">
        <v>108</v>
      </c>
      <c r="O638" t="s">
        <v>98</v>
      </c>
      <c r="P638">
        <v>0</v>
      </c>
      <c r="Q638" t="s">
        <v>86</v>
      </c>
      <c r="R638">
        <v>0</v>
      </c>
      <c r="S638">
        <v>0</v>
      </c>
      <c r="T638">
        <v>9500</v>
      </c>
      <c r="V638" t="s">
        <v>87</v>
      </c>
      <c r="W638" t="s">
        <v>197</v>
      </c>
      <c r="AB638" t="s">
        <v>198</v>
      </c>
      <c r="AC638" t="s">
        <v>90</v>
      </c>
      <c r="AD638">
        <v>6</v>
      </c>
      <c r="AE638" t="s">
        <v>101</v>
      </c>
      <c r="AF638" t="s">
        <v>102</v>
      </c>
      <c r="AH638">
        <v>5790045559</v>
      </c>
      <c r="AI638">
        <v>5790</v>
      </c>
      <c r="AJ638" t="s">
        <v>199</v>
      </c>
    </row>
    <row r="639" spans="1:36">
      <c r="A639" t="s">
        <v>1819</v>
      </c>
      <c r="B639" t="s">
        <v>1820</v>
      </c>
      <c r="C639">
        <v>3</v>
      </c>
      <c r="D639" t="s">
        <v>78</v>
      </c>
      <c r="E639" t="s">
        <v>125</v>
      </c>
      <c r="F639" t="s">
        <v>79</v>
      </c>
      <c r="G639" t="s">
        <v>80</v>
      </c>
      <c r="H639" t="s">
        <v>81</v>
      </c>
      <c r="I639" t="s">
        <v>82</v>
      </c>
      <c r="J639" t="s">
        <v>95</v>
      </c>
      <c r="K639" t="s">
        <v>384</v>
      </c>
      <c r="L639" s="1">
        <v>45328</v>
      </c>
      <c r="M639" t="s">
        <v>385</v>
      </c>
      <c r="O639" t="s">
        <v>98</v>
      </c>
      <c r="P639">
        <v>0</v>
      </c>
      <c r="Q639" t="s">
        <v>86</v>
      </c>
      <c r="R639">
        <v>0</v>
      </c>
      <c r="S639">
        <v>0</v>
      </c>
      <c r="T639">
        <v>9500</v>
      </c>
      <c r="V639" t="s">
        <v>87</v>
      </c>
      <c r="W639" t="s">
        <v>317</v>
      </c>
      <c r="AB639" t="s">
        <v>100</v>
      </c>
      <c r="AC639" t="s">
        <v>90</v>
      </c>
      <c r="AD639">
        <v>4</v>
      </c>
      <c r="AE639" t="s">
        <v>165</v>
      </c>
      <c r="AF639" t="s">
        <v>102</v>
      </c>
      <c r="AH639">
        <v>3401000704</v>
      </c>
      <c r="AI639">
        <v>3401</v>
      </c>
      <c r="AJ639" t="s">
        <v>318</v>
      </c>
    </row>
    <row r="640" spans="1:36">
      <c r="A640" t="s">
        <v>1072</v>
      </c>
      <c r="B640" t="s">
        <v>1821</v>
      </c>
      <c r="C640">
        <v>3</v>
      </c>
      <c r="D640" t="s">
        <v>190</v>
      </c>
      <c r="E640" t="s">
        <v>79</v>
      </c>
      <c r="F640" t="s">
        <v>79</v>
      </c>
      <c r="J640" t="s">
        <v>191</v>
      </c>
      <c r="O640" t="s">
        <v>243</v>
      </c>
      <c r="P640">
        <v>0</v>
      </c>
      <c r="Q640" t="s">
        <v>86</v>
      </c>
      <c r="R640">
        <v>0</v>
      </c>
      <c r="S640">
        <v>0</v>
      </c>
      <c r="T640">
        <v>1065</v>
      </c>
      <c r="V640">
        <v>4</v>
      </c>
      <c r="W640" t="s">
        <v>1822</v>
      </c>
      <c r="AF640" t="s">
        <v>102</v>
      </c>
      <c r="AH640" t="s">
        <v>1700</v>
      </c>
      <c r="AI640" t="s">
        <v>1700</v>
      </c>
    </row>
    <row r="641" spans="1:35">
      <c r="A641" t="s">
        <v>1823</v>
      </c>
      <c r="B641" t="s">
        <v>1824</v>
      </c>
      <c r="C641">
        <v>3</v>
      </c>
      <c r="D641" t="s">
        <v>190</v>
      </c>
      <c r="E641" t="s">
        <v>79</v>
      </c>
      <c r="F641" t="s">
        <v>79</v>
      </c>
      <c r="J641" t="s">
        <v>191</v>
      </c>
      <c r="O641" t="s">
        <v>243</v>
      </c>
      <c r="P641">
        <v>0</v>
      </c>
      <c r="Q641" t="s">
        <v>86</v>
      </c>
      <c r="R641">
        <v>0</v>
      </c>
      <c r="S641">
        <v>0</v>
      </c>
      <c r="T641">
        <v>1060</v>
      </c>
      <c r="V641" t="s">
        <v>87</v>
      </c>
      <c r="W641" t="s">
        <v>1320</v>
      </c>
      <c r="AF641" t="s">
        <v>102</v>
      </c>
      <c r="AH641" t="s">
        <v>1825</v>
      </c>
      <c r="AI641" t="s">
        <v>1324</v>
      </c>
    </row>
    <row r="642" spans="1:35">
      <c r="A642" t="s">
        <v>1826</v>
      </c>
      <c r="B642" t="s">
        <v>1827</v>
      </c>
      <c r="C642">
        <v>3</v>
      </c>
      <c r="D642" t="s">
        <v>190</v>
      </c>
      <c r="E642" t="s">
        <v>79</v>
      </c>
      <c r="F642" t="s">
        <v>79</v>
      </c>
      <c r="J642" t="s">
        <v>191</v>
      </c>
      <c r="O642" t="s">
        <v>243</v>
      </c>
      <c r="P642">
        <v>0</v>
      </c>
      <c r="Q642" t="s">
        <v>86</v>
      </c>
      <c r="R642">
        <v>0</v>
      </c>
      <c r="S642">
        <v>0</v>
      </c>
      <c r="T642">
        <v>1060</v>
      </c>
      <c r="V642" t="s">
        <v>87</v>
      </c>
      <c r="W642" t="s">
        <v>1336</v>
      </c>
      <c r="AF642" t="s">
        <v>102</v>
      </c>
      <c r="AH642" t="s">
        <v>1828</v>
      </c>
      <c r="AI642" t="s">
        <v>1338</v>
      </c>
    </row>
    <row r="643" spans="1:35">
      <c r="A643" t="s">
        <v>1829</v>
      </c>
      <c r="B643" t="s">
        <v>1830</v>
      </c>
      <c r="C643">
        <v>3</v>
      </c>
      <c r="D643" t="s">
        <v>190</v>
      </c>
      <c r="E643" t="s">
        <v>79</v>
      </c>
      <c r="F643" t="s">
        <v>79</v>
      </c>
      <c r="J643" t="s">
        <v>191</v>
      </c>
      <c r="O643" t="s">
        <v>243</v>
      </c>
      <c r="P643">
        <v>0</v>
      </c>
      <c r="Q643" t="s">
        <v>86</v>
      </c>
      <c r="R643">
        <v>0</v>
      </c>
      <c r="S643">
        <v>0</v>
      </c>
      <c r="T643">
        <v>1060</v>
      </c>
      <c r="V643" t="s">
        <v>87</v>
      </c>
      <c r="W643" t="s">
        <v>1336</v>
      </c>
      <c r="AF643" t="s">
        <v>102</v>
      </c>
      <c r="AH643" t="s">
        <v>1831</v>
      </c>
      <c r="AI643" t="s">
        <v>1338</v>
      </c>
    </row>
    <row r="644" spans="1:35">
      <c r="A644" t="s">
        <v>1832</v>
      </c>
      <c r="B644" t="s">
        <v>1833</v>
      </c>
      <c r="C644">
        <v>3</v>
      </c>
      <c r="D644" t="s">
        <v>190</v>
      </c>
      <c r="E644" t="s">
        <v>79</v>
      </c>
      <c r="F644" t="s">
        <v>79</v>
      </c>
      <c r="J644" t="s">
        <v>191</v>
      </c>
      <c r="O644" t="s">
        <v>243</v>
      </c>
      <c r="P644">
        <v>0</v>
      </c>
      <c r="Q644" t="s">
        <v>86</v>
      </c>
      <c r="R644">
        <v>0</v>
      </c>
      <c r="S644">
        <v>0</v>
      </c>
      <c r="T644">
        <v>1060</v>
      </c>
      <c r="V644" t="s">
        <v>87</v>
      </c>
      <c r="W644" t="s">
        <v>1336</v>
      </c>
      <c r="AF644" t="s">
        <v>102</v>
      </c>
      <c r="AH644" t="s">
        <v>1828</v>
      </c>
      <c r="AI644" t="s">
        <v>1338</v>
      </c>
    </row>
    <row r="645" spans="1:35">
      <c r="A645" t="s">
        <v>1834</v>
      </c>
      <c r="B645" t="s">
        <v>1835</v>
      </c>
      <c r="C645">
        <v>3</v>
      </c>
      <c r="D645" t="s">
        <v>190</v>
      </c>
      <c r="E645" t="s">
        <v>79</v>
      </c>
      <c r="F645" t="s">
        <v>79</v>
      </c>
      <c r="J645" t="s">
        <v>191</v>
      </c>
      <c r="O645" t="s">
        <v>243</v>
      </c>
      <c r="P645">
        <v>0</v>
      </c>
      <c r="Q645" t="s">
        <v>86</v>
      </c>
      <c r="R645">
        <v>0</v>
      </c>
      <c r="S645">
        <v>0</v>
      </c>
      <c r="T645">
        <v>1060</v>
      </c>
      <c r="V645" t="s">
        <v>87</v>
      </c>
      <c r="W645" t="s">
        <v>1836</v>
      </c>
      <c r="AF645" t="s">
        <v>102</v>
      </c>
      <c r="AH645" t="s">
        <v>1837</v>
      </c>
      <c r="AI645" t="s">
        <v>1324</v>
      </c>
    </row>
    <row r="646" spans="1:35">
      <c r="A646" t="s">
        <v>1838</v>
      </c>
      <c r="B646" t="s">
        <v>1839</v>
      </c>
      <c r="C646">
        <v>3</v>
      </c>
      <c r="D646" t="s">
        <v>190</v>
      </c>
      <c r="E646" t="s">
        <v>79</v>
      </c>
      <c r="F646" t="s">
        <v>79</v>
      </c>
      <c r="J646" t="s">
        <v>191</v>
      </c>
      <c r="O646" t="s">
        <v>243</v>
      </c>
      <c r="P646">
        <v>0</v>
      </c>
      <c r="Q646" t="s">
        <v>86</v>
      </c>
      <c r="R646">
        <v>0</v>
      </c>
      <c r="S646">
        <v>0</v>
      </c>
      <c r="T646">
        <v>1060</v>
      </c>
      <c r="V646" t="s">
        <v>87</v>
      </c>
      <c r="W646" t="s">
        <v>1366</v>
      </c>
      <c r="AF646" t="s">
        <v>102</v>
      </c>
      <c r="AH646" t="s">
        <v>1840</v>
      </c>
      <c r="AI646" t="s">
        <v>1368</v>
      </c>
    </row>
    <row r="647" spans="1:35">
      <c r="A647" t="s">
        <v>1841</v>
      </c>
      <c r="B647" t="s">
        <v>1842</v>
      </c>
      <c r="C647">
        <v>3</v>
      </c>
      <c r="D647" t="s">
        <v>190</v>
      </c>
      <c r="E647" t="s">
        <v>79</v>
      </c>
      <c r="F647" t="s">
        <v>79</v>
      </c>
      <c r="J647" t="s">
        <v>191</v>
      </c>
      <c r="O647" t="s">
        <v>243</v>
      </c>
      <c r="P647">
        <v>0</v>
      </c>
      <c r="Q647" t="s">
        <v>86</v>
      </c>
      <c r="R647">
        <v>0</v>
      </c>
      <c r="S647">
        <v>0</v>
      </c>
      <c r="T647">
        <v>1065</v>
      </c>
      <c r="V647" t="s">
        <v>87</v>
      </c>
      <c r="W647" t="s">
        <v>1366</v>
      </c>
      <c r="AF647" t="s">
        <v>102</v>
      </c>
      <c r="AH647" t="s">
        <v>1843</v>
      </c>
      <c r="AI647" t="s">
        <v>1368</v>
      </c>
    </row>
    <row r="648" spans="1:35">
      <c r="A648" t="s">
        <v>1844</v>
      </c>
      <c r="B648" t="s">
        <v>1845</v>
      </c>
      <c r="C648">
        <v>3</v>
      </c>
      <c r="D648" t="s">
        <v>190</v>
      </c>
      <c r="E648" t="s">
        <v>79</v>
      </c>
      <c r="F648" t="s">
        <v>79</v>
      </c>
      <c r="J648" t="s">
        <v>191</v>
      </c>
      <c r="O648" t="s">
        <v>243</v>
      </c>
      <c r="P648">
        <v>0</v>
      </c>
      <c r="Q648" t="s">
        <v>86</v>
      </c>
      <c r="R648">
        <v>0</v>
      </c>
      <c r="S648">
        <v>0</v>
      </c>
      <c r="T648">
        <v>1060</v>
      </c>
      <c r="V648" t="s">
        <v>87</v>
      </c>
      <c r="W648" t="s">
        <v>1366</v>
      </c>
      <c r="AF648" t="s">
        <v>102</v>
      </c>
      <c r="AH648" t="s">
        <v>1846</v>
      </c>
      <c r="AI648" t="s">
        <v>1368</v>
      </c>
    </row>
    <row r="649" spans="1:35">
      <c r="A649" t="s">
        <v>1847</v>
      </c>
      <c r="B649" t="s">
        <v>1848</v>
      </c>
      <c r="C649">
        <v>3</v>
      </c>
      <c r="D649" t="s">
        <v>190</v>
      </c>
      <c r="E649" t="s">
        <v>79</v>
      </c>
      <c r="F649" t="s">
        <v>79</v>
      </c>
      <c r="J649" t="s">
        <v>191</v>
      </c>
      <c r="O649" t="s">
        <v>243</v>
      </c>
      <c r="P649">
        <v>0</v>
      </c>
      <c r="Q649" t="s">
        <v>86</v>
      </c>
      <c r="R649">
        <v>0</v>
      </c>
      <c r="S649">
        <v>0</v>
      </c>
      <c r="T649">
        <v>1060</v>
      </c>
      <c r="V649" t="s">
        <v>87</v>
      </c>
      <c r="W649" t="s">
        <v>1366</v>
      </c>
      <c r="AF649" t="s">
        <v>102</v>
      </c>
      <c r="AH649" t="s">
        <v>1849</v>
      </c>
      <c r="AI649" t="s">
        <v>1368</v>
      </c>
    </row>
    <row r="650" spans="1:35">
      <c r="A650" t="s">
        <v>1850</v>
      </c>
      <c r="B650" t="s">
        <v>1851</v>
      </c>
      <c r="C650">
        <v>3</v>
      </c>
      <c r="D650" t="s">
        <v>190</v>
      </c>
      <c r="E650" t="s">
        <v>79</v>
      </c>
      <c r="F650" t="s">
        <v>79</v>
      </c>
      <c r="J650" t="s">
        <v>191</v>
      </c>
      <c r="O650" t="s">
        <v>243</v>
      </c>
      <c r="P650">
        <v>0</v>
      </c>
      <c r="Q650" t="s">
        <v>86</v>
      </c>
      <c r="R650">
        <v>0</v>
      </c>
      <c r="S650">
        <v>0</v>
      </c>
      <c r="T650">
        <v>1060</v>
      </c>
      <c r="V650" t="s">
        <v>87</v>
      </c>
      <c r="W650" t="s">
        <v>1366</v>
      </c>
      <c r="AF650" t="s">
        <v>102</v>
      </c>
      <c r="AH650" t="s">
        <v>1852</v>
      </c>
      <c r="AI650" t="s">
        <v>1368</v>
      </c>
    </row>
    <row r="651" spans="1:35">
      <c r="A651" t="s">
        <v>1853</v>
      </c>
      <c r="B651" t="s">
        <v>1854</v>
      </c>
      <c r="C651">
        <v>3</v>
      </c>
      <c r="D651" t="s">
        <v>190</v>
      </c>
      <c r="E651" t="s">
        <v>79</v>
      </c>
      <c r="F651" t="s">
        <v>79</v>
      </c>
      <c r="J651" t="s">
        <v>191</v>
      </c>
      <c r="O651" t="s">
        <v>243</v>
      </c>
      <c r="P651">
        <v>0</v>
      </c>
      <c r="Q651" t="s">
        <v>86</v>
      </c>
      <c r="R651">
        <v>0</v>
      </c>
      <c r="S651">
        <v>0</v>
      </c>
      <c r="T651">
        <v>1060</v>
      </c>
      <c r="V651" t="s">
        <v>87</v>
      </c>
      <c r="W651" t="s">
        <v>1348</v>
      </c>
      <c r="AF651" t="s">
        <v>102</v>
      </c>
      <c r="AH651" t="s">
        <v>1855</v>
      </c>
      <c r="AI651" t="s">
        <v>1350</v>
      </c>
    </row>
    <row r="652" spans="1:35">
      <c r="A652" t="s">
        <v>1856</v>
      </c>
      <c r="B652" t="s">
        <v>1857</v>
      </c>
      <c r="C652">
        <v>3</v>
      </c>
      <c r="D652" t="s">
        <v>190</v>
      </c>
      <c r="E652" t="s">
        <v>79</v>
      </c>
      <c r="F652" t="s">
        <v>79</v>
      </c>
      <c r="J652" t="s">
        <v>191</v>
      </c>
      <c r="O652" t="s">
        <v>243</v>
      </c>
      <c r="P652">
        <v>0</v>
      </c>
      <c r="Q652" t="s">
        <v>86</v>
      </c>
      <c r="R652">
        <v>0</v>
      </c>
      <c r="S652">
        <v>0</v>
      </c>
      <c r="T652">
        <v>1060</v>
      </c>
      <c r="V652">
        <v>6</v>
      </c>
      <c r="W652" t="s">
        <v>1255</v>
      </c>
      <c r="AF652" t="s">
        <v>102</v>
      </c>
      <c r="AH652" t="s">
        <v>1858</v>
      </c>
      <c r="AI652" t="s">
        <v>1253</v>
      </c>
    </row>
    <row r="653" spans="1:35">
      <c r="A653" t="s">
        <v>1859</v>
      </c>
      <c r="B653" t="s">
        <v>1860</v>
      </c>
      <c r="C653">
        <v>3</v>
      </c>
      <c r="D653" t="s">
        <v>190</v>
      </c>
      <c r="E653" t="s">
        <v>79</v>
      </c>
      <c r="F653" t="s">
        <v>79</v>
      </c>
      <c r="J653" t="s">
        <v>191</v>
      </c>
      <c r="O653" t="s">
        <v>243</v>
      </c>
      <c r="P653">
        <v>0</v>
      </c>
      <c r="Q653" t="s">
        <v>86</v>
      </c>
      <c r="R653">
        <v>0</v>
      </c>
      <c r="S653">
        <v>0</v>
      </c>
      <c r="T653">
        <v>1060</v>
      </c>
      <c r="V653" t="s">
        <v>87</v>
      </c>
      <c r="W653" t="s">
        <v>1348</v>
      </c>
      <c r="AF653" t="s">
        <v>102</v>
      </c>
      <c r="AH653" t="s">
        <v>1861</v>
      </c>
      <c r="AI653" t="s">
        <v>1350</v>
      </c>
    </row>
    <row r="654" spans="1:35">
      <c r="A654" t="s">
        <v>1862</v>
      </c>
      <c r="B654" t="s">
        <v>1863</v>
      </c>
      <c r="C654">
        <v>3</v>
      </c>
      <c r="D654" t="s">
        <v>190</v>
      </c>
      <c r="E654" t="s">
        <v>79</v>
      </c>
      <c r="F654" t="s">
        <v>79</v>
      </c>
      <c r="J654" t="s">
        <v>191</v>
      </c>
      <c r="O654" t="s">
        <v>243</v>
      </c>
      <c r="P654">
        <v>0</v>
      </c>
      <c r="Q654" t="s">
        <v>86</v>
      </c>
      <c r="R654">
        <v>0</v>
      </c>
      <c r="S654">
        <v>0</v>
      </c>
      <c r="T654">
        <v>1060</v>
      </c>
      <c r="V654" t="s">
        <v>87</v>
      </c>
      <c r="W654" t="s">
        <v>1348</v>
      </c>
      <c r="AF654" t="s">
        <v>102</v>
      </c>
      <c r="AH654" t="s">
        <v>1864</v>
      </c>
      <c r="AI654" t="s">
        <v>1350</v>
      </c>
    </row>
    <row r="655" spans="1:35">
      <c r="A655" t="s">
        <v>1865</v>
      </c>
      <c r="B655" t="s">
        <v>1866</v>
      </c>
      <c r="C655">
        <v>3</v>
      </c>
      <c r="D655" t="s">
        <v>190</v>
      </c>
      <c r="E655" t="s">
        <v>79</v>
      </c>
      <c r="F655" t="s">
        <v>79</v>
      </c>
      <c r="J655" t="s">
        <v>191</v>
      </c>
      <c r="O655" t="s">
        <v>243</v>
      </c>
      <c r="P655">
        <v>0</v>
      </c>
      <c r="Q655" t="s">
        <v>86</v>
      </c>
      <c r="R655">
        <v>0</v>
      </c>
      <c r="S655">
        <v>0</v>
      </c>
      <c r="T655">
        <v>1060</v>
      </c>
      <c r="V655" t="s">
        <v>87</v>
      </c>
      <c r="W655" t="s">
        <v>1348</v>
      </c>
      <c r="AF655" t="s">
        <v>102</v>
      </c>
      <c r="AH655" t="s">
        <v>1855</v>
      </c>
      <c r="AI655" t="s">
        <v>1350</v>
      </c>
    </row>
    <row r="656" spans="1:35">
      <c r="A656" t="s">
        <v>1867</v>
      </c>
      <c r="B656" t="s">
        <v>1868</v>
      </c>
      <c r="C656">
        <v>3</v>
      </c>
      <c r="D656" t="s">
        <v>190</v>
      </c>
      <c r="E656" t="s">
        <v>79</v>
      </c>
      <c r="F656" t="s">
        <v>79</v>
      </c>
      <c r="J656" t="s">
        <v>191</v>
      </c>
      <c r="O656" t="s">
        <v>243</v>
      </c>
      <c r="P656">
        <v>0</v>
      </c>
      <c r="Q656" t="s">
        <v>86</v>
      </c>
      <c r="R656">
        <v>0</v>
      </c>
      <c r="S656">
        <v>0</v>
      </c>
      <c r="T656">
        <v>1060</v>
      </c>
      <c r="V656" t="s">
        <v>87</v>
      </c>
      <c r="W656" t="s">
        <v>1348</v>
      </c>
      <c r="AF656" t="s">
        <v>102</v>
      </c>
      <c r="AH656" t="s">
        <v>1869</v>
      </c>
      <c r="AI656" t="s">
        <v>1253</v>
      </c>
    </row>
    <row r="657" spans="1:36">
      <c r="A657" t="s">
        <v>1870</v>
      </c>
      <c r="B657" t="s">
        <v>1871</v>
      </c>
      <c r="C657">
        <v>3</v>
      </c>
      <c r="D657" t="s">
        <v>190</v>
      </c>
      <c r="E657" t="s">
        <v>79</v>
      </c>
      <c r="F657" t="s">
        <v>79</v>
      </c>
      <c r="J657" t="s">
        <v>191</v>
      </c>
      <c r="O657" t="s">
        <v>243</v>
      </c>
      <c r="P657">
        <v>0</v>
      </c>
      <c r="Q657" t="s">
        <v>86</v>
      </c>
      <c r="R657">
        <v>0</v>
      </c>
      <c r="S657">
        <v>0</v>
      </c>
      <c r="T657">
        <v>1060</v>
      </c>
      <c r="V657" t="s">
        <v>87</v>
      </c>
      <c r="W657" t="s">
        <v>1707</v>
      </c>
      <c r="AF657" t="s">
        <v>102</v>
      </c>
      <c r="AI657" t="s">
        <v>1872</v>
      </c>
    </row>
    <row r="658" spans="1:36">
      <c r="A658" t="s">
        <v>1873</v>
      </c>
      <c r="B658" t="s">
        <v>1874</v>
      </c>
      <c r="C658">
        <v>3</v>
      </c>
      <c r="D658" t="s">
        <v>190</v>
      </c>
      <c r="E658" t="s">
        <v>79</v>
      </c>
      <c r="F658" t="s">
        <v>79</v>
      </c>
      <c r="J658" t="s">
        <v>191</v>
      </c>
      <c r="O658" t="s">
        <v>243</v>
      </c>
      <c r="P658">
        <v>0</v>
      </c>
      <c r="Q658" t="s">
        <v>86</v>
      </c>
      <c r="R658">
        <v>0</v>
      </c>
      <c r="S658">
        <v>0</v>
      </c>
      <c r="T658">
        <v>1060</v>
      </c>
      <c r="V658" t="s">
        <v>87</v>
      </c>
      <c r="W658" t="s">
        <v>1707</v>
      </c>
      <c r="AF658" t="s">
        <v>102</v>
      </c>
      <c r="AI658" t="s">
        <v>1872</v>
      </c>
    </row>
    <row r="659" spans="1:36">
      <c r="A659" t="s">
        <v>1875</v>
      </c>
      <c r="B659" t="s">
        <v>1876</v>
      </c>
      <c r="C659">
        <v>3</v>
      </c>
      <c r="D659" t="s">
        <v>190</v>
      </c>
      <c r="E659" t="s">
        <v>79</v>
      </c>
      <c r="F659" t="s">
        <v>79</v>
      </c>
      <c r="J659" t="s">
        <v>191</v>
      </c>
      <c r="O659" t="s">
        <v>243</v>
      </c>
      <c r="P659">
        <v>0</v>
      </c>
      <c r="Q659" t="s">
        <v>86</v>
      </c>
      <c r="R659">
        <v>0</v>
      </c>
      <c r="S659">
        <v>0</v>
      </c>
      <c r="T659">
        <v>1060</v>
      </c>
      <c r="V659" t="s">
        <v>87</v>
      </c>
      <c r="W659" t="s">
        <v>1732</v>
      </c>
      <c r="AF659" t="s">
        <v>102</v>
      </c>
      <c r="AH659" t="s">
        <v>1877</v>
      </c>
      <c r="AI659" t="s">
        <v>1253</v>
      </c>
    </row>
    <row r="660" spans="1:36">
      <c r="A660" t="s">
        <v>1878</v>
      </c>
      <c r="B660" t="s">
        <v>1879</v>
      </c>
      <c r="C660">
        <v>3</v>
      </c>
      <c r="D660" t="s">
        <v>190</v>
      </c>
      <c r="E660" t="s">
        <v>79</v>
      </c>
      <c r="F660" t="s">
        <v>79</v>
      </c>
      <c r="J660" t="s">
        <v>191</v>
      </c>
      <c r="O660" t="s">
        <v>243</v>
      </c>
      <c r="P660">
        <v>0</v>
      </c>
      <c r="Q660" t="s">
        <v>86</v>
      </c>
      <c r="R660">
        <v>0</v>
      </c>
      <c r="S660">
        <v>0</v>
      </c>
      <c r="T660">
        <v>1060</v>
      </c>
      <c r="V660" t="s">
        <v>87</v>
      </c>
      <c r="W660" t="s">
        <v>1732</v>
      </c>
      <c r="AF660" t="s">
        <v>102</v>
      </c>
      <c r="AH660" t="s">
        <v>1880</v>
      </c>
      <c r="AI660" t="s">
        <v>1253</v>
      </c>
    </row>
    <row r="661" spans="1:36">
      <c r="A661" t="s">
        <v>1881</v>
      </c>
      <c r="B661" t="s">
        <v>1882</v>
      </c>
      <c r="C661">
        <v>3</v>
      </c>
      <c r="D661" t="s">
        <v>190</v>
      </c>
      <c r="E661" t="s">
        <v>79</v>
      </c>
      <c r="F661" t="s">
        <v>79</v>
      </c>
      <c r="J661" t="s">
        <v>191</v>
      </c>
      <c r="O661" t="s">
        <v>243</v>
      </c>
      <c r="P661">
        <v>0</v>
      </c>
      <c r="Q661" t="s">
        <v>86</v>
      </c>
      <c r="R661">
        <v>0</v>
      </c>
      <c r="S661">
        <v>0</v>
      </c>
      <c r="T661">
        <v>1060</v>
      </c>
      <c r="V661" t="s">
        <v>87</v>
      </c>
      <c r="W661" t="s">
        <v>1732</v>
      </c>
      <c r="AF661" t="s">
        <v>102</v>
      </c>
      <c r="AH661" t="s">
        <v>1883</v>
      </c>
      <c r="AI661" t="s">
        <v>1253</v>
      </c>
    </row>
    <row r="662" spans="1:36">
      <c r="A662" t="s">
        <v>1884</v>
      </c>
      <c r="B662" t="s">
        <v>1885</v>
      </c>
      <c r="C662">
        <v>3</v>
      </c>
      <c r="D662" t="s">
        <v>78</v>
      </c>
      <c r="E662" t="s">
        <v>79</v>
      </c>
      <c r="F662" t="s">
        <v>79</v>
      </c>
      <c r="G662" t="s">
        <v>80</v>
      </c>
      <c r="H662" t="s">
        <v>81</v>
      </c>
      <c r="I662" t="s">
        <v>82</v>
      </c>
      <c r="J662" t="s">
        <v>95</v>
      </c>
      <c r="K662" t="s">
        <v>384</v>
      </c>
      <c r="L662" s="1">
        <v>45328</v>
      </c>
      <c r="M662" t="s">
        <v>385</v>
      </c>
      <c r="O662" t="s">
        <v>98</v>
      </c>
      <c r="P662">
        <v>0</v>
      </c>
      <c r="Q662" t="s">
        <v>86</v>
      </c>
      <c r="R662">
        <v>0</v>
      </c>
      <c r="S662">
        <v>0</v>
      </c>
      <c r="T662">
        <v>9500</v>
      </c>
      <c r="V662" t="s">
        <v>87</v>
      </c>
      <c r="W662" t="s">
        <v>317</v>
      </c>
      <c r="AB662" t="s">
        <v>100</v>
      </c>
      <c r="AC662" t="s">
        <v>90</v>
      </c>
      <c r="AD662">
        <v>6</v>
      </c>
      <c r="AE662" t="s">
        <v>101</v>
      </c>
      <c r="AF662" t="s">
        <v>102</v>
      </c>
      <c r="AH662">
        <v>3401000703</v>
      </c>
      <c r="AI662">
        <v>3401</v>
      </c>
      <c r="AJ662" t="s">
        <v>318</v>
      </c>
    </row>
    <row r="663" spans="1:36">
      <c r="A663" t="s">
        <v>1886</v>
      </c>
      <c r="B663" t="s">
        <v>1887</v>
      </c>
      <c r="C663">
        <v>3</v>
      </c>
      <c r="D663" t="s">
        <v>133</v>
      </c>
      <c r="E663" t="s">
        <v>79</v>
      </c>
      <c r="F663" t="s">
        <v>79</v>
      </c>
      <c r="J663" t="s">
        <v>191</v>
      </c>
      <c r="O663" t="s">
        <v>243</v>
      </c>
      <c r="P663">
        <v>0</v>
      </c>
      <c r="Q663" t="s">
        <v>86</v>
      </c>
      <c r="R663">
        <v>0</v>
      </c>
      <c r="S663">
        <v>0</v>
      </c>
      <c r="T663">
        <v>8750</v>
      </c>
      <c r="V663" t="s">
        <v>87</v>
      </c>
      <c r="W663" t="s">
        <v>1082</v>
      </c>
      <c r="AF663" t="s">
        <v>102</v>
      </c>
      <c r="AH663" t="s">
        <v>1481</v>
      </c>
      <c r="AI663" t="s">
        <v>1482</v>
      </c>
    </row>
    <row r="664" spans="1:36">
      <c r="A664" t="s">
        <v>1888</v>
      </c>
      <c r="B664" t="s">
        <v>1889</v>
      </c>
      <c r="C664">
        <v>3</v>
      </c>
      <c r="D664" t="s">
        <v>190</v>
      </c>
      <c r="E664" t="s">
        <v>79</v>
      </c>
      <c r="F664" t="s">
        <v>79</v>
      </c>
      <c r="J664" t="s">
        <v>191</v>
      </c>
      <c r="O664" t="s">
        <v>243</v>
      </c>
      <c r="P664">
        <v>0</v>
      </c>
      <c r="Q664" t="s">
        <v>86</v>
      </c>
      <c r="R664">
        <v>0</v>
      </c>
      <c r="S664">
        <v>0</v>
      </c>
      <c r="T664">
        <v>1060</v>
      </c>
      <c r="V664" t="s">
        <v>87</v>
      </c>
      <c r="W664" t="s">
        <v>1836</v>
      </c>
      <c r="AF664" t="s">
        <v>102</v>
      </c>
      <c r="AH664" t="s">
        <v>1890</v>
      </c>
      <c r="AI664" t="s">
        <v>1324</v>
      </c>
    </row>
    <row r="665" spans="1:36">
      <c r="A665" t="s">
        <v>1891</v>
      </c>
      <c r="B665" t="s">
        <v>1892</v>
      </c>
      <c r="C665">
        <v>3</v>
      </c>
      <c r="D665" t="s">
        <v>190</v>
      </c>
      <c r="E665" t="s">
        <v>79</v>
      </c>
      <c r="F665" t="s">
        <v>79</v>
      </c>
      <c r="J665" t="s">
        <v>191</v>
      </c>
      <c r="O665" t="s">
        <v>243</v>
      </c>
      <c r="P665">
        <v>0</v>
      </c>
      <c r="Q665" t="s">
        <v>86</v>
      </c>
      <c r="R665">
        <v>0</v>
      </c>
      <c r="S665">
        <v>0</v>
      </c>
      <c r="T665">
        <v>1060</v>
      </c>
      <c r="V665" t="s">
        <v>87</v>
      </c>
      <c r="W665" t="s">
        <v>1836</v>
      </c>
      <c r="AF665" t="s">
        <v>102</v>
      </c>
      <c r="AH665" t="s">
        <v>1890</v>
      </c>
      <c r="AI665" t="s">
        <v>1324</v>
      </c>
    </row>
    <row r="666" spans="1:36">
      <c r="A666" t="s">
        <v>1893</v>
      </c>
      <c r="B666" t="s">
        <v>1894</v>
      </c>
      <c r="C666">
        <v>3</v>
      </c>
      <c r="D666" t="s">
        <v>190</v>
      </c>
      <c r="E666" t="s">
        <v>79</v>
      </c>
      <c r="F666" t="s">
        <v>79</v>
      </c>
      <c r="J666" t="s">
        <v>191</v>
      </c>
      <c r="O666" t="s">
        <v>243</v>
      </c>
      <c r="P666">
        <v>0</v>
      </c>
      <c r="Q666" t="s">
        <v>86</v>
      </c>
      <c r="R666">
        <v>0</v>
      </c>
      <c r="S666">
        <v>0</v>
      </c>
      <c r="T666">
        <v>1060</v>
      </c>
      <c r="V666" t="s">
        <v>87</v>
      </c>
      <c r="W666" t="s">
        <v>1836</v>
      </c>
      <c r="AF666" t="s">
        <v>102</v>
      </c>
      <c r="AH666" t="s">
        <v>1890</v>
      </c>
      <c r="AI666" t="s">
        <v>1324</v>
      </c>
    </row>
    <row r="667" spans="1:36">
      <c r="A667" t="s">
        <v>1895</v>
      </c>
      <c r="B667" t="s">
        <v>1896</v>
      </c>
      <c r="C667">
        <v>3</v>
      </c>
      <c r="D667" t="s">
        <v>190</v>
      </c>
      <c r="E667" t="s">
        <v>79</v>
      </c>
      <c r="F667" t="s">
        <v>79</v>
      </c>
      <c r="J667" t="s">
        <v>191</v>
      </c>
      <c r="O667" t="s">
        <v>243</v>
      </c>
      <c r="P667">
        <v>0</v>
      </c>
      <c r="Q667" t="s">
        <v>86</v>
      </c>
      <c r="R667">
        <v>0</v>
      </c>
      <c r="S667">
        <v>0</v>
      </c>
      <c r="T667">
        <v>2600</v>
      </c>
      <c r="V667">
        <v>6</v>
      </c>
      <c r="W667" t="s">
        <v>264</v>
      </c>
      <c r="AF667" t="s">
        <v>102</v>
      </c>
      <c r="AH667" t="s">
        <v>1700</v>
      </c>
      <c r="AI667" t="s">
        <v>1700</v>
      </c>
    </row>
    <row r="668" spans="1:36">
      <c r="A668" t="s">
        <v>1897</v>
      </c>
      <c r="B668" t="s">
        <v>1898</v>
      </c>
      <c r="C668">
        <v>3</v>
      </c>
      <c r="D668" t="s">
        <v>190</v>
      </c>
      <c r="E668" t="s">
        <v>79</v>
      </c>
      <c r="F668" t="s">
        <v>125</v>
      </c>
      <c r="P668">
        <v>0</v>
      </c>
      <c r="Q668" t="s">
        <v>86</v>
      </c>
      <c r="R668">
        <v>0</v>
      </c>
      <c r="S668">
        <v>0</v>
      </c>
      <c r="T668">
        <v>1060</v>
      </c>
      <c r="V668" t="s">
        <v>87</v>
      </c>
      <c r="W668" t="s">
        <v>1895</v>
      </c>
      <c r="AH668" t="s">
        <v>1700</v>
      </c>
      <c r="AI668" t="s">
        <v>1700</v>
      </c>
    </row>
    <row r="669" spans="1:36">
      <c r="A669" t="s">
        <v>1899</v>
      </c>
      <c r="B669" t="s">
        <v>1900</v>
      </c>
      <c r="C669">
        <v>3</v>
      </c>
      <c r="D669" t="s">
        <v>190</v>
      </c>
      <c r="E669" t="s">
        <v>79</v>
      </c>
      <c r="F669" t="s">
        <v>125</v>
      </c>
      <c r="P669">
        <v>0</v>
      </c>
      <c r="Q669" t="s">
        <v>86</v>
      </c>
      <c r="R669">
        <v>0</v>
      </c>
      <c r="S669">
        <v>0</v>
      </c>
      <c r="T669">
        <v>1060</v>
      </c>
      <c r="V669" t="s">
        <v>87</v>
      </c>
      <c r="W669" t="s">
        <v>264</v>
      </c>
      <c r="AI669" t="s">
        <v>1872</v>
      </c>
    </row>
    <row r="670" spans="1:36">
      <c r="A670" t="s">
        <v>1901</v>
      </c>
      <c r="B670" t="s">
        <v>1902</v>
      </c>
      <c r="C670">
        <v>3</v>
      </c>
      <c r="D670" t="s">
        <v>190</v>
      </c>
      <c r="E670" t="s">
        <v>79</v>
      </c>
      <c r="F670" t="s">
        <v>125</v>
      </c>
      <c r="P670">
        <v>0</v>
      </c>
      <c r="Q670" t="s">
        <v>86</v>
      </c>
      <c r="R670">
        <v>0</v>
      </c>
      <c r="S670">
        <v>0</v>
      </c>
      <c r="T670">
        <v>1060</v>
      </c>
      <c r="V670" t="s">
        <v>87</v>
      </c>
      <c r="W670" t="s">
        <v>264</v>
      </c>
      <c r="AI670" t="s">
        <v>1872</v>
      </c>
    </row>
    <row r="671" spans="1:36">
      <c r="A671" t="s">
        <v>1903</v>
      </c>
      <c r="B671" t="s">
        <v>1904</v>
      </c>
      <c r="C671">
        <v>3</v>
      </c>
      <c r="D671" t="s">
        <v>190</v>
      </c>
      <c r="E671" t="s">
        <v>79</v>
      </c>
      <c r="F671" t="s">
        <v>79</v>
      </c>
      <c r="J671" t="s">
        <v>191</v>
      </c>
      <c r="O671" t="s">
        <v>243</v>
      </c>
      <c r="P671">
        <v>0</v>
      </c>
      <c r="Q671" t="s">
        <v>86</v>
      </c>
      <c r="R671">
        <v>0</v>
      </c>
      <c r="S671">
        <v>0</v>
      </c>
      <c r="T671">
        <v>1060</v>
      </c>
      <c r="V671" t="s">
        <v>87</v>
      </c>
      <c r="W671" t="s">
        <v>1836</v>
      </c>
      <c r="AF671" t="s">
        <v>102</v>
      </c>
      <c r="AH671" t="s">
        <v>1905</v>
      </c>
      <c r="AI671" t="s">
        <v>266</v>
      </c>
    </row>
    <row r="672" spans="1:36">
      <c r="A672" t="s">
        <v>1906</v>
      </c>
      <c r="B672" t="s">
        <v>1907</v>
      </c>
      <c r="C672">
        <v>3</v>
      </c>
      <c r="D672" t="s">
        <v>190</v>
      </c>
      <c r="E672" t="s">
        <v>79</v>
      </c>
      <c r="F672" t="s">
        <v>79</v>
      </c>
      <c r="J672" t="s">
        <v>191</v>
      </c>
      <c r="O672" t="s">
        <v>243</v>
      </c>
      <c r="P672">
        <v>0</v>
      </c>
      <c r="Q672" t="s">
        <v>86</v>
      </c>
      <c r="R672">
        <v>0</v>
      </c>
      <c r="S672">
        <v>0</v>
      </c>
      <c r="T672">
        <v>1060</v>
      </c>
      <c r="V672" t="s">
        <v>87</v>
      </c>
      <c r="W672" t="s">
        <v>1836</v>
      </c>
      <c r="AF672" t="s">
        <v>102</v>
      </c>
      <c r="AH672" t="s">
        <v>1908</v>
      </c>
      <c r="AI672" t="s">
        <v>266</v>
      </c>
    </row>
    <row r="673" spans="1:35">
      <c r="A673" t="s">
        <v>1909</v>
      </c>
      <c r="B673" t="s">
        <v>1910</v>
      </c>
      <c r="C673">
        <v>3</v>
      </c>
      <c r="D673" t="s">
        <v>190</v>
      </c>
      <c r="E673" t="s">
        <v>79</v>
      </c>
      <c r="F673" t="s">
        <v>79</v>
      </c>
      <c r="J673" t="s">
        <v>191</v>
      </c>
      <c r="O673" t="s">
        <v>243</v>
      </c>
      <c r="P673">
        <v>0</v>
      </c>
      <c r="Q673" t="s">
        <v>86</v>
      </c>
      <c r="R673">
        <v>0</v>
      </c>
      <c r="S673">
        <v>0</v>
      </c>
      <c r="T673">
        <v>1065</v>
      </c>
      <c r="V673" t="s">
        <v>87</v>
      </c>
      <c r="W673" t="s">
        <v>1353</v>
      </c>
      <c r="AF673" t="s">
        <v>102</v>
      </c>
      <c r="AH673" t="s">
        <v>1911</v>
      </c>
      <c r="AI673" t="s">
        <v>1355</v>
      </c>
    </row>
    <row r="674" spans="1:35">
      <c r="A674" t="s">
        <v>1912</v>
      </c>
      <c r="B674" t="s">
        <v>1913</v>
      </c>
      <c r="C674">
        <v>3</v>
      </c>
      <c r="D674" t="s">
        <v>190</v>
      </c>
      <c r="E674" t="s">
        <v>79</v>
      </c>
      <c r="F674" t="s">
        <v>79</v>
      </c>
      <c r="J674" t="s">
        <v>191</v>
      </c>
      <c r="O674" t="s">
        <v>243</v>
      </c>
      <c r="P674">
        <v>0</v>
      </c>
      <c r="Q674" t="s">
        <v>86</v>
      </c>
      <c r="R674">
        <v>0</v>
      </c>
      <c r="S674">
        <v>0</v>
      </c>
      <c r="T674">
        <v>1065</v>
      </c>
      <c r="V674">
        <v>6</v>
      </c>
      <c r="W674" t="s">
        <v>1564</v>
      </c>
      <c r="AF674" t="s">
        <v>102</v>
      </c>
      <c r="AH674" t="s">
        <v>1914</v>
      </c>
      <c r="AI674" t="s">
        <v>1355</v>
      </c>
    </row>
    <row r="675" spans="1:35">
      <c r="A675" t="s">
        <v>1915</v>
      </c>
      <c r="B675" t="s">
        <v>1916</v>
      </c>
      <c r="C675">
        <v>3</v>
      </c>
      <c r="D675" t="s">
        <v>190</v>
      </c>
      <c r="E675" t="s">
        <v>79</v>
      </c>
      <c r="F675" t="s">
        <v>79</v>
      </c>
      <c r="J675" t="s">
        <v>191</v>
      </c>
      <c r="O675" t="s">
        <v>243</v>
      </c>
      <c r="P675">
        <v>0</v>
      </c>
      <c r="Q675" t="s">
        <v>86</v>
      </c>
      <c r="R675">
        <v>0</v>
      </c>
      <c r="S675">
        <v>0</v>
      </c>
      <c r="T675">
        <v>5725</v>
      </c>
      <c r="V675" t="s">
        <v>87</v>
      </c>
      <c r="W675" t="s">
        <v>1564</v>
      </c>
      <c r="AF675" t="s">
        <v>102</v>
      </c>
      <c r="AH675" t="s">
        <v>1917</v>
      </c>
      <c r="AI675" t="s">
        <v>1355</v>
      </c>
    </row>
    <row r="676" spans="1:35">
      <c r="A676" t="s">
        <v>1918</v>
      </c>
      <c r="B676" t="s">
        <v>1919</v>
      </c>
      <c r="C676">
        <v>3</v>
      </c>
      <c r="D676" t="s">
        <v>190</v>
      </c>
      <c r="E676" t="s">
        <v>79</v>
      </c>
      <c r="F676" t="s">
        <v>79</v>
      </c>
      <c r="J676" t="s">
        <v>191</v>
      </c>
      <c r="O676" t="s">
        <v>243</v>
      </c>
      <c r="P676">
        <v>0</v>
      </c>
      <c r="Q676" t="s">
        <v>86</v>
      </c>
      <c r="R676">
        <v>0</v>
      </c>
      <c r="S676">
        <v>0</v>
      </c>
      <c r="T676">
        <v>1060</v>
      </c>
      <c r="V676" t="s">
        <v>87</v>
      </c>
      <c r="W676" t="s">
        <v>1732</v>
      </c>
      <c r="AF676" t="s">
        <v>102</v>
      </c>
      <c r="AH676" t="s">
        <v>1920</v>
      </c>
      <c r="AI676" t="s">
        <v>1253</v>
      </c>
    </row>
    <row r="677" spans="1:35">
      <c r="A677" t="s">
        <v>1921</v>
      </c>
      <c r="B677" t="s">
        <v>1922</v>
      </c>
      <c r="C677">
        <v>3</v>
      </c>
      <c r="D677" t="s">
        <v>183</v>
      </c>
      <c r="E677" t="s">
        <v>79</v>
      </c>
      <c r="F677" t="s">
        <v>79</v>
      </c>
      <c r="J677" t="s">
        <v>191</v>
      </c>
      <c r="O677" t="s">
        <v>243</v>
      </c>
      <c r="P677">
        <v>0</v>
      </c>
      <c r="Q677" t="s">
        <v>86</v>
      </c>
      <c r="R677">
        <v>0</v>
      </c>
      <c r="S677">
        <v>0</v>
      </c>
      <c r="T677">
        <v>3800</v>
      </c>
      <c r="V677" t="s">
        <v>87</v>
      </c>
      <c r="W677" t="s">
        <v>1072</v>
      </c>
      <c r="AF677" t="s">
        <v>102</v>
      </c>
      <c r="AH677" t="s">
        <v>1481</v>
      </c>
      <c r="AI677" t="s">
        <v>1482</v>
      </c>
    </row>
    <row r="678" spans="1:35">
      <c r="A678" t="s">
        <v>1923</v>
      </c>
      <c r="B678" t="s">
        <v>1924</v>
      </c>
      <c r="C678">
        <v>3</v>
      </c>
      <c r="D678" t="s">
        <v>190</v>
      </c>
      <c r="E678" t="s">
        <v>79</v>
      </c>
      <c r="F678" t="s">
        <v>79</v>
      </c>
      <c r="J678" t="s">
        <v>191</v>
      </c>
      <c r="O678" t="s">
        <v>243</v>
      </c>
      <c r="P678">
        <v>0</v>
      </c>
      <c r="Q678" t="s">
        <v>86</v>
      </c>
      <c r="R678">
        <v>0</v>
      </c>
      <c r="S678">
        <v>0</v>
      </c>
      <c r="T678">
        <v>1060</v>
      </c>
      <c r="V678" t="s">
        <v>87</v>
      </c>
      <c r="W678" t="s">
        <v>37</v>
      </c>
      <c r="AF678" t="s">
        <v>102</v>
      </c>
      <c r="AH678" t="s">
        <v>1925</v>
      </c>
      <c r="AI678" t="s">
        <v>251</v>
      </c>
    </row>
    <row r="679" spans="1:35">
      <c r="A679" t="s">
        <v>1926</v>
      </c>
      <c r="B679" t="s">
        <v>1927</v>
      </c>
      <c r="C679">
        <v>3</v>
      </c>
      <c r="D679" t="s">
        <v>190</v>
      </c>
      <c r="E679" t="s">
        <v>79</v>
      </c>
      <c r="F679" t="s">
        <v>79</v>
      </c>
      <c r="J679" t="s">
        <v>191</v>
      </c>
      <c r="O679" t="s">
        <v>243</v>
      </c>
      <c r="P679">
        <v>0</v>
      </c>
      <c r="Q679" t="s">
        <v>86</v>
      </c>
      <c r="R679">
        <v>0</v>
      </c>
      <c r="S679">
        <v>0</v>
      </c>
      <c r="T679">
        <v>1060</v>
      </c>
      <c r="V679" t="s">
        <v>87</v>
      </c>
      <c r="W679" t="s">
        <v>244</v>
      </c>
      <c r="AF679" t="s">
        <v>102</v>
      </c>
      <c r="AH679" t="s">
        <v>1928</v>
      </c>
      <c r="AI679" t="s">
        <v>246</v>
      </c>
    </row>
    <row r="680" spans="1:35">
      <c r="A680" t="s">
        <v>1663</v>
      </c>
      <c r="B680" t="s">
        <v>1929</v>
      </c>
      <c r="C680">
        <v>3</v>
      </c>
      <c r="D680" t="s">
        <v>183</v>
      </c>
      <c r="E680" t="s">
        <v>79</v>
      </c>
      <c r="F680" t="s">
        <v>79</v>
      </c>
      <c r="J680" t="s">
        <v>191</v>
      </c>
      <c r="O680" t="s">
        <v>243</v>
      </c>
      <c r="P680">
        <v>0</v>
      </c>
      <c r="Q680" t="s">
        <v>86</v>
      </c>
      <c r="R680">
        <v>0</v>
      </c>
      <c r="S680">
        <v>0</v>
      </c>
      <c r="T680">
        <v>3800</v>
      </c>
      <c r="U680">
        <v>966037150</v>
      </c>
      <c r="V680">
        <v>5</v>
      </c>
      <c r="W680" t="s">
        <v>1714</v>
      </c>
      <c r="AF680" t="s">
        <v>102</v>
      </c>
      <c r="AH680" t="s">
        <v>1930</v>
      </c>
      <c r="AI680" t="s">
        <v>1623</v>
      </c>
    </row>
    <row r="681" spans="1:35">
      <c r="A681" t="s">
        <v>1931</v>
      </c>
      <c r="B681" t="s">
        <v>1932</v>
      </c>
      <c r="C681">
        <v>3</v>
      </c>
      <c r="D681" t="s">
        <v>183</v>
      </c>
      <c r="E681" t="s">
        <v>79</v>
      </c>
      <c r="F681" t="s">
        <v>79</v>
      </c>
      <c r="J681" t="s">
        <v>191</v>
      </c>
      <c r="O681" t="s">
        <v>243</v>
      </c>
      <c r="P681">
        <v>0</v>
      </c>
      <c r="Q681" t="s">
        <v>86</v>
      </c>
      <c r="R681">
        <v>0</v>
      </c>
      <c r="S681">
        <v>0</v>
      </c>
      <c r="T681">
        <v>3800</v>
      </c>
      <c r="U681">
        <v>966037161</v>
      </c>
      <c r="V681" t="s">
        <v>87</v>
      </c>
      <c r="W681" t="s">
        <v>1663</v>
      </c>
      <c r="AF681" t="s">
        <v>102</v>
      </c>
      <c r="AH681" t="s">
        <v>1933</v>
      </c>
      <c r="AI681" t="s">
        <v>574</v>
      </c>
    </row>
    <row r="682" spans="1:35">
      <c r="A682" t="s">
        <v>1934</v>
      </c>
      <c r="B682" t="s">
        <v>1935</v>
      </c>
      <c r="C682">
        <v>3</v>
      </c>
      <c r="D682" t="s">
        <v>183</v>
      </c>
      <c r="E682" t="s">
        <v>79</v>
      </c>
      <c r="F682" t="s">
        <v>79</v>
      </c>
      <c r="P682">
        <v>0</v>
      </c>
      <c r="Q682" t="s">
        <v>86</v>
      </c>
      <c r="R682">
        <v>0</v>
      </c>
      <c r="S682">
        <v>0</v>
      </c>
      <c r="T682">
        <v>3800</v>
      </c>
      <c r="U682">
        <v>96600</v>
      </c>
      <c r="V682" t="s">
        <v>87</v>
      </c>
      <c r="AI682" t="s">
        <v>1936</v>
      </c>
    </row>
    <row r="683" spans="1:35">
      <c r="A683" t="s">
        <v>1937</v>
      </c>
      <c r="B683" t="s">
        <v>1938</v>
      </c>
      <c r="C683">
        <v>3</v>
      </c>
      <c r="D683" t="s">
        <v>183</v>
      </c>
      <c r="E683" t="s">
        <v>79</v>
      </c>
      <c r="F683" t="s">
        <v>79</v>
      </c>
      <c r="J683" t="s">
        <v>191</v>
      </c>
      <c r="O683" t="s">
        <v>243</v>
      </c>
      <c r="P683">
        <v>0</v>
      </c>
      <c r="Q683" t="s">
        <v>86</v>
      </c>
      <c r="R683">
        <v>0</v>
      </c>
      <c r="S683">
        <v>0</v>
      </c>
      <c r="T683">
        <v>3800</v>
      </c>
      <c r="U683">
        <v>966037201</v>
      </c>
      <c r="V683" t="s">
        <v>87</v>
      </c>
      <c r="W683" t="s">
        <v>1663</v>
      </c>
      <c r="AF683" t="s">
        <v>102</v>
      </c>
      <c r="AH683" t="s">
        <v>1667</v>
      </c>
      <c r="AI683" t="s">
        <v>574</v>
      </c>
    </row>
    <row r="684" spans="1:35">
      <c r="A684" t="s">
        <v>1939</v>
      </c>
      <c r="B684" t="s">
        <v>1940</v>
      </c>
      <c r="C684">
        <v>3</v>
      </c>
      <c r="D684" t="s">
        <v>183</v>
      </c>
      <c r="E684" t="s">
        <v>79</v>
      </c>
      <c r="F684" t="s">
        <v>79</v>
      </c>
      <c r="J684" t="s">
        <v>191</v>
      </c>
      <c r="O684" t="s">
        <v>243</v>
      </c>
      <c r="P684">
        <v>0</v>
      </c>
      <c r="Q684" t="s">
        <v>86</v>
      </c>
      <c r="R684">
        <v>0</v>
      </c>
      <c r="S684">
        <v>0</v>
      </c>
      <c r="T684">
        <v>3800</v>
      </c>
      <c r="U684">
        <v>963107335</v>
      </c>
      <c r="V684" t="s">
        <v>87</v>
      </c>
      <c r="W684" t="s">
        <v>1663</v>
      </c>
      <c r="AF684" t="s">
        <v>102</v>
      </c>
      <c r="AH684" t="s">
        <v>1941</v>
      </c>
      <c r="AI684" t="s">
        <v>1623</v>
      </c>
    </row>
    <row r="685" spans="1:35">
      <c r="A685" t="s">
        <v>1942</v>
      </c>
      <c r="B685" t="s">
        <v>1943</v>
      </c>
      <c r="C685">
        <v>3</v>
      </c>
      <c r="D685" t="s">
        <v>190</v>
      </c>
      <c r="E685" t="s">
        <v>79</v>
      </c>
      <c r="F685" t="s">
        <v>125</v>
      </c>
      <c r="P685">
        <v>0</v>
      </c>
      <c r="Q685" t="s">
        <v>86</v>
      </c>
      <c r="R685">
        <v>0</v>
      </c>
      <c r="S685">
        <v>0</v>
      </c>
      <c r="T685">
        <v>1060</v>
      </c>
      <c r="V685" t="s">
        <v>87</v>
      </c>
      <c r="W685" t="s">
        <v>1341</v>
      </c>
      <c r="AI685" t="s">
        <v>1872</v>
      </c>
    </row>
    <row r="686" spans="1:35">
      <c r="A686" t="s">
        <v>1944</v>
      </c>
      <c r="B686" t="s">
        <v>1945</v>
      </c>
      <c r="C686">
        <v>3</v>
      </c>
      <c r="D686" t="s">
        <v>190</v>
      </c>
      <c r="E686" t="s">
        <v>79</v>
      </c>
      <c r="F686" t="s">
        <v>125</v>
      </c>
      <c r="P686">
        <v>0</v>
      </c>
      <c r="Q686" t="s">
        <v>86</v>
      </c>
      <c r="R686">
        <v>0</v>
      </c>
      <c r="S686">
        <v>0</v>
      </c>
      <c r="T686">
        <v>1060</v>
      </c>
      <c r="V686" t="s">
        <v>87</v>
      </c>
      <c r="W686" t="s">
        <v>1341</v>
      </c>
      <c r="AI686" t="s">
        <v>1872</v>
      </c>
    </row>
    <row r="687" spans="1:35">
      <c r="A687" t="s">
        <v>719</v>
      </c>
      <c r="B687" t="s">
        <v>1946</v>
      </c>
      <c r="C687">
        <v>3</v>
      </c>
      <c r="D687" t="s">
        <v>190</v>
      </c>
      <c r="E687" t="s">
        <v>79</v>
      </c>
      <c r="F687" t="s">
        <v>79</v>
      </c>
      <c r="J687" t="s">
        <v>191</v>
      </c>
      <c r="O687" t="s">
        <v>243</v>
      </c>
      <c r="P687">
        <v>0</v>
      </c>
      <c r="Q687" t="s">
        <v>86</v>
      </c>
      <c r="R687">
        <v>0</v>
      </c>
      <c r="S687">
        <v>0</v>
      </c>
      <c r="T687">
        <v>1065</v>
      </c>
      <c r="V687">
        <v>5</v>
      </c>
      <c r="W687" t="s">
        <v>1072</v>
      </c>
      <c r="AF687" t="s">
        <v>102</v>
      </c>
      <c r="AH687" t="s">
        <v>1947</v>
      </c>
      <c r="AI687" t="s">
        <v>721</v>
      </c>
    </row>
    <row r="688" spans="1:35">
      <c r="A688" t="s">
        <v>1948</v>
      </c>
      <c r="B688" t="s">
        <v>1949</v>
      </c>
      <c r="C688">
        <v>3</v>
      </c>
      <c r="D688" t="s">
        <v>190</v>
      </c>
      <c r="E688" t="s">
        <v>79</v>
      </c>
      <c r="F688" t="s">
        <v>79</v>
      </c>
      <c r="J688" t="s">
        <v>191</v>
      </c>
      <c r="O688" t="s">
        <v>243</v>
      </c>
      <c r="P688">
        <v>0</v>
      </c>
      <c r="Q688" t="s">
        <v>86</v>
      </c>
      <c r="R688">
        <v>0</v>
      </c>
      <c r="S688">
        <v>0</v>
      </c>
      <c r="T688">
        <v>1060</v>
      </c>
      <c r="V688" t="s">
        <v>87</v>
      </c>
      <c r="W688" t="s">
        <v>1856</v>
      </c>
      <c r="AF688" t="s">
        <v>102</v>
      </c>
      <c r="AH688" t="s">
        <v>1259</v>
      </c>
      <c r="AI688" t="s">
        <v>1253</v>
      </c>
    </row>
    <row r="689" spans="1:36">
      <c r="A689" t="s">
        <v>1950</v>
      </c>
      <c r="B689" t="s">
        <v>1951</v>
      </c>
      <c r="C689">
        <v>3</v>
      </c>
      <c r="D689" t="s">
        <v>190</v>
      </c>
      <c r="E689" t="s">
        <v>79</v>
      </c>
      <c r="F689" t="s">
        <v>79</v>
      </c>
      <c r="J689" t="s">
        <v>191</v>
      </c>
      <c r="O689" t="s">
        <v>243</v>
      </c>
      <c r="P689">
        <v>0</v>
      </c>
      <c r="Q689" t="s">
        <v>86</v>
      </c>
      <c r="R689">
        <v>0</v>
      </c>
      <c r="S689">
        <v>0</v>
      </c>
      <c r="T689">
        <v>1060</v>
      </c>
      <c r="V689" t="s">
        <v>87</v>
      </c>
      <c r="W689" t="s">
        <v>1856</v>
      </c>
      <c r="AF689" t="s">
        <v>102</v>
      </c>
      <c r="AH689" t="s">
        <v>1259</v>
      </c>
      <c r="AI689" t="s">
        <v>1253</v>
      </c>
    </row>
    <row r="690" spans="1:36">
      <c r="A690" t="s">
        <v>1952</v>
      </c>
      <c r="B690" t="s">
        <v>1953</v>
      </c>
      <c r="C690">
        <v>3</v>
      </c>
      <c r="D690" t="s">
        <v>190</v>
      </c>
      <c r="E690" t="s">
        <v>79</v>
      </c>
      <c r="F690" t="s">
        <v>79</v>
      </c>
      <c r="J690" t="s">
        <v>191</v>
      </c>
      <c r="O690" t="s">
        <v>243</v>
      </c>
      <c r="P690">
        <v>0</v>
      </c>
      <c r="Q690" t="s">
        <v>86</v>
      </c>
      <c r="R690">
        <v>0</v>
      </c>
      <c r="S690">
        <v>0</v>
      </c>
      <c r="T690">
        <v>1060</v>
      </c>
      <c r="V690" t="s">
        <v>87</v>
      </c>
      <c r="W690" t="s">
        <v>1954</v>
      </c>
      <c r="AF690" t="s">
        <v>102</v>
      </c>
      <c r="AH690" t="s">
        <v>1259</v>
      </c>
      <c r="AI690" t="s">
        <v>1253</v>
      </c>
    </row>
    <row r="691" spans="1:36">
      <c r="A691" t="s">
        <v>1955</v>
      </c>
      <c r="B691" t="s">
        <v>1956</v>
      </c>
      <c r="C691">
        <v>3</v>
      </c>
      <c r="D691" t="s">
        <v>190</v>
      </c>
      <c r="E691" t="s">
        <v>79</v>
      </c>
      <c r="F691" t="s">
        <v>79</v>
      </c>
      <c r="J691" t="s">
        <v>191</v>
      </c>
      <c r="O691" t="s">
        <v>243</v>
      </c>
      <c r="P691">
        <v>0</v>
      </c>
      <c r="Q691" t="s">
        <v>86</v>
      </c>
      <c r="R691">
        <v>0</v>
      </c>
      <c r="S691">
        <v>0</v>
      </c>
      <c r="T691">
        <v>1060</v>
      </c>
      <c r="V691" t="s">
        <v>87</v>
      </c>
      <c r="W691" t="s">
        <v>1954</v>
      </c>
      <c r="AF691" t="s">
        <v>102</v>
      </c>
      <c r="AH691" t="s">
        <v>1259</v>
      </c>
      <c r="AI691" t="s">
        <v>1253</v>
      </c>
    </row>
    <row r="692" spans="1:36">
      <c r="A692" t="s">
        <v>1957</v>
      </c>
      <c r="B692" t="s">
        <v>1958</v>
      </c>
      <c r="C692">
        <v>3</v>
      </c>
      <c r="D692" t="s">
        <v>190</v>
      </c>
      <c r="E692" t="s">
        <v>79</v>
      </c>
      <c r="F692" t="s">
        <v>79</v>
      </c>
      <c r="J692" t="s">
        <v>191</v>
      </c>
      <c r="O692" t="s">
        <v>243</v>
      </c>
      <c r="P692">
        <v>0</v>
      </c>
      <c r="Q692" t="s">
        <v>86</v>
      </c>
      <c r="R692">
        <v>0</v>
      </c>
      <c r="S692">
        <v>0</v>
      </c>
      <c r="T692">
        <v>1060</v>
      </c>
      <c r="V692" t="s">
        <v>87</v>
      </c>
      <c r="W692" t="s">
        <v>1341</v>
      </c>
      <c r="AF692" t="s">
        <v>102</v>
      </c>
      <c r="AH692" t="s">
        <v>1959</v>
      </c>
      <c r="AI692" t="s">
        <v>1960</v>
      </c>
    </row>
    <row r="693" spans="1:36">
      <c r="A693" t="s">
        <v>1961</v>
      </c>
      <c r="B693" t="s">
        <v>1962</v>
      </c>
      <c r="C693">
        <v>3</v>
      </c>
      <c r="D693" t="s">
        <v>190</v>
      </c>
      <c r="E693" t="s">
        <v>79</v>
      </c>
      <c r="F693" t="s">
        <v>79</v>
      </c>
      <c r="J693" t="s">
        <v>191</v>
      </c>
      <c r="O693" t="s">
        <v>243</v>
      </c>
      <c r="P693">
        <v>0</v>
      </c>
      <c r="Q693" t="s">
        <v>86</v>
      </c>
      <c r="R693">
        <v>0</v>
      </c>
      <c r="S693">
        <v>0</v>
      </c>
      <c r="T693">
        <v>1060</v>
      </c>
      <c r="V693" t="s">
        <v>87</v>
      </c>
      <c r="W693" t="s">
        <v>258</v>
      </c>
      <c r="AF693" t="s">
        <v>102</v>
      </c>
      <c r="AH693" t="s">
        <v>1963</v>
      </c>
      <c r="AI693" t="s">
        <v>1964</v>
      </c>
    </row>
    <row r="694" spans="1:36">
      <c r="A694" t="s">
        <v>1965</v>
      </c>
      <c r="B694" t="s">
        <v>1966</v>
      </c>
      <c r="C694">
        <v>3</v>
      </c>
      <c r="D694" t="s">
        <v>190</v>
      </c>
      <c r="E694" t="s">
        <v>79</v>
      </c>
      <c r="F694" t="s">
        <v>79</v>
      </c>
      <c r="J694" t="s">
        <v>191</v>
      </c>
      <c r="O694" t="s">
        <v>243</v>
      </c>
      <c r="P694">
        <v>0</v>
      </c>
      <c r="Q694" t="s">
        <v>86</v>
      </c>
      <c r="R694">
        <v>0</v>
      </c>
      <c r="S694">
        <v>0</v>
      </c>
      <c r="T694">
        <v>1060</v>
      </c>
      <c r="V694" t="s">
        <v>87</v>
      </c>
      <c r="W694" t="s">
        <v>244</v>
      </c>
      <c r="AF694" t="s">
        <v>102</v>
      </c>
      <c r="AH694" t="s">
        <v>1967</v>
      </c>
      <c r="AI694" t="s">
        <v>246</v>
      </c>
    </row>
    <row r="695" spans="1:36">
      <c r="A695" t="s">
        <v>1968</v>
      </c>
      <c r="B695" t="s">
        <v>1969</v>
      </c>
      <c r="C695">
        <v>3</v>
      </c>
      <c r="D695" t="s">
        <v>190</v>
      </c>
      <c r="E695" t="s">
        <v>79</v>
      </c>
      <c r="F695" t="s">
        <v>79</v>
      </c>
      <c r="J695" t="s">
        <v>191</v>
      </c>
      <c r="O695" t="s">
        <v>243</v>
      </c>
      <c r="P695">
        <v>0</v>
      </c>
      <c r="Q695" t="s">
        <v>86</v>
      </c>
      <c r="R695">
        <v>0</v>
      </c>
      <c r="S695">
        <v>0</v>
      </c>
      <c r="T695">
        <v>1060</v>
      </c>
      <c r="V695" t="s">
        <v>87</v>
      </c>
      <c r="W695" t="s">
        <v>244</v>
      </c>
      <c r="AF695" t="s">
        <v>102</v>
      </c>
      <c r="AH695" t="s">
        <v>1970</v>
      </c>
      <c r="AI695" t="s">
        <v>246</v>
      </c>
    </row>
    <row r="696" spans="1:36">
      <c r="A696" t="s">
        <v>1971</v>
      </c>
      <c r="B696" t="s">
        <v>1972</v>
      </c>
      <c r="C696">
        <v>3</v>
      </c>
      <c r="D696" t="s">
        <v>190</v>
      </c>
      <c r="E696" t="s">
        <v>79</v>
      </c>
      <c r="F696" t="s">
        <v>79</v>
      </c>
      <c r="J696" t="s">
        <v>191</v>
      </c>
      <c r="O696" t="s">
        <v>243</v>
      </c>
      <c r="P696">
        <v>0</v>
      </c>
      <c r="Q696" t="s">
        <v>86</v>
      </c>
      <c r="R696">
        <v>0</v>
      </c>
      <c r="S696">
        <v>0</v>
      </c>
      <c r="T696">
        <v>1060</v>
      </c>
      <c r="V696" t="s">
        <v>87</v>
      </c>
      <c r="W696" t="s">
        <v>244</v>
      </c>
      <c r="AF696" t="s">
        <v>102</v>
      </c>
      <c r="AH696" t="s">
        <v>1973</v>
      </c>
      <c r="AI696" t="s">
        <v>246</v>
      </c>
    </row>
    <row r="697" spans="1:36">
      <c r="A697" t="s">
        <v>1974</v>
      </c>
      <c r="B697" t="s">
        <v>1975</v>
      </c>
      <c r="C697">
        <v>3</v>
      </c>
      <c r="D697" t="s">
        <v>190</v>
      </c>
      <c r="E697" t="s">
        <v>79</v>
      </c>
      <c r="F697" t="s">
        <v>79</v>
      </c>
      <c r="J697" t="s">
        <v>191</v>
      </c>
      <c r="O697" t="s">
        <v>243</v>
      </c>
      <c r="P697">
        <v>0</v>
      </c>
      <c r="Q697" t="s">
        <v>86</v>
      </c>
      <c r="R697">
        <v>0</v>
      </c>
      <c r="S697">
        <v>0</v>
      </c>
      <c r="T697">
        <v>1060</v>
      </c>
      <c r="V697" t="s">
        <v>87</v>
      </c>
      <c r="W697" t="s">
        <v>1895</v>
      </c>
      <c r="AF697" t="s">
        <v>102</v>
      </c>
      <c r="AH697" t="s">
        <v>1976</v>
      </c>
      <c r="AI697" t="s">
        <v>1623</v>
      </c>
    </row>
    <row r="698" spans="1:36">
      <c r="A698" t="s">
        <v>1977</v>
      </c>
      <c r="B698" t="s">
        <v>1978</v>
      </c>
      <c r="C698">
        <v>3</v>
      </c>
      <c r="D698" t="s">
        <v>190</v>
      </c>
      <c r="E698" t="s">
        <v>79</v>
      </c>
      <c r="F698" t="s">
        <v>79</v>
      </c>
      <c r="J698" t="s">
        <v>191</v>
      </c>
      <c r="O698" t="s">
        <v>243</v>
      </c>
      <c r="P698">
        <v>0</v>
      </c>
      <c r="Q698" t="s">
        <v>86</v>
      </c>
      <c r="R698">
        <v>0</v>
      </c>
      <c r="S698">
        <v>0</v>
      </c>
      <c r="T698">
        <v>1060</v>
      </c>
      <c r="V698">
        <v>6</v>
      </c>
      <c r="W698" t="s">
        <v>1341</v>
      </c>
      <c r="AF698" t="s">
        <v>102</v>
      </c>
      <c r="AH698" t="s">
        <v>1700</v>
      </c>
      <c r="AI698" t="s">
        <v>1700</v>
      </c>
    </row>
    <row r="699" spans="1:36">
      <c r="A699" t="s">
        <v>1979</v>
      </c>
      <c r="B699" t="s">
        <v>1980</v>
      </c>
      <c r="C699">
        <v>3</v>
      </c>
      <c r="D699" t="s">
        <v>190</v>
      </c>
      <c r="E699" t="s">
        <v>79</v>
      </c>
      <c r="F699" t="s">
        <v>125</v>
      </c>
      <c r="P699">
        <v>0</v>
      </c>
      <c r="Q699" t="s">
        <v>86</v>
      </c>
      <c r="R699">
        <v>0</v>
      </c>
      <c r="S699">
        <v>0</v>
      </c>
      <c r="T699">
        <v>1060</v>
      </c>
      <c r="V699" t="s">
        <v>87</v>
      </c>
      <c r="W699" t="s">
        <v>1977</v>
      </c>
      <c r="AI699" t="s">
        <v>1872</v>
      </c>
    </row>
    <row r="700" spans="1:36">
      <c r="A700" t="s">
        <v>1981</v>
      </c>
      <c r="B700" t="s">
        <v>1982</v>
      </c>
      <c r="C700">
        <v>3</v>
      </c>
      <c r="D700" t="s">
        <v>78</v>
      </c>
      <c r="E700" t="s">
        <v>79</v>
      </c>
      <c r="F700" t="s">
        <v>125</v>
      </c>
      <c r="G700" t="s">
        <v>80</v>
      </c>
      <c r="H700" t="s">
        <v>81</v>
      </c>
      <c r="I700" t="s">
        <v>82</v>
      </c>
      <c r="P700">
        <v>0</v>
      </c>
      <c r="Q700" t="s">
        <v>86</v>
      </c>
      <c r="R700">
        <v>0</v>
      </c>
      <c r="S700">
        <v>0</v>
      </c>
      <c r="T700">
        <v>9500</v>
      </c>
      <c r="V700" t="s">
        <v>87</v>
      </c>
      <c r="W700" t="s">
        <v>404</v>
      </c>
      <c r="AB700" t="s">
        <v>314</v>
      </c>
      <c r="AC700" t="s">
        <v>90</v>
      </c>
      <c r="AD700">
        <v>6</v>
      </c>
      <c r="AH700">
        <v>6173080036</v>
      </c>
      <c r="AI700">
        <v>6173</v>
      </c>
      <c r="AJ700" t="s">
        <v>407</v>
      </c>
    </row>
    <row r="701" spans="1:36">
      <c r="A701" t="s">
        <v>1983</v>
      </c>
      <c r="B701" t="s">
        <v>1984</v>
      </c>
      <c r="C701">
        <v>3</v>
      </c>
      <c r="D701" t="s">
        <v>78</v>
      </c>
      <c r="E701" t="s">
        <v>79</v>
      </c>
      <c r="F701" t="s">
        <v>79</v>
      </c>
      <c r="G701" t="s">
        <v>80</v>
      </c>
      <c r="H701" t="s">
        <v>81</v>
      </c>
      <c r="I701" t="s">
        <v>82</v>
      </c>
      <c r="J701" t="s">
        <v>341</v>
      </c>
      <c r="K701" t="s">
        <v>1985</v>
      </c>
      <c r="L701" t="s">
        <v>343</v>
      </c>
      <c r="O701" t="s">
        <v>177</v>
      </c>
      <c r="P701">
        <v>0</v>
      </c>
      <c r="Q701" t="s">
        <v>86</v>
      </c>
      <c r="R701">
        <v>0</v>
      </c>
      <c r="S701">
        <v>0</v>
      </c>
      <c r="T701">
        <v>9500</v>
      </c>
      <c r="V701" t="s">
        <v>87</v>
      </c>
      <c r="W701" t="s">
        <v>1986</v>
      </c>
      <c r="AB701" t="s">
        <v>179</v>
      </c>
      <c r="AC701" t="s">
        <v>90</v>
      </c>
      <c r="AD701">
        <v>6</v>
      </c>
      <c r="AE701" t="s">
        <v>91</v>
      </c>
      <c r="AF701" t="s">
        <v>102</v>
      </c>
      <c r="AH701">
        <v>5744000171</v>
      </c>
      <c r="AI701">
        <v>5744</v>
      </c>
      <c r="AJ701" t="s">
        <v>1193</v>
      </c>
    </row>
    <row r="702" spans="1:36">
      <c r="A702" t="s">
        <v>1987</v>
      </c>
      <c r="B702" t="s">
        <v>1988</v>
      </c>
      <c r="C702">
        <v>3</v>
      </c>
      <c r="D702" t="s">
        <v>190</v>
      </c>
      <c r="E702" t="s">
        <v>79</v>
      </c>
      <c r="F702" t="s">
        <v>79</v>
      </c>
      <c r="J702" t="s">
        <v>191</v>
      </c>
      <c r="O702" t="s">
        <v>243</v>
      </c>
      <c r="P702">
        <v>0</v>
      </c>
      <c r="Q702" t="s">
        <v>86</v>
      </c>
      <c r="R702">
        <v>0</v>
      </c>
      <c r="S702">
        <v>0</v>
      </c>
      <c r="T702">
        <v>1060</v>
      </c>
      <c r="V702" t="s">
        <v>87</v>
      </c>
      <c r="W702" t="s">
        <v>1856</v>
      </c>
      <c r="AF702" t="s">
        <v>102</v>
      </c>
      <c r="AH702" t="s">
        <v>1989</v>
      </c>
      <c r="AI702" t="s">
        <v>1253</v>
      </c>
    </row>
    <row r="703" spans="1:36">
      <c r="A703" t="s">
        <v>1990</v>
      </c>
      <c r="B703" t="s">
        <v>1991</v>
      </c>
      <c r="C703">
        <v>3</v>
      </c>
      <c r="D703" t="s">
        <v>190</v>
      </c>
      <c r="E703" t="s">
        <v>79</v>
      </c>
      <c r="F703" t="s">
        <v>79</v>
      </c>
      <c r="J703" t="s">
        <v>191</v>
      </c>
      <c r="O703" t="s">
        <v>243</v>
      </c>
      <c r="P703">
        <v>0</v>
      </c>
      <c r="Q703" t="s">
        <v>86</v>
      </c>
      <c r="R703">
        <v>0</v>
      </c>
      <c r="S703">
        <v>0</v>
      </c>
      <c r="T703">
        <v>1060</v>
      </c>
      <c r="V703" t="s">
        <v>87</v>
      </c>
      <c r="W703" t="s">
        <v>1954</v>
      </c>
      <c r="AF703" t="s">
        <v>102</v>
      </c>
      <c r="AH703" t="s">
        <v>1256</v>
      </c>
      <c r="AI703" t="s">
        <v>1253</v>
      </c>
    </row>
    <row r="704" spans="1:36">
      <c r="A704" t="s">
        <v>1992</v>
      </c>
      <c r="B704" t="s">
        <v>1993</v>
      </c>
      <c r="C704">
        <v>3</v>
      </c>
      <c r="D704" t="s">
        <v>190</v>
      </c>
      <c r="E704" t="s">
        <v>79</v>
      </c>
      <c r="F704" t="s">
        <v>79</v>
      </c>
      <c r="J704" t="s">
        <v>191</v>
      </c>
      <c r="O704" t="s">
        <v>243</v>
      </c>
      <c r="P704">
        <v>0</v>
      </c>
      <c r="Q704" t="s">
        <v>86</v>
      </c>
      <c r="R704">
        <v>0</v>
      </c>
      <c r="S704">
        <v>0</v>
      </c>
      <c r="T704">
        <v>1060</v>
      </c>
      <c r="V704" t="s">
        <v>87</v>
      </c>
      <c r="W704" t="s">
        <v>1954</v>
      </c>
      <c r="AF704" t="s">
        <v>102</v>
      </c>
      <c r="AH704" t="s">
        <v>1989</v>
      </c>
      <c r="AI704" t="s">
        <v>1253</v>
      </c>
    </row>
    <row r="705" spans="1:36">
      <c r="A705" t="s">
        <v>37</v>
      </c>
      <c r="B705" t="s">
        <v>1994</v>
      </c>
      <c r="C705">
        <v>3</v>
      </c>
      <c r="D705" t="s">
        <v>190</v>
      </c>
      <c r="E705" t="s">
        <v>79</v>
      </c>
      <c r="F705" t="s">
        <v>79</v>
      </c>
      <c r="J705" t="s">
        <v>191</v>
      </c>
      <c r="O705" t="s">
        <v>243</v>
      </c>
      <c r="P705">
        <v>0</v>
      </c>
      <c r="Q705" t="s">
        <v>86</v>
      </c>
      <c r="R705">
        <v>0</v>
      </c>
      <c r="S705">
        <v>0</v>
      </c>
      <c r="T705">
        <v>1060</v>
      </c>
      <c r="U705">
        <v>96606</v>
      </c>
      <c r="V705">
        <v>5</v>
      </c>
      <c r="W705" t="s">
        <v>258</v>
      </c>
      <c r="AF705" t="s">
        <v>102</v>
      </c>
      <c r="AH705" t="s">
        <v>1995</v>
      </c>
      <c r="AI705" t="s">
        <v>251</v>
      </c>
    </row>
    <row r="706" spans="1:36">
      <c r="A706" t="s">
        <v>1996</v>
      </c>
      <c r="B706" t="s">
        <v>1997</v>
      </c>
      <c r="C706">
        <v>3</v>
      </c>
      <c r="D706" t="s">
        <v>130</v>
      </c>
      <c r="E706" t="s">
        <v>79</v>
      </c>
      <c r="F706" t="s">
        <v>79</v>
      </c>
      <c r="G706" t="s">
        <v>80</v>
      </c>
      <c r="H706" t="s">
        <v>81</v>
      </c>
      <c r="I706" t="s">
        <v>82</v>
      </c>
      <c r="J706" t="s">
        <v>95</v>
      </c>
      <c r="K706" t="s">
        <v>163</v>
      </c>
      <c r="L706">
        <v>95</v>
      </c>
      <c r="N706" t="s">
        <v>155</v>
      </c>
      <c r="O706" t="s">
        <v>98</v>
      </c>
      <c r="P706">
        <v>0</v>
      </c>
      <c r="Q706" t="s">
        <v>86</v>
      </c>
      <c r="R706">
        <v>0</v>
      </c>
      <c r="S706">
        <v>0</v>
      </c>
      <c r="T706">
        <v>7100</v>
      </c>
      <c r="V706" t="s">
        <v>87</v>
      </c>
      <c r="W706" t="s">
        <v>164</v>
      </c>
      <c r="AB706" t="s">
        <v>100</v>
      </c>
      <c r="AC706" t="s">
        <v>90</v>
      </c>
      <c r="AD706">
        <v>6</v>
      </c>
      <c r="AE706" t="s">
        <v>101</v>
      </c>
      <c r="AF706" t="s">
        <v>102</v>
      </c>
      <c r="AH706">
        <v>3975000701</v>
      </c>
      <c r="AI706">
        <v>3975</v>
      </c>
      <c r="AJ706" t="s">
        <v>1998</v>
      </c>
    </row>
    <row r="707" spans="1:36">
      <c r="A707" t="s">
        <v>1999</v>
      </c>
      <c r="B707" t="s">
        <v>2000</v>
      </c>
      <c r="C707">
        <v>3</v>
      </c>
      <c r="D707" t="s">
        <v>78</v>
      </c>
      <c r="E707" t="s">
        <v>125</v>
      </c>
      <c r="F707" t="s">
        <v>125</v>
      </c>
      <c r="G707" t="s">
        <v>80</v>
      </c>
      <c r="H707" t="s">
        <v>81</v>
      </c>
      <c r="I707" t="s">
        <v>82</v>
      </c>
      <c r="P707">
        <v>0</v>
      </c>
      <c r="Q707" t="s">
        <v>86</v>
      </c>
      <c r="R707">
        <v>0</v>
      </c>
      <c r="S707">
        <v>0</v>
      </c>
      <c r="T707">
        <v>9500</v>
      </c>
      <c r="V707" t="s">
        <v>87</v>
      </c>
      <c r="W707" t="s">
        <v>2001</v>
      </c>
      <c r="AB707">
        <v>2700</v>
      </c>
      <c r="AC707" t="s">
        <v>90</v>
      </c>
      <c r="AD707">
        <v>4</v>
      </c>
      <c r="AH707">
        <v>8453000208</v>
      </c>
      <c r="AI707">
        <v>8453</v>
      </c>
      <c r="AJ707" t="s">
        <v>2002</v>
      </c>
    </row>
    <row r="708" spans="1:36">
      <c r="A708" t="s">
        <v>2003</v>
      </c>
      <c r="B708" t="s">
        <v>2000</v>
      </c>
      <c r="C708">
        <v>3</v>
      </c>
      <c r="D708" t="s">
        <v>78</v>
      </c>
      <c r="E708" t="s">
        <v>79</v>
      </c>
      <c r="F708" t="s">
        <v>79</v>
      </c>
      <c r="J708" t="s">
        <v>191</v>
      </c>
      <c r="O708" t="s">
        <v>243</v>
      </c>
      <c r="P708">
        <v>0</v>
      </c>
      <c r="Q708" t="s">
        <v>86</v>
      </c>
      <c r="R708">
        <v>0</v>
      </c>
      <c r="S708">
        <v>0</v>
      </c>
      <c r="T708">
        <v>9500</v>
      </c>
      <c r="V708" t="s">
        <v>87</v>
      </c>
      <c r="W708" t="s">
        <v>2004</v>
      </c>
      <c r="AF708" t="s">
        <v>102</v>
      </c>
      <c r="AH708" t="s">
        <v>2005</v>
      </c>
      <c r="AI708" t="s">
        <v>2006</v>
      </c>
    </row>
    <row r="709" spans="1:36">
      <c r="A709" t="s">
        <v>2007</v>
      </c>
      <c r="B709" t="s">
        <v>2008</v>
      </c>
      <c r="C709">
        <v>3</v>
      </c>
      <c r="D709" t="s">
        <v>130</v>
      </c>
      <c r="E709" t="s">
        <v>79</v>
      </c>
      <c r="F709" t="s">
        <v>79</v>
      </c>
      <c r="G709" t="s">
        <v>80</v>
      </c>
      <c r="H709" t="s">
        <v>81</v>
      </c>
      <c r="I709" t="s">
        <v>82</v>
      </c>
      <c r="J709" t="s">
        <v>106</v>
      </c>
      <c r="K709" t="s">
        <v>107</v>
      </c>
      <c r="L709" s="1">
        <v>45328</v>
      </c>
      <c r="N709" t="s">
        <v>108</v>
      </c>
      <c r="O709" t="s">
        <v>98</v>
      </c>
      <c r="P709">
        <v>0</v>
      </c>
      <c r="Q709" t="s">
        <v>86</v>
      </c>
      <c r="R709">
        <v>0</v>
      </c>
      <c r="S709">
        <v>0</v>
      </c>
      <c r="T709">
        <v>7100</v>
      </c>
      <c r="V709" t="s">
        <v>87</v>
      </c>
      <c r="W709" t="s">
        <v>2009</v>
      </c>
      <c r="AB709" t="s">
        <v>431</v>
      </c>
      <c r="AC709" t="s">
        <v>90</v>
      </c>
      <c r="AD709">
        <v>6</v>
      </c>
      <c r="AE709" t="s">
        <v>101</v>
      </c>
      <c r="AF709" t="s">
        <v>102</v>
      </c>
      <c r="AH709">
        <v>4450111104</v>
      </c>
      <c r="AI709">
        <v>4450</v>
      </c>
      <c r="AJ709" t="s">
        <v>111</v>
      </c>
    </row>
    <row r="710" spans="1:36">
      <c r="A710" t="s">
        <v>2010</v>
      </c>
      <c r="B710" t="s">
        <v>2011</v>
      </c>
      <c r="C710">
        <v>3</v>
      </c>
      <c r="D710" t="s">
        <v>190</v>
      </c>
      <c r="E710" t="s">
        <v>79</v>
      </c>
      <c r="F710" t="s">
        <v>79</v>
      </c>
      <c r="J710" t="s">
        <v>191</v>
      </c>
      <c r="O710" t="s">
        <v>243</v>
      </c>
      <c r="P710">
        <v>0</v>
      </c>
      <c r="Q710" t="s">
        <v>86</v>
      </c>
      <c r="R710">
        <v>0</v>
      </c>
      <c r="S710">
        <v>0</v>
      </c>
      <c r="T710">
        <v>1060</v>
      </c>
      <c r="V710" t="s">
        <v>87</v>
      </c>
      <c r="W710" t="s">
        <v>1856</v>
      </c>
      <c r="AF710" t="s">
        <v>102</v>
      </c>
      <c r="AH710" t="s">
        <v>2012</v>
      </c>
      <c r="AI710" t="s">
        <v>1253</v>
      </c>
    </row>
    <row r="711" spans="1:36">
      <c r="A711" t="s">
        <v>2013</v>
      </c>
      <c r="B711" t="s">
        <v>2014</v>
      </c>
      <c r="C711">
        <v>3</v>
      </c>
      <c r="D711" t="s">
        <v>190</v>
      </c>
      <c r="E711" t="s">
        <v>125</v>
      </c>
      <c r="F711" t="s">
        <v>79</v>
      </c>
      <c r="G711" t="s">
        <v>80</v>
      </c>
      <c r="H711" t="s">
        <v>81</v>
      </c>
      <c r="I711" t="s">
        <v>82</v>
      </c>
      <c r="J711" t="s">
        <v>191</v>
      </c>
      <c r="K711" t="s">
        <v>192</v>
      </c>
      <c r="L711">
        <v>1</v>
      </c>
      <c r="P711">
        <v>0</v>
      </c>
      <c r="Q711" t="s">
        <v>86</v>
      </c>
      <c r="R711">
        <v>0</v>
      </c>
      <c r="S711">
        <v>0</v>
      </c>
      <c r="T711">
        <v>1060</v>
      </c>
      <c r="V711">
        <v>6</v>
      </c>
      <c r="W711" t="s">
        <v>1055</v>
      </c>
      <c r="AB711">
        <v>2700</v>
      </c>
      <c r="AC711" t="s">
        <v>90</v>
      </c>
      <c r="AD711">
        <v>4</v>
      </c>
      <c r="AE711" t="s">
        <v>101</v>
      </c>
      <c r="AF711" t="s">
        <v>102</v>
      </c>
      <c r="AH711">
        <v>8640001200</v>
      </c>
      <c r="AI711">
        <v>8640</v>
      </c>
      <c r="AJ711" t="s">
        <v>1056</v>
      </c>
    </row>
    <row r="712" spans="1:36">
      <c r="A712" t="s">
        <v>1954</v>
      </c>
      <c r="B712" t="s">
        <v>2015</v>
      </c>
      <c r="C712">
        <v>3</v>
      </c>
      <c r="D712" t="s">
        <v>190</v>
      </c>
      <c r="E712" t="s">
        <v>79</v>
      </c>
      <c r="F712" t="s">
        <v>79</v>
      </c>
      <c r="J712" t="s">
        <v>191</v>
      </c>
      <c r="O712" t="s">
        <v>243</v>
      </c>
      <c r="P712">
        <v>0</v>
      </c>
      <c r="Q712" t="s">
        <v>86</v>
      </c>
      <c r="R712">
        <v>0</v>
      </c>
      <c r="S712">
        <v>0</v>
      </c>
      <c r="T712">
        <v>1060</v>
      </c>
      <c r="U712">
        <v>96385</v>
      </c>
      <c r="V712">
        <v>6</v>
      </c>
      <c r="W712" t="s">
        <v>1509</v>
      </c>
      <c r="AF712" t="s">
        <v>102</v>
      </c>
      <c r="AH712" t="s">
        <v>1858</v>
      </c>
      <c r="AI712" t="s">
        <v>1253</v>
      </c>
    </row>
    <row r="713" spans="1:36">
      <c r="A713" t="s">
        <v>2016</v>
      </c>
      <c r="B713" t="s">
        <v>2017</v>
      </c>
      <c r="C713">
        <v>4</v>
      </c>
      <c r="D713" t="s">
        <v>130</v>
      </c>
      <c r="E713" t="s">
        <v>79</v>
      </c>
      <c r="F713" t="s">
        <v>79</v>
      </c>
      <c r="G713" t="s">
        <v>80</v>
      </c>
      <c r="H713" t="s">
        <v>81</v>
      </c>
      <c r="I713" t="s">
        <v>82</v>
      </c>
      <c r="J713" t="s">
        <v>153</v>
      </c>
      <c r="K713" t="s">
        <v>1002</v>
      </c>
      <c r="L713">
        <v>96</v>
      </c>
      <c r="N713" t="s">
        <v>155</v>
      </c>
      <c r="O713" t="s">
        <v>156</v>
      </c>
      <c r="P713">
        <v>0</v>
      </c>
      <c r="Q713" t="s">
        <v>86</v>
      </c>
      <c r="R713">
        <v>0</v>
      </c>
      <c r="S713">
        <v>0</v>
      </c>
      <c r="T713">
        <v>7100</v>
      </c>
      <c r="V713" t="s">
        <v>157</v>
      </c>
      <c r="W713" t="s">
        <v>1000</v>
      </c>
      <c r="AB713" t="s">
        <v>216</v>
      </c>
      <c r="AC713" t="s">
        <v>90</v>
      </c>
      <c r="AD713" t="s">
        <v>159</v>
      </c>
      <c r="AE713" t="s">
        <v>160</v>
      </c>
      <c r="AF713" t="s">
        <v>102</v>
      </c>
      <c r="AH713">
        <v>7000023416</v>
      </c>
      <c r="AI713">
        <v>7000</v>
      </c>
      <c r="AJ713" t="s">
        <v>272</v>
      </c>
    </row>
    <row r="714" spans="1:36">
      <c r="A714" t="s">
        <v>702</v>
      </c>
      <c r="B714" t="s">
        <v>2018</v>
      </c>
      <c r="C714">
        <v>4</v>
      </c>
      <c r="D714" t="s">
        <v>190</v>
      </c>
      <c r="E714" t="s">
        <v>79</v>
      </c>
      <c r="F714" t="s">
        <v>79</v>
      </c>
      <c r="G714" t="s">
        <v>80</v>
      </c>
      <c r="H714" t="s">
        <v>81</v>
      </c>
      <c r="I714" t="s">
        <v>82</v>
      </c>
      <c r="J714" t="s">
        <v>191</v>
      </c>
      <c r="K714" t="s">
        <v>1092</v>
      </c>
      <c r="L714">
        <v>1</v>
      </c>
      <c r="P714">
        <v>0</v>
      </c>
      <c r="Q714" t="s">
        <v>86</v>
      </c>
      <c r="R714">
        <v>0</v>
      </c>
      <c r="S714">
        <v>0</v>
      </c>
      <c r="T714">
        <v>2100</v>
      </c>
      <c r="V714">
        <v>4</v>
      </c>
      <c r="W714" t="s">
        <v>2019</v>
      </c>
      <c r="AB714">
        <v>2700</v>
      </c>
      <c r="AC714" t="s">
        <v>90</v>
      </c>
      <c r="AD714">
        <v>6</v>
      </c>
      <c r="AE714" t="s">
        <v>91</v>
      </c>
      <c r="AF714" t="s">
        <v>102</v>
      </c>
      <c r="AH714">
        <v>8145010300</v>
      </c>
      <c r="AI714">
        <v>8145</v>
      </c>
      <c r="AJ714" t="s">
        <v>703</v>
      </c>
    </row>
    <row r="715" spans="1:36">
      <c r="A715" t="s">
        <v>1836</v>
      </c>
      <c r="B715" t="s">
        <v>2020</v>
      </c>
      <c r="C715">
        <v>3</v>
      </c>
      <c r="D715" t="s">
        <v>190</v>
      </c>
      <c r="E715" t="s">
        <v>79</v>
      </c>
      <c r="F715" t="s">
        <v>79</v>
      </c>
      <c r="J715" t="s">
        <v>191</v>
      </c>
      <c r="O715" t="s">
        <v>243</v>
      </c>
      <c r="P715">
        <v>0</v>
      </c>
      <c r="Q715" t="s">
        <v>86</v>
      </c>
      <c r="R715">
        <v>0</v>
      </c>
      <c r="S715">
        <v>0</v>
      </c>
      <c r="T715">
        <v>1060</v>
      </c>
      <c r="V715">
        <v>6</v>
      </c>
      <c r="W715" t="s">
        <v>264</v>
      </c>
      <c r="AF715" t="s">
        <v>102</v>
      </c>
      <c r="AH715" t="s">
        <v>2021</v>
      </c>
      <c r="AI715" t="s">
        <v>1324</v>
      </c>
    </row>
    <row r="716" spans="1:36">
      <c r="A716" t="s">
        <v>2022</v>
      </c>
      <c r="B716" t="s">
        <v>2023</v>
      </c>
      <c r="C716">
        <v>3</v>
      </c>
      <c r="D716" t="s">
        <v>133</v>
      </c>
      <c r="E716" t="s">
        <v>79</v>
      </c>
      <c r="F716" t="s">
        <v>79</v>
      </c>
      <c r="G716" t="s">
        <v>80</v>
      </c>
      <c r="H716" t="s">
        <v>81</v>
      </c>
      <c r="I716" t="s">
        <v>82</v>
      </c>
      <c r="J716" t="s">
        <v>411</v>
      </c>
      <c r="K716" t="s">
        <v>412</v>
      </c>
      <c r="L716">
        <v>1</v>
      </c>
      <c r="O716" t="s">
        <v>411</v>
      </c>
      <c r="P716">
        <v>0</v>
      </c>
      <c r="Q716" t="s">
        <v>86</v>
      </c>
      <c r="R716">
        <v>0</v>
      </c>
      <c r="S716">
        <v>0</v>
      </c>
      <c r="T716">
        <v>1180</v>
      </c>
      <c r="V716" t="s">
        <v>87</v>
      </c>
      <c r="W716" t="s">
        <v>141</v>
      </c>
      <c r="AB716" t="s">
        <v>142</v>
      </c>
      <c r="AC716" t="s">
        <v>90</v>
      </c>
      <c r="AD716">
        <v>6</v>
      </c>
      <c r="AE716" t="s">
        <v>91</v>
      </c>
      <c r="AF716" t="s">
        <v>102</v>
      </c>
      <c r="AH716">
        <v>3435007501</v>
      </c>
      <c r="AI716">
        <v>3435</v>
      </c>
      <c r="AJ716" t="s">
        <v>143</v>
      </c>
    </row>
    <row r="717" spans="1:36">
      <c r="A717" t="s">
        <v>2024</v>
      </c>
      <c r="B717" t="s">
        <v>2025</v>
      </c>
      <c r="C717">
        <v>3</v>
      </c>
      <c r="D717" t="s">
        <v>190</v>
      </c>
      <c r="E717" t="s">
        <v>79</v>
      </c>
      <c r="F717" t="s">
        <v>79</v>
      </c>
      <c r="J717" t="s">
        <v>191</v>
      </c>
      <c r="O717" t="s">
        <v>243</v>
      </c>
      <c r="P717">
        <v>0</v>
      </c>
      <c r="Q717" t="s">
        <v>86</v>
      </c>
      <c r="R717">
        <v>0</v>
      </c>
      <c r="S717">
        <v>0</v>
      </c>
      <c r="T717">
        <v>1060</v>
      </c>
      <c r="V717" t="s">
        <v>87</v>
      </c>
      <c r="W717" t="s">
        <v>1836</v>
      </c>
      <c r="AF717" t="s">
        <v>102</v>
      </c>
      <c r="AH717" t="s">
        <v>2026</v>
      </c>
      <c r="AI717" t="s">
        <v>266</v>
      </c>
    </row>
    <row r="718" spans="1:36">
      <c r="A718" t="s">
        <v>2027</v>
      </c>
      <c r="B718" t="s">
        <v>2028</v>
      </c>
      <c r="C718">
        <v>3</v>
      </c>
      <c r="D718" t="s">
        <v>190</v>
      </c>
      <c r="E718" t="s">
        <v>79</v>
      </c>
      <c r="F718" t="s">
        <v>79</v>
      </c>
      <c r="J718" t="s">
        <v>191</v>
      </c>
      <c r="O718" t="s">
        <v>243</v>
      </c>
      <c r="P718">
        <v>0</v>
      </c>
      <c r="Q718" t="s">
        <v>86</v>
      </c>
      <c r="R718">
        <v>0</v>
      </c>
      <c r="S718">
        <v>0</v>
      </c>
      <c r="T718">
        <v>1060</v>
      </c>
      <c r="V718" t="s">
        <v>87</v>
      </c>
      <c r="W718" t="s">
        <v>1320</v>
      </c>
      <c r="AF718" t="s">
        <v>102</v>
      </c>
      <c r="AH718" t="s">
        <v>2029</v>
      </c>
      <c r="AI718" t="s">
        <v>1253</v>
      </c>
    </row>
    <row r="719" spans="1:36">
      <c r="A719" t="s">
        <v>2030</v>
      </c>
      <c r="B719" t="s">
        <v>2031</v>
      </c>
      <c r="C719">
        <v>3</v>
      </c>
      <c r="D719" t="s">
        <v>190</v>
      </c>
      <c r="E719" t="s">
        <v>79</v>
      </c>
      <c r="F719" t="s">
        <v>79</v>
      </c>
      <c r="J719" t="s">
        <v>191</v>
      </c>
      <c r="O719" t="s">
        <v>243</v>
      </c>
      <c r="P719">
        <v>0</v>
      </c>
      <c r="Q719" t="s">
        <v>86</v>
      </c>
      <c r="R719">
        <v>0</v>
      </c>
      <c r="S719">
        <v>0</v>
      </c>
      <c r="T719">
        <v>1060</v>
      </c>
      <c r="V719" t="s">
        <v>87</v>
      </c>
      <c r="W719" t="s">
        <v>1320</v>
      </c>
      <c r="AF719" t="s">
        <v>102</v>
      </c>
      <c r="AH719" t="s">
        <v>2032</v>
      </c>
      <c r="AI719" t="s">
        <v>1294</v>
      </c>
    </row>
    <row r="720" spans="1:36">
      <c r="A720" t="s">
        <v>2033</v>
      </c>
      <c r="B720" t="s">
        <v>2034</v>
      </c>
      <c r="C720">
        <v>3</v>
      </c>
      <c r="D720" t="s">
        <v>190</v>
      </c>
      <c r="E720" t="s">
        <v>79</v>
      </c>
      <c r="F720" t="s">
        <v>79</v>
      </c>
      <c r="J720" t="s">
        <v>191</v>
      </c>
      <c r="O720" t="s">
        <v>243</v>
      </c>
      <c r="P720">
        <v>0</v>
      </c>
      <c r="Q720" t="s">
        <v>86</v>
      </c>
      <c r="R720">
        <v>0</v>
      </c>
      <c r="S720">
        <v>0</v>
      </c>
      <c r="T720">
        <v>1060</v>
      </c>
      <c r="V720" t="s">
        <v>87</v>
      </c>
      <c r="W720" t="s">
        <v>1320</v>
      </c>
      <c r="AF720" t="s">
        <v>102</v>
      </c>
      <c r="AH720" t="s">
        <v>2029</v>
      </c>
      <c r="AI720" t="s">
        <v>1253</v>
      </c>
    </row>
    <row r="721" spans="1:36">
      <c r="A721" t="s">
        <v>2035</v>
      </c>
      <c r="B721" t="s">
        <v>2036</v>
      </c>
      <c r="C721">
        <v>3</v>
      </c>
      <c r="D721" t="s">
        <v>190</v>
      </c>
      <c r="E721" t="s">
        <v>79</v>
      </c>
      <c r="F721" t="s">
        <v>79</v>
      </c>
      <c r="J721" t="s">
        <v>191</v>
      </c>
      <c r="O721" t="s">
        <v>243</v>
      </c>
      <c r="P721">
        <v>0</v>
      </c>
      <c r="Q721" t="s">
        <v>86</v>
      </c>
      <c r="R721">
        <v>0</v>
      </c>
      <c r="S721">
        <v>0</v>
      </c>
      <c r="T721">
        <v>1060</v>
      </c>
      <c r="V721" t="s">
        <v>87</v>
      </c>
      <c r="W721" t="s">
        <v>1320</v>
      </c>
      <c r="AF721" t="s">
        <v>102</v>
      </c>
      <c r="AH721" t="s">
        <v>2037</v>
      </c>
      <c r="AI721" t="s">
        <v>1294</v>
      </c>
    </row>
    <row r="722" spans="1:36">
      <c r="A722" t="s">
        <v>2038</v>
      </c>
      <c r="B722" t="s">
        <v>2039</v>
      </c>
      <c r="C722">
        <v>3</v>
      </c>
      <c r="D722" t="s">
        <v>190</v>
      </c>
      <c r="E722" t="s">
        <v>79</v>
      </c>
      <c r="F722" t="s">
        <v>79</v>
      </c>
      <c r="J722" t="s">
        <v>191</v>
      </c>
      <c r="O722" t="s">
        <v>243</v>
      </c>
      <c r="P722">
        <v>0</v>
      </c>
      <c r="Q722" t="s">
        <v>86</v>
      </c>
      <c r="R722">
        <v>0</v>
      </c>
      <c r="S722">
        <v>0</v>
      </c>
      <c r="T722">
        <v>1060</v>
      </c>
      <c r="V722" t="s">
        <v>87</v>
      </c>
      <c r="W722" t="s">
        <v>1320</v>
      </c>
      <c r="AF722" t="s">
        <v>102</v>
      </c>
      <c r="AH722" t="s">
        <v>2040</v>
      </c>
      <c r="AI722" t="s">
        <v>1359</v>
      </c>
    </row>
    <row r="723" spans="1:36">
      <c r="A723" t="s">
        <v>164</v>
      </c>
      <c r="B723" t="s">
        <v>2041</v>
      </c>
      <c r="C723">
        <v>3</v>
      </c>
      <c r="D723" t="s">
        <v>78</v>
      </c>
      <c r="E723" t="s">
        <v>79</v>
      </c>
      <c r="F723" t="s">
        <v>79</v>
      </c>
      <c r="G723" t="s">
        <v>80</v>
      </c>
      <c r="H723" t="s">
        <v>81</v>
      </c>
      <c r="I723" t="s">
        <v>82</v>
      </c>
      <c r="J723" t="s">
        <v>95</v>
      </c>
      <c r="K723" t="s">
        <v>163</v>
      </c>
      <c r="L723">
        <v>96</v>
      </c>
      <c r="N723" t="s">
        <v>155</v>
      </c>
      <c r="O723" t="s">
        <v>98</v>
      </c>
      <c r="P723">
        <v>0</v>
      </c>
      <c r="Q723" t="s">
        <v>86</v>
      </c>
      <c r="R723">
        <v>0</v>
      </c>
      <c r="S723">
        <v>0</v>
      </c>
      <c r="T723">
        <v>9500</v>
      </c>
      <c r="V723">
        <v>4</v>
      </c>
      <c r="W723" t="s">
        <v>1303</v>
      </c>
      <c r="AB723" t="s">
        <v>210</v>
      </c>
      <c r="AC723" t="s">
        <v>90</v>
      </c>
      <c r="AD723">
        <v>6</v>
      </c>
      <c r="AE723" t="s">
        <v>101</v>
      </c>
      <c r="AF723" t="s">
        <v>102</v>
      </c>
      <c r="AH723">
        <v>3975000700</v>
      </c>
      <c r="AI723">
        <v>3975</v>
      </c>
      <c r="AJ723" t="s">
        <v>1998</v>
      </c>
    </row>
    <row r="724" spans="1:36">
      <c r="A724" t="s">
        <v>2042</v>
      </c>
      <c r="B724" t="s">
        <v>2043</v>
      </c>
      <c r="C724">
        <v>3</v>
      </c>
      <c r="D724" t="s">
        <v>183</v>
      </c>
      <c r="E724" t="s">
        <v>79</v>
      </c>
      <c r="F724" t="s">
        <v>79</v>
      </c>
      <c r="J724" t="s">
        <v>191</v>
      </c>
      <c r="O724" t="s">
        <v>243</v>
      </c>
      <c r="P724">
        <v>0</v>
      </c>
      <c r="Q724" t="s">
        <v>86</v>
      </c>
      <c r="R724">
        <v>0</v>
      </c>
      <c r="S724">
        <v>0</v>
      </c>
      <c r="T724">
        <v>3800</v>
      </c>
      <c r="U724">
        <v>966037215</v>
      </c>
      <c r="V724" t="s">
        <v>87</v>
      </c>
      <c r="W724" t="s">
        <v>1485</v>
      </c>
      <c r="AF724" t="s">
        <v>102</v>
      </c>
      <c r="AH724" t="s">
        <v>1486</v>
      </c>
      <c r="AI724" t="s">
        <v>1487</v>
      </c>
    </row>
    <row r="725" spans="1:36">
      <c r="A725" t="s">
        <v>2044</v>
      </c>
      <c r="B725" t="s">
        <v>2045</v>
      </c>
      <c r="C725">
        <v>3</v>
      </c>
      <c r="D725" t="s">
        <v>190</v>
      </c>
      <c r="E725" t="s">
        <v>79</v>
      </c>
      <c r="F725" t="s">
        <v>79</v>
      </c>
      <c r="J725" t="s">
        <v>191</v>
      </c>
      <c r="O725" t="s">
        <v>243</v>
      </c>
      <c r="P725">
        <v>0</v>
      </c>
      <c r="Q725" t="s">
        <v>86</v>
      </c>
      <c r="R725">
        <v>0</v>
      </c>
      <c r="S725">
        <v>0</v>
      </c>
      <c r="T725">
        <v>1060</v>
      </c>
      <c r="V725" t="s">
        <v>87</v>
      </c>
      <c r="W725" t="s">
        <v>1564</v>
      </c>
      <c r="AF725" t="s">
        <v>102</v>
      </c>
      <c r="AH725" t="s">
        <v>1917</v>
      </c>
      <c r="AI725" t="s">
        <v>1355</v>
      </c>
    </row>
    <row r="726" spans="1:36">
      <c r="A726" t="s">
        <v>2046</v>
      </c>
      <c r="B726" t="s">
        <v>2047</v>
      </c>
      <c r="C726">
        <v>3</v>
      </c>
      <c r="D726" t="s">
        <v>78</v>
      </c>
      <c r="E726" t="s">
        <v>79</v>
      </c>
      <c r="F726" t="s">
        <v>125</v>
      </c>
      <c r="G726" t="s">
        <v>80</v>
      </c>
      <c r="H726" t="s">
        <v>81</v>
      </c>
      <c r="I726" t="s">
        <v>82</v>
      </c>
      <c r="P726">
        <v>0</v>
      </c>
      <c r="Q726" t="s">
        <v>86</v>
      </c>
      <c r="R726">
        <v>0</v>
      </c>
      <c r="S726">
        <v>0</v>
      </c>
      <c r="T726">
        <v>9500</v>
      </c>
      <c r="V726" t="s">
        <v>87</v>
      </c>
      <c r="W726" t="s">
        <v>2048</v>
      </c>
      <c r="AB726" t="s">
        <v>179</v>
      </c>
      <c r="AC726" t="s">
        <v>90</v>
      </c>
      <c r="AD726">
        <v>6</v>
      </c>
      <c r="AH726">
        <v>2000005614</v>
      </c>
      <c r="AI726">
        <v>2000</v>
      </c>
      <c r="AJ726" t="s">
        <v>366</v>
      </c>
    </row>
    <row r="727" spans="1:36">
      <c r="A727" t="s">
        <v>2049</v>
      </c>
      <c r="B727" t="s">
        <v>2050</v>
      </c>
      <c r="C727">
        <v>3</v>
      </c>
      <c r="D727" t="s">
        <v>78</v>
      </c>
      <c r="E727" t="s">
        <v>79</v>
      </c>
      <c r="F727" t="s">
        <v>79</v>
      </c>
      <c r="G727" t="s">
        <v>80</v>
      </c>
      <c r="H727" t="s">
        <v>81</v>
      </c>
      <c r="I727" t="s">
        <v>82</v>
      </c>
      <c r="J727" t="s">
        <v>411</v>
      </c>
      <c r="K727" t="s">
        <v>412</v>
      </c>
      <c r="L727">
        <v>1</v>
      </c>
      <c r="O727" t="s">
        <v>411</v>
      </c>
      <c r="P727">
        <v>0</v>
      </c>
      <c r="Q727" t="s">
        <v>86</v>
      </c>
      <c r="R727">
        <v>0</v>
      </c>
      <c r="S727">
        <v>0</v>
      </c>
      <c r="T727">
        <v>9500</v>
      </c>
      <c r="V727" t="s">
        <v>87</v>
      </c>
      <c r="W727" t="s">
        <v>2051</v>
      </c>
      <c r="AB727" t="s">
        <v>2052</v>
      </c>
      <c r="AC727" t="s">
        <v>90</v>
      </c>
      <c r="AD727">
        <v>1</v>
      </c>
      <c r="AE727" t="s">
        <v>91</v>
      </c>
      <c r="AF727" t="s">
        <v>102</v>
      </c>
      <c r="AH727">
        <v>4170003189</v>
      </c>
      <c r="AI727">
        <v>4170</v>
      </c>
      <c r="AJ727" t="s">
        <v>1015</v>
      </c>
    </row>
    <row r="728" spans="1:36">
      <c r="A728" t="s">
        <v>2053</v>
      </c>
      <c r="B728" t="s">
        <v>2054</v>
      </c>
      <c r="C728">
        <v>3</v>
      </c>
      <c r="D728" t="s">
        <v>133</v>
      </c>
      <c r="E728" t="s">
        <v>79</v>
      </c>
      <c r="F728" t="s">
        <v>79</v>
      </c>
      <c r="G728" t="s">
        <v>80</v>
      </c>
      <c r="H728" t="s">
        <v>81</v>
      </c>
      <c r="I728" t="s">
        <v>82</v>
      </c>
      <c r="J728" t="s">
        <v>411</v>
      </c>
      <c r="K728" t="s">
        <v>412</v>
      </c>
      <c r="L728">
        <v>1</v>
      </c>
      <c r="O728" t="s">
        <v>411</v>
      </c>
      <c r="P728">
        <v>0</v>
      </c>
      <c r="Q728" t="s">
        <v>86</v>
      </c>
      <c r="R728">
        <v>0</v>
      </c>
      <c r="S728">
        <v>0</v>
      </c>
      <c r="T728">
        <v>1180</v>
      </c>
      <c r="V728" t="s">
        <v>87</v>
      </c>
      <c r="W728" t="s">
        <v>2051</v>
      </c>
      <c r="AB728" t="s">
        <v>2052</v>
      </c>
      <c r="AC728" t="s">
        <v>90</v>
      </c>
      <c r="AD728">
        <v>1</v>
      </c>
      <c r="AE728" t="s">
        <v>91</v>
      </c>
      <c r="AF728" t="s">
        <v>102</v>
      </c>
      <c r="AH728">
        <v>4170003190</v>
      </c>
      <c r="AI728">
        <v>4170</v>
      </c>
      <c r="AJ728" t="s">
        <v>1015</v>
      </c>
    </row>
    <row r="729" spans="1:36">
      <c r="A729" t="s">
        <v>2055</v>
      </c>
      <c r="B729" t="s">
        <v>2056</v>
      </c>
      <c r="C729">
        <v>3</v>
      </c>
      <c r="D729" t="s">
        <v>174</v>
      </c>
      <c r="E729" t="s">
        <v>79</v>
      </c>
      <c r="F729" t="s">
        <v>79</v>
      </c>
      <c r="G729" t="s">
        <v>80</v>
      </c>
      <c r="H729" t="s">
        <v>81</v>
      </c>
      <c r="I729" t="s">
        <v>82</v>
      </c>
      <c r="J729" t="s">
        <v>1587</v>
      </c>
      <c r="K729" t="s">
        <v>2057</v>
      </c>
      <c r="L729" t="s">
        <v>2058</v>
      </c>
      <c r="O729" t="s">
        <v>1588</v>
      </c>
      <c r="P729">
        <v>0</v>
      </c>
      <c r="Q729" t="s">
        <v>86</v>
      </c>
      <c r="R729">
        <v>0</v>
      </c>
      <c r="S729">
        <v>0</v>
      </c>
      <c r="T729">
        <v>600</v>
      </c>
      <c r="V729" t="s">
        <v>87</v>
      </c>
      <c r="W729" t="s">
        <v>2059</v>
      </c>
      <c r="AB729" t="s">
        <v>205</v>
      </c>
      <c r="AC729" t="s">
        <v>90</v>
      </c>
      <c r="AD729">
        <v>6</v>
      </c>
      <c r="AF729" t="s">
        <v>102</v>
      </c>
      <c r="AH729">
        <v>2326002902</v>
      </c>
      <c r="AI729">
        <v>2326</v>
      </c>
      <c r="AJ729" t="s">
        <v>2060</v>
      </c>
    </row>
    <row r="730" spans="1:36">
      <c r="A730" t="s">
        <v>2061</v>
      </c>
      <c r="B730" t="s">
        <v>2062</v>
      </c>
      <c r="C730">
        <v>3</v>
      </c>
      <c r="D730" t="s">
        <v>78</v>
      </c>
      <c r="E730" t="s">
        <v>79</v>
      </c>
      <c r="F730" t="s">
        <v>125</v>
      </c>
      <c r="G730" t="s">
        <v>80</v>
      </c>
      <c r="H730" t="s">
        <v>81</v>
      </c>
      <c r="I730" t="s">
        <v>82</v>
      </c>
      <c r="P730">
        <v>0</v>
      </c>
      <c r="Q730" t="s">
        <v>86</v>
      </c>
      <c r="R730">
        <v>0</v>
      </c>
      <c r="S730">
        <v>0</v>
      </c>
      <c r="T730">
        <v>9510</v>
      </c>
      <c r="V730" t="s">
        <v>87</v>
      </c>
      <c r="W730" t="s">
        <v>290</v>
      </c>
      <c r="AB730" t="s">
        <v>291</v>
      </c>
      <c r="AC730" t="s">
        <v>90</v>
      </c>
      <c r="AD730">
        <v>6</v>
      </c>
      <c r="AH730">
        <v>3710007025</v>
      </c>
      <c r="AI730">
        <v>3710</v>
      </c>
      <c r="AJ730" t="s">
        <v>292</v>
      </c>
    </row>
    <row r="731" spans="1:36">
      <c r="A731" t="s">
        <v>2063</v>
      </c>
      <c r="B731" t="s">
        <v>2064</v>
      </c>
      <c r="C731">
        <v>3</v>
      </c>
      <c r="D731" t="s">
        <v>190</v>
      </c>
      <c r="E731" t="s">
        <v>79</v>
      </c>
      <c r="F731" t="s">
        <v>79</v>
      </c>
      <c r="J731" t="s">
        <v>191</v>
      </c>
      <c r="O731" t="s">
        <v>243</v>
      </c>
      <c r="P731">
        <v>0</v>
      </c>
      <c r="Q731" t="s">
        <v>86</v>
      </c>
      <c r="R731">
        <v>0</v>
      </c>
      <c r="S731">
        <v>0</v>
      </c>
      <c r="T731">
        <v>1060</v>
      </c>
      <c r="V731" t="s">
        <v>87</v>
      </c>
      <c r="W731" t="s">
        <v>1341</v>
      </c>
      <c r="AF731" t="s">
        <v>102</v>
      </c>
      <c r="AH731" t="s">
        <v>1959</v>
      </c>
      <c r="AI731" t="s">
        <v>1960</v>
      </c>
    </row>
    <row r="732" spans="1:36">
      <c r="A732" t="s">
        <v>2065</v>
      </c>
      <c r="B732" t="s">
        <v>2066</v>
      </c>
      <c r="C732">
        <v>3</v>
      </c>
      <c r="D732" t="s">
        <v>190</v>
      </c>
      <c r="E732" t="s">
        <v>79</v>
      </c>
      <c r="F732" t="s">
        <v>79</v>
      </c>
      <c r="J732" t="s">
        <v>191</v>
      </c>
      <c r="O732" t="s">
        <v>243</v>
      </c>
      <c r="P732">
        <v>0</v>
      </c>
      <c r="Q732" t="s">
        <v>86</v>
      </c>
      <c r="R732">
        <v>0</v>
      </c>
      <c r="S732">
        <v>0</v>
      </c>
      <c r="T732">
        <v>5615</v>
      </c>
      <c r="U732">
        <v>96385</v>
      </c>
      <c r="V732" t="s">
        <v>87</v>
      </c>
      <c r="AF732" t="s">
        <v>102</v>
      </c>
      <c r="AH732" t="s">
        <v>2067</v>
      </c>
      <c r="AI732" t="s">
        <v>246</v>
      </c>
    </row>
    <row r="733" spans="1:36">
      <c r="A733" t="s">
        <v>2068</v>
      </c>
      <c r="B733" t="s">
        <v>2069</v>
      </c>
      <c r="C733">
        <v>3</v>
      </c>
      <c r="D733" t="s">
        <v>183</v>
      </c>
      <c r="E733" t="s">
        <v>79</v>
      </c>
      <c r="F733" t="s">
        <v>79</v>
      </c>
      <c r="J733" t="s">
        <v>191</v>
      </c>
      <c r="O733" t="s">
        <v>243</v>
      </c>
      <c r="P733">
        <v>0</v>
      </c>
      <c r="Q733" t="s">
        <v>86</v>
      </c>
      <c r="R733">
        <v>0</v>
      </c>
      <c r="S733">
        <v>0</v>
      </c>
      <c r="T733">
        <v>3800</v>
      </c>
      <c r="U733">
        <v>96600</v>
      </c>
      <c r="V733" t="s">
        <v>87</v>
      </c>
      <c r="W733" t="s">
        <v>1663</v>
      </c>
      <c r="AF733" t="s">
        <v>102</v>
      </c>
      <c r="AH733" t="s">
        <v>1941</v>
      </c>
      <c r="AI733" t="s">
        <v>1623</v>
      </c>
    </row>
    <row r="734" spans="1:36">
      <c r="A734" t="s">
        <v>2070</v>
      </c>
      <c r="B734" t="s">
        <v>2071</v>
      </c>
      <c r="C734">
        <v>3</v>
      </c>
      <c r="D734" t="s">
        <v>130</v>
      </c>
      <c r="E734" t="s">
        <v>79</v>
      </c>
      <c r="F734" t="s">
        <v>79</v>
      </c>
      <c r="G734" t="s">
        <v>80</v>
      </c>
      <c r="H734" t="s">
        <v>81</v>
      </c>
      <c r="I734" t="s">
        <v>82</v>
      </c>
      <c r="J734" t="s">
        <v>301</v>
      </c>
      <c r="K734" t="s">
        <v>302</v>
      </c>
      <c r="L734">
        <v>4</v>
      </c>
      <c r="O734" t="s">
        <v>301</v>
      </c>
      <c r="P734">
        <v>0</v>
      </c>
      <c r="Q734" t="s">
        <v>86</v>
      </c>
      <c r="R734">
        <v>0</v>
      </c>
      <c r="S734">
        <v>0</v>
      </c>
      <c r="T734">
        <v>7100</v>
      </c>
      <c r="V734" t="s">
        <v>87</v>
      </c>
      <c r="W734" t="s">
        <v>303</v>
      </c>
      <c r="AB734" t="s">
        <v>314</v>
      </c>
      <c r="AC734" t="s">
        <v>90</v>
      </c>
      <c r="AD734">
        <v>6</v>
      </c>
      <c r="AE734" t="s">
        <v>91</v>
      </c>
      <c r="AF734" t="s">
        <v>102</v>
      </c>
      <c r="AH734">
        <v>3364002094</v>
      </c>
      <c r="AI734">
        <v>3364</v>
      </c>
      <c r="AJ734" t="s">
        <v>306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1201C3-897B-43C3-BDEC-AFD307C529FE}">
  <dimension ref="A1:X1102"/>
  <sheetViews>
    <sheetView topLeftCell="A1072" workbookViewId="0">
      <selection activeCell="F35" sqref="F35"/>
    </sheetView>
  </sheetViews>
  <sheetFormatPr defaultRowHeight="15"/>
  <sheetData>
    <row r="1" spans="1:24">
      <c r="A1" t="s">
        <v>2072</v>
      </c>
      <c r="B1" t="s">
        <v>2073</v>
      </c>
      <c r="C1" t="s">
        <v>2074</v>
      </c>
      <c r="D1" t="s">
        <v>2075</v>
      </c>
      <c r="E1" t="s">
        <v>2076</v>
      </c>
      <c r="F1" t="s">
        <v>2077</v>
      </c>
      <c r="G1" t="s">
        <v>2078</v>
      </c>
      <c r="H1" t="s">
        <v>2079</v>
      </c>
      <c r="I1" t="s">
        <v>2080</v>
      </c>
      <c r="J1" t="s">
        <v>2081</v>
      </c>
      <c r="K1" t="s">
        <v>2082</v>
      </c>
      <c r="L1" t="s">
        <v>2083</v>
      </c>
      <c r="M1" t="s">
        <v>2084</v>
      </c>
      <c r="N1" t="s">
        <v>2085</v>
      </c>
      <c r="O1" t="s">
        <v>2086</v>
      </c>
      <c r="P1" t="s">
        <v>2087</v>
      </c>
      <c r="Q1" t="s">
        <v>2088</v>
      </c>
      <c r="R1" t="s">
        <v>2089</v>
      </c>
      <c r="S1" t="s">
        <v>2090</v>
      </c>
      <c r="T1" t="s">
        <v>2091</v>
      </c>
      <c r="U1" t="s">
        <v>2092</v>
      </c>
      <c r="V1" t="s">
        <v>2093</v>
      </c>
      <c r="W1" t="s">
        <v>2094</v>
      </c>
      <c r="X1" t="s">
        <v>2095</v>
      </c>
    </row>
    <row r="2" spans="1:24">
      <c r="A2">
        <v>11110</v>
      </c>
      <c r="B2" t="s">
        <v>2096</v>
      </c>
      <c r="C2" t="s">
        <v>2097</v>
      </c>
      <c r="D2" t="s">
        <v>2097</v>
      </c>
      <c r="F2" t="s">
        <v>2098</v>
      </c>
      <c r="G2">
        <v>68000</v>
      </c>
      <c r="H2">
        <v>400000</v>
      </c>
      <c r="I2" t="s">
        <v>2099</v>
      </c>
      <c r="J2" t="s">
        <v>2097</v>
      </c>
      <c r="K2">
        <v>258.06</v>
      </c>
      <c r="L2">
        <v>3.67</v>
      </c>
      <c r="M2">
        <v>1111</v>
      </c>
      <c r="N2" t="s">
        <v>125</v>
      </c>
      <c r="O2">
        <v>1</v>
      </c>
      <c r="P2" t="s">
        <v>2100</v>
      </c>
      <c r="Q2" t="s">
        <v>2101</v>
      </c>
      <c r="R2" t="s">
        <v>2102</v>
      </c>
      <c r="S2">
        <v>135</v>
      </c>
      <c r="T2">
        <v>136</v>
      </c>
      <c r="U2">
        <v>111</v>
      </c>
      <c r="V2" t="s">
        <v>2103</v>
      </c>
      <c r="W2" t="s">
        <v>2104</v>
      </c>
      <c r="X2" t="s">
        <v>79</v>
      </c>
    </row>
    <row r="3" spans="1:24">
      <c r="A3">
        <v>11112</v>
      </c>
      <c r="B3" t="s">
        <v>2105</v>
      </c>
      <c r="C3" t="s">
        <v>2097</v>
      </c>
      <c r="D3" t="s">
        <v>2097</v>
      </c>
      <c r="F3" t="s">
        <v>2098</v>
      </c>
      <c r="G3">
        <v>53000</v>
      </c>
      <c r="H3">
        <v>160000</v>
      </c>
      <c r="I3" t="s">
        <v>2106</v>
      </c>
      <c r="J3" t="s">
        <v>2097</v>
      </c>
      <c r="K3">
        <v>47.5</v>
      </c>
      <c r="L3">
        <v>2.08</v>
      </c>
      <c r="M3">
        <v>1114</v>
      </c>
      <c r="N3" t="s">
        <v>125</v>
      </c>
      <c r="P3" t="s">
        <v>2100</v>
      </c>
      <c r="Q3" t="s">
        <v>2101</v>
      </c>
      <c r="R3" t="s">
        <v>2102</v>
      </c>
      <c r="S3">
        <v>6</v>
      </c>
      <c r="T3">
        <v>6</v>
      </c>
      <c r="U3">
        <v>111</v>
      </c>
      <c r="V3" t="s">
        <v>2103</v>
      </c>
      <c r="W3" t="s">
        <v>2107</v>
      </c>
      <c r="X3" t="s">
        <v>79</v>
      </c>
    </row>
    <row r="4" spans="1:24">
      <c r="A4">
        <v>11115</v>
      </c>
      <c r="B4" t="s">
        <v>2108</v>
      </c>
      <c r="C4" t="s">
        <v>2097</v>
      </c>
      <c r="D4" t="s">
        <v>2097</v>
      </c>
      <c r="F4" t="s">
        <v>2098</v>
      </c>
      <c r="G4">
        <v>7000</v>
      </c>
      <c r="H4">
        <v>270000</v>
      </c>
      <c r="I4" t="s">
        <v>2109</v>
      </c>
      <c r="J4" t="s">
        <v>2097</v>
      </c>
      <c r="K4">
        <v>137.72999999999999</v>
      </c>
      <c r="L4">
        <v>3.24</v>
      </c>
      <c r="M4">
        <v>1112</v>
      </c>
      <c r="N4" t="s">
        <v>125</v>
      </c>
      <c r="O4">
        <v>1</v>
      </c>
      <c r="P4" t="s">
        <v>2100</v>
      </c>
      <c r="Q4" t="s">
        <v>2101</v>
      </c>
      <c r="R4" t="s">
        <v>2102</v>
      </c>
      <c r="S4">
        <v>33</v>
      </c>
      <c r="T4">
        <v>33</v>
      </c>
      <c r="U4">
        <v>111</v>
      </c>
      <c r="V4" t="s">
        <v>2103</v>
      </c>
      <c r="W4" t="s">
        <v>2110</v>
      </c>
      <c r="X4" t="s">
        <v>79</v>
      </c>
    </row>
    <row r="5" spans="1:24">
      <c r="A5">
        <v>11120</v>
      </c>
      <c r="B5" t="s">
        <v>2111</v>
      </c>
      <c r="C5" t="s">
        <v>2097</v>
      </c>
      <c r="D5" t="s">
        <v>2097</v>
      </c>
      <c r="G5">
        <v>7000</v>
      </c>
      <c r="H5">
        <v>270000</v>
      </c>
      <c r="I5" t="s">
        <v>2109</v>
      </c>
      <c r="J5" t="s">
        <v>2097</v>
      </c>
      <c r="K5">
        <v>137.72999999999999</v>
      </c>
      <c r="L5">
        <v>3.24</v>
      </c>
      <c r="M5">
        <v>1112</v>
      </c>
      <c r="N5" t="s">
        <v>125</v>
      </c>
      <c r="O5">
        <v>1</v>
      </c>
      <c r="P5" t="s">
        <v>2100</v>
      </c>
      <c r="Q5" t="s">
        <v>2101</v>
      </c>
      <c r="R5" t="s">
        <v>2102</v>
      </c>
      <c r="S5">
        <v>187</v>
      </c>
      <c r="T5">
        <v>210</v>
      </c>
      <c r="U5">
        <v>111</v>
      </c>
      <c r="V5" t="s">
        <v>2103</v>
      </c>
      <c r="W5" t="s">
        <v>2112</v>
      </c>
      <c r="X5" t="s">
        <v>79</v>
      </c>
    </row>
    <row r="6" spans="1:24">
      <c r="A6">
        <v>11125</v>
      </c>
      <c r="B6" t="s">
        <v>2113</v>
      </c>
      <c r="C6" t="s">
        <v>2097</v>
      </c>
      <c r="D6" t="s">
        <v>2097</v>
      </c>
      <c r="G6">
        <v>68000</v>
      </c>
      <c r="H6">
        <v>400000</v>
      </c>
      <c r="I6" t="s">
        <v>2099</v>
      </c>
      <c r="J6" t="s">
        <v>2097</v>
      </c>
      <c r="K6">
        <v>258.06</v>
      </c>
      <c r="L6">
        <v>3.67</v>
      </c>
      <c r="M6">
        <v>1111</v>
      </c>
      <c r="N6" t="s">
        <v>125</v>
      </c>
      <c r="O6">
        <v>1</v>
      </c>
      <c r="P6" t="s">
        <v>2100</v>
      </c>
      <c r="Q6" t="s">
        <v>2101</v>
      </c>
      <c r="R6" t="s">
        <v>2102</v>
      </c>
      <c r="S6">
        <v>27</v>
      </c>
      <c r="T6">
        <v>27</v>
      </c>
      <c r="U6">
        <v>111</v>
      </c>
      <c r="V6" t="s">
        <v>2103</v>
      </c>
      <c r="W6" t="s">
        <v>2114</v>
      </c>
      <c r="X6" t="s">
        <v>79</v>
      </c>
    </row>
    <row r="7" spans="1:24">
      <c r="A7">
        <v>11130</v>
      </c>
      <c r="B7" t="s">
        <v>2115</v>
      </c>
      <c r="C7" t="s">
        <v>2097</v>
      </c>
      <c r="D7" t="s">
        <v>2097</v>
      </c>
      <c r="G7">
        <v>16000</v>
      </c>
      <c r="H7">
        <v>100000</v>
      </c>
      <c r="I7" t="s">
        <v>2116</v>
      </c>
      <c r="J7" t="s">
        <v>2097</v>
      </c>
      <c r="K7">
        <v>231.37</v>
      </c>
      <c r="L7">
        <v>3.24</v>
      </c>
      <c r="M7">
        <v>1113</v>
      </c>
      <c r="N7" t="s">
        <v>125</v>
      </c>
      <c r="O7">
        <v>1</v>
      </c>
      <c r="P7" t="s">
        <v>2100</v>
      </c>
      <c r="Q7" t="s">
        <v>2101</v>
      </c>
      <c r="R7" t="s">
        <v>2102</v>
      </c>
      <c r="S7">
        <v>44</v>
      </c>
      <c r="T7">
        <v>91</v>
      </c>
      <c r="U7">
        <v>111</v>
      </c>
      <c r="V7" t="s">
        <v>2103</v>
      </c>
      <c r="W7" t="s">
        <v>2117</v>
      </c>
      <c r="X7" t="s">
        <v>79</v>
      </c>
    </row>
    <row r="8" spans="1:24">
      <c r="A8">
        <v>11210</v>
      </c>
      <c r="B8" t="s">
        <v>2118</v>
      </c>
      <c r="C8" t="s">
        <v>2097</v>
      </c>
      <c r="D8" t="s">
        <v>2097</v>
      </c>
      <c r="F8" t="s">
        <v>2098</v>
      </c>
      <c r="G8">
        <v>17000</v>
      </c>
      <c r="H8">
        <v>350000</v>
      </c>
      <c r="I8" t="s">
        <v>2119</v>
      </c>
      <c r="J8" t="s">
        <v>2097</v>
      </c>
      <c r="K8">
        <v>161.06</v>
      </c>
      <c r="L8">
        <v>3.24</v>
      </c>
      <c r="M8">
        <v>1121</v>
      </c>
      <c r="N8" t="s">
        <v>125</v>
      </c>
      <c r="O8">
        <v>1</v>
      </c>
      <c r="P8" t="s">
        <v>2100</v>
      </c>
      <c r="Q8" t="s">
        <v>2101</v>
      </c>
      <c r="R8" t="s">
        <v>2102</v>
      </c>
      <c r="S8">
        <v>508</v>
      </c>
      <c r="T8">
        <v>534</v>
      </c>
      <c r="U8">
        <v>112</v>
      </c>
      <c r="V8" t="s">
        <v>2120</v>
      </c>
      <c r="W8" t="s">
        <v>2121</v>
      </c>
      <c r="X8" t="s">
        <v>79</v>
      </c>
    </row>
    <row r="9" spans="1:24">
      <c r="A9">
        <v>11320</v>
      </c>
      <c r="B9" t="s">
        <v>2122</v>
      </c>
      <c r="C9" t="s">
        <v>2097</v>
      </c>
      <c r="D9" t="s">
        <v>2097</v>
      </c>
      <c r="G9">
        <v>18000</v>
      </c>
      <c r="H9">
        <v>750000</v>
      </c>
      <c r="I9" t="s">
        <v>2123</v>
      </c>
      <c r="J9" t="s">
        <v>2097</v>
      </c>
      <c r="K9">
        <v>193.8</v>
      </c>
      <c r="L9">
        <v>3.24</v>
      </c>
      <c r="M9">
        <v>1131</v>
      </c>
      <c r="N9" t="s">
        <v>125</v>
      </c>
      <c r="O9">
        <v>1</v>
      </c>
      <c r="P9" t="s">
        <v>2100</v>
      </c>
      <c r="Q9" t="s">
        <v>2101</v>
      </c>
      <c r="R9" t="s">
        <v>2102</v>
      </c>
      <c r="S9">
        <v>305</v>
      </c>
      <c r="T9">
        <v>309</v>
      </c>
      <c r="U9">
        <v>113</v>
      </c>
      <c r="V9" t="s">
        <v>2124</v>
      </c>
      <c r="W9" t="s">
        <v>2125</v>
      </c>
      <c r="X9" t="s">
        <v>79</v>
      </c>
    </row>
    <row r="10" spans="1:24">
      <c r="A10">
        <v>11340</v>
      </c>
      <c r="B10" t="s">
        <v>2126</v>
      </c>
      <c r="C10" t="s">
        <v>2097</v>
      </c>
      <c r="D10" t="s">
        <v>2097</v>
      </c>
      <c r="G10">
        <v>18000</v>
      </c>
      <c r="H10">
        <v>750000</v>
      </c>
      <c r="I10" t="s">
        <v>2123</v>
      </c>
      <c r="J10" t="s">
        <v>2097</v>
      </c>
      <c r="K10">
        <v>193.8</v>
      </c>
      <c r="L10">
        <v>3.24</v>
      </c>
      <c r="M10">
        <v>1131</v>
      </c>
      <c r="N10" t="s">
        <v>125</v>
      </c>
      <c r="O10">
        <v>1</v>
      </c>
      <c r="P10" t="s">
        <v>2100</v>
      </c>
      <c r="Q10" t="s">
        <v>2101</v>
      </c>
      <c r="R10" t="s">
        <v>2102</v>
      </c>
      <c r="S10">
        <v>78</v>
      </c>
      <c r="T10">
        <v>154</v>
      </c>
      <c r="U10">
        <v>113</v>
      </c>
      <c r="V10" t="s">
        <v>2124</v>
      </c>
      <c r="W10" t="s">
        <v>2127</v>
      </c>
      <c r="X10" t="s">
        <v>79</v>
      </c>
    </row>
    <row r="11" spans="1:24">
      <c r="A11">
        <v>11610</v>
      </c>
      <c r="B11" t="s">
        <v>2128</v>
      </c>
      <c r="C11" t="s">
        <v>2097</v>
      </c>
      <c r="D11" t="s">
        <v>2097</v>
      </c>
      <c r="G11">
        <v>1700</v>
      </c>
      <c r="H11">
        <v>13000</v>
      </c>
      <c r="I11" t="s">
        <v>2129</v>
      </c>
      <c r="J11" t="s">
        <v>2097</v>
      </c>
      <c r="K11">
        <v>193.8</v>
      </c>
      <c r="L11">
        <v>3.24</v>
      </c>
      <c r="M11">
        <v>1163</v>
      </c>
      <c r="N11" t="s">
        <v>125</v>
      </c>
      <c r="O11">
        <v>1</v>
      </c>
      <c r="P11" t="s">
        <v>2100</v>
      </c>
      <c r="Q11" t="s">
        <v>2101</v>
      </c>
      <c r="R11" t="s">
        <v>2102</v>
      </c>
      <c r="S11">
        <v>123</v>
      </c>
      <c r="T11">
        <v>124</v>
      </c>
      <c r="U11">
        <v>116</v>
      </c>
      <c r="V11" t="s">
        <v>2130</v>
      </c>
      <c r="W11" t="s">
        <v>2131</v>
      </c>
      <c r="X11" t="s">
        <v>79</v>
      </c>
    </row>
    <row r="12" spans="1:24">
      <c r="A12">
        <v>11612</v>
      </c>
      <c r="B12" t="s">
        <v>2132</v>
      </c>
      <c r="C12" t="s">
        <v>2097</v>
      </c>
      <c r="D12" t="s">
        <v>2097</v>
      </c>
      <c r="G12">
        <v>20000</v>
      </c>
      <c r="H12">
        <v>400000</v>
      </c>
      <c r="I12" t="s">
        <v>2132</v>
      </c>
      <c r="J12" t="s">
        <v>2097</v>
      </c>
      <c r="K12">
        <v>131.31</v>
      </c>
      <c r="L12">
        <v>3.24</v>
      </c>
      <c r="M12">
        <v>1165</v>
      </c>
      <c r="N12" t="s">
        <v>125</v>
      </c>
      <c r="P12" t="s">
        <v>2100</v>
      </c>
      <c r="Q12" t="s">
        <v>2101</v>
      </c>
      <c r="R12" t="s">
        <v>2102</v>
      </c>
      <c r="S12">
        <v>77</v>
      </c>
      <c r="T12">
        <v>518</v>
      </c>
      <c r="U12">
        <v>116</v>
      </c>
      <c r="V12" t="s">
        <v>2130</v>
      </c>
      <c r="W12" t="s">
        <v>2133</v>
      </c>
      <c r="X12" t="s">
        <v>79</v>
      </c>
    </row>
    <row r="13" spans="1:24">
      <c r="A13">
        <v>11615</v>
      </c>
      <c r="B13" t="s">
        <v>2134</v>
      </c>
      <c r="C13" t="s">
        <v>2097</v>
      </c>
      <c r="D13" t="s">
        <v>2097</v>
      </c>
      <c r="G13">
        <v>1900</v>
      </c>
      <c r="H13">
        <v>5000</v>
      </c>
      <c r="I13" t="s">
        <v>2134</v>
      </c>
      <c r="J13" t="s">
        <v>2097</v>
      </c>
      <c r="K13">
        <v>305.22000000000003</v>
      </c>
      <c r="L13">
        <v>3.24</v>
      </c>
      <c r="M13">
        <v>1167</v>
      </c>
      <c r="N13" t="s">
        <v>125</v>
      </c>
      <c r="O13">
        <v>1</v>
      </c>
      <c r="P13" t="s">
        <v>2100</v>
      </c>
      <c r="Q13" t="s">
        <v>2101</v>
      </c>
      <c r="R13" t="s">
        <v>2102</v>
      </c>
      <c r="S13">
        <v>35</v>
      </c>
      <c r="T13">
        <v>36</v>
      </c>
      <c r="U13">
        <v>116</v>
      </c>
      <c r="V13" t="s">
        <v>2130</v>
      </c>
      <c r="W13" t="s">
        <v>2135</v>
      </c>
      <c r="X13" t="s">
        <v>79</v>
      </c>
    </row>
    <row r="14" spans="1:24">
      <c r="A14">
        <v>11620</v>
      </c>
      <c r="B14" t="s">
        <v>2136</v>
      </c>
      <c r="C14" t="s">
        <v>2097</v>
      </c>
      <c r="D14" t="s">
        <v>2097</v>
      </c>
      <c r="G14">
        <v>1400</v>
      </c>
      <c r="H14">
        <v>12000</v>
      </c>
      <c r="I14" t="s">
        <v>2137</v>
      </c>
      <c r="J14" t="s">
        <v>2097</v>
      </c>
      <c r="K14">
        <v>193.8</v>
      </c>
      <c r="L14">
        <v>3.24</v>
      </c>
      <c r="M14">
        <v>1161</v>
      </c>
      <c r="N14" t="s">
        <v>125</v>
      </c>
      <c r="O14">
        <v>1</v>
      </c>
      <c r="P14" t="s">
        <v>2100</v>
      </c>
      <c r="Q14" t="s">
        <v>2101</v>
      </c>
      <c r="R14" t="s">
        <v>2102</v>
      </c>
      <c r="S14">
        <v>42</v>
      </c>
      <c r="T14">
        <v>43</v>
      </c>
      <c r="U14">
        <v>116</v>
      </c>
      <c r="V14" t="s">
        <v>2130</v>
      </c>
      <c r="W14" t="s">
        <v>2138</v>
      </c>
      <c r="X14" t="s">
        <v>79</v>
      </c>
    </row>
    <row r="15" spans="1:24">
      <c r="A15">
        <v>11635</v>
      </c>
      <c r="B15" t="s">
        <v>2139</v>
      </c>
      <c r="C15" t="s">
        <v>2097</v>
      </c>
      <c r="D15" t="s">
        <v>2097</v>
      </c>
      <c r="G15">
        <v>18000</v>
      </c>
      <c r="H15">
        <v>750000</v>
      </c>
      <c r="I15" t="s">
        <v>2123</v>
      </c>
      <c r="J15" t="s">
        <v>2097</v>
      </c>
      <c r="K15">
        <v>193.8</v>
      </c>
      <c r="L15">
        <v>3.24</v>
      </c>
      <c r="M15">
        <v>1131</v>
      </c>
      <c r="N15" t="s">
        <v>125</v>
      </c>
      <c r="O15">
        <v>1</v>
      </c>
      <c r="P15" t="s">
        <v>2100</v>
      </c>
      <c r="Q15" t="s">
        <v>2101</v>
      </c>
      <c r="R15" t="s">
        <v>2102</v>
      </c>
      <c r="S15">
        <v>31</v>
      </c>
      <c r="T15">
        <v>32</v>
      </c>
      <c r="U15">
        <v>116</v>
      </c>
      <c r="V15" t="s">
        <v>2130</v>
      </c>
      <c r="W15" t="s">
        <v>2140</v>
      </c>
      <c r="X15" t="s">
        <v>79</v>
      </c>
    </row>
    <row r="16" spans="1:24">
      <c r="A16">
        <v>11640</v>
      </c>
      <c r="B16" t="s">
        <v>2141</v>
      </c>
      <c r="C16" t="s">
        <v>2097</v>
      </c>
      <c r="D16" t="s">
        <v>2097</v>
      </c>
      <c r="G16">
        <v>3200</v>
      </c>
      <c r="H16">
        <v>46000</v>
      </c>
      <c r="I16" t="s">
        <v>2142</v>
      </c>
      <c r="J16" t="s">
        <v>2097</v>
      </c>
      <c r="K16">
        <v>159.84</v>
      </c>
      <c r="L16">
        <v>3.24</v>
      </c>
      <c r="M16">
        <v>1164</v>
      </c>
      <c r="N16" t="s">
        <v>79</v>
      </c>
      <c r="O16">
        <v>1</v>
      </c>
      <c r="P16" t="s">
        <v>2100</v>
      </c>
      <c r="Q16" t="s">
        <v>2101</v>
      </c>
      <c r="R16" t="s">
        <v>2102</v>
      </c>
      <c r="S16">
        <v>37</v>
      </c>
      <c r="T16">
        <v>38</v>
      </c>
      <c r="U16">
        <v>116</v>
      </c>
      <c r="V16" t="s">
        <v>2130</v>
      </c>
      <c r="W16" t="s">
        <v>2143</v>
      </c>
      <c r="X16" t="s">
        <v>79</v>
      </c>
    </row>
    <row r="17" spans="1:24">
      <c r="A17">
        <v>11641</v>
      </c>
      <c r="B17" t="s">
        <v>2144</v>
      </c>
      <c r="C17" t="s">
        <v>2097</v>
      </c>
      <c r="D17" t="s">
        <v>2097</v>
      </c>
      <c r="G17">
        <v>3200</v>
      </c>
      <c r="H17">
        <v>46000</v>
      </c>
      <c r="I17" t="s">
        <v>2142</v>
      </c>
      <c r="J17" t="s">
        <v>2097</v>
      </c>
      <c r="K17">
        <v>159.84</v>
      </c>
      <c r="L17">
        <v>3.24</v>
      </c>
      <c r="M17">
        <v>1164</v>
      </c>
      <c r="N17" t="s">
        <v>79</v>
      </c>
      <c r="O17">
        <v>3</v>
      </c>
      <c r="P17" t="s">
        <v>2100</v>
      </c>
      <c r="Q17" t="s">
        <v>2101</v>
      </c>
      <c r="R17" t="s">
        <v>2102</v>
      </c>
      <c r="S17">
        <v>15</v>
      </c>
      <c r="T17">
        <v>16</v>
      </c>
      <c r="U17">
        <v>116</v>
      </c>
      <c r="V17" t="s">
        <v>2130</v>
      </c>
      <c r="W17" t="s">
        <v>2145</v>
      </c>
      <c r="X17" t="s">
        <v>79</v>
      </c>
    </row>
    <row r="18" spans="1:24">
      <c r="A18">
        <v>11642</v>
      </c>
      <c r="B18" t="s">
        <v>2146</v>
      </c>
      <c r="C18" t="s">
        <v>2097</v>
      </c>
      <c r="D18" t="s">
        <v>2097</v>
      </c>
      <c r="G18">
        <v>3200</v>
      </c>
      <c r="H18">
        <v>46000</v>
      </c>
      <c r="I18" t="s">
        <v>2142</v>
      </c>
      <c r="J18" t="s">
        <v>2097</v>
      </c>
      <c r="K18">
        <v>159.84</v>
      </c>
      <c r="L18">
        <v>3.24</v>
      </c>
      <c r="M18">
        <v>1164</v>
      </c>
      <c r="N18" t="s">
        <v>79</v>
      </c>
      <c r="O18">
        <v>1</v>
      </c>
      <c r="P18" t="s">
        <v>2100</v>
      </c>
      <c r="Q18" t="s">
        <v>2101</v>
      </c>
      <c r="R18" t="s">
        <v>2102</v>
      </c>
      <c r="S18">
        <v>77</v>
      </c>
      <c r="T18">
        <v>78</v>
      </c>
      <c r="U18">
        <v>116</v>
      </c>
      <c r="V18" t="s">
        <v>2130</v>
      </c>
      <c r="W18" t="s">
        <v>2147</v>
      </c>
      <c r="X18" t="s">
        <v>79</v>
      </c>
    </row>
    <row r="19" spans="1:24">
      <c r="A19">
        <v>11645</v>
      </c>
      <c r="B19" t="s">
        <v>2148</v>
      </c>
      <c r="C19" t="s">
        <v>2097</v>
      </c>
      <c r="D19" t="s">
        <v>2097</v>
      </c>
      <c r="G19">
        <v>3200</v>
      </c>
      <c r="H19">
        <v>46000</v>
      </c>
      <c r="I19" t="s">
        <v>2142</v>
      </c>
      <c r="J19" t="s">
        <v>2097</v>
      </c>
      <c r="K19">
        <v>159.84</v>
      </c>
      <c r="L19">
        <v>3.24</v>
      </c>
      <c r="M19">
        <v>1164</v>
      </c>
      <c r="N19" t="s">
        <v>79</v>
      </c>
      <c r="O19">
        <v>1</v>
      </c>
      <c r="P19" t="s">
        <v>2100</v>
      </c>
      <c r="Q19" t="s">
        <v>2101</v>
      </c>
      <c r="R19" t="s">
        <v>2102</v>
      </c>
      <c r="S19">
        <v>85</v>
      </c>
      <c r="T19">
        <v>92</v>
      </c>
      <c r="U19">
        <v>116</v>
      </c>
      <c r="V19" t="s">
        <v>2130</v>
      </c>
      <c r="W19" t="s">
        <v>2149</v>
      </c>
      <c r="X19" t="s">
        <v>79</v>
      </c>
    </row>
    <row r="20" spans="1:24">
      <c r="A20">
        <v>11650</v>
      </c>
      <c r="B20" t="s">
        <v>2150</v>
      </c>
      <c r="C20" t="s">
        <v>2097</v>
      </c>
      <c r="D20" t="s">
        <v>2097</v>
      </c>
      <c r="G20">
        <v>18000</v>
      </c>
      <c r="H20">
        <v>750000</v>
      </c>
      <c r="I20" t="s">
        <v>2123</v>
      </c>
      <c r="J20" t="s">
        <v>2097</v>
      </c>
      <c r="K20">
        <v>193.8</v>
      </c>
      <c r="L20">
        <v>3.24</v>
      </c>
      <c r="M20">
        <v>1131</v>
      </c>
      <c r="N20" t="s">
        <v>79</v>
      </c>
      <c r="O20">
        <v>1</v>
      </c>
      <c r="P20" t="s">
        <v>2100</v>
      </c>
      <c r="Q20" t="s">
        <v>2101</v>
      </c>
      <c r="R20" t="s">
        <v>2102</v>
      </c>
      <c r="S20">
        <v>34</v>
      </c>
      <c r="T20">
        <v>36</v>
      </c>
      <c r="U20">
        <v>116</v>
      </c>
      <c r="V20" t="s">
        <v>2130</v>
      </c>
      <c r="W20" t="s">
        <v>2151</v>
      </c>
      <c r="X20" t="s">
        <v>79</v>
      </c>
    </row>
    <row r="21" spans="1:24">
      <c r="A21">
        <v>11655</v>
      </c>
      <c r="B21" t="s">
        <v>2152</v>
      </c>
      <c r="C21" t="s">
        <v>2097</v>
      </c>
      <c r="D21" t="s">
        <v>2097</v>
      </c>
      <c r="G21">
        <v>18000</v>
      </c>
      <c r="H21">
        <v>750000</v>
      </c>
      <c r="I21" t="s">
        <v>2123</v>
      </c>
      <c r="J21" t="s">
        <v>2097</v>
      </c>
      <c r="K21">
        <v>193.8</v>
      </c>
      <c r="L21">
        <v>3.24</v>
      </c>
      <c r="M21">
        <v>1131</v>
      </c>
      <c r="N21" t="s">
        <v>125</v>
      </c>
      <c r="O21">
        <v>1</v>
      </c>
      <c r="P21" t="s">
        <v>2153</v>
      </c>
      <c r="Q21" t="s">
        <v>2154</v>
      </c>
      <c r="R21" t="s">
        <v>2102</v>
      </c>
      <c r="S21">
        <v>20</v>
      </c>
      <c r="T21">
        <v>20</v>
      </c>
      <c r="U21">
        <v>116</v>
      </c>
      <c r="V21" t="s">
        <v>2130</v>
      </c>
      <c r="W21" t="s">
        <v>2155</v>
      </c>
      <c r="X21" t="s">
        <v>79</v>
      </c>
    </row>
    <row r="22" spans="1:24">
      <c r="A22">
        <v>11656</v>
      </c>
      <c r="B22" t="s">
        <v>2156</v>
      </c>
      <c r="C22" t="s">
        <v>2097</v>
      </c>
      <c r="D22" t="s">
        <v>2097</v>
      </c>
      <c r="G22">
        <v>18000</v>
      </c>
      <c r="H22">
        <v>750000</v>
      </c>
      <c r="I22" t="s">
        <v>2123</v>
      </c>
      <c r="J22" t="s">
        <v>2097</v>
      </c>
      <c r="K22">
        <v>193.8</v>
      </c>
      <c r="L22">
        <v>3.24</v>
      </c>
      <c r="M22">
        <v>1131</v>
      </c>
      <c r="N22" t="s">
        <v>125</v>
      </c>
      <c r="O22">
        <v>1</v>
      </c>
      <c r="P22" t="s">
        <v>2153</v>
      </c>
      <c r="Q22" t="s">
        <v>2154</v>
      </c>
      <c r="R22" t="s">
        <v>2102</v>
      </c>
      <c r="S22">
        <v>34</v>
      </c>
      <c r="T22">
        <v>34</v>
      </c>
      <c r="U22">
        <v>116</v>
      </c>
      <c r="V22" t="s">
        <v>2130</v>
      </c>
      <c r="W22" t="s">
        <v>2157</v>
      </c>
      <c r="X22" t="s">
        <v>79</v>
      </c>
    </row>
    <row r="23" spans="1:24">
      <c r="A23">
        <v>11660</v>
      </c>
      <c r="B23" t="s">
        <v>2158</v>
      </c>
      <c r="C23" t="s">
        <v>2097</v>
      </c>
      <c r="D23" t="s">
        <v>2097</v>
      </c>
      <c r="G23">
        <v>3200</v>
      </c>
      <c r="H23">
        <v>46000</v>
      </c>
      <c r="I23" t="s">
        <v>2142</v>
      </c>
      <c r="J23" t="s">
        <v>2097</v>
      </c>
      <c r="K23">
        <v>159.84</v>
      </c>
      <c r="L23">
        <v>3.24</v>
      </c>
      <c r="M23">
        <v>1164</v>
      </c>
      <c r="N23" t="s">
        <v>79</v>
      </c>
      <c r="O23">
        <v>1</v>
      </c>
      <c r="P23" t="s">
        <v>2159</v>
      </c>
      <c r="Q23" t="s">
        <v>2101</v>
      </c>
      <c r="R23" t="s">
        <v>2102</v>
      </c>
      <c r="S23">
        <v>28</v>
      </c>
      <c r="T23">
        <v>29</v>
      </c>
      <c r="U23">
        <v>116</v>
      </c>
      <c r="V23" t="s">
        <v>2130</v>
      </c>
      <c r="W23" t="s">
        <v>2160</v>
      </c>
      <c r="X23" t="s">
        <v>79</v>
      </c>
    </row>
    <row r="24" spans="1:24">
      <c r="A24">
        <v>11665</v>
      </c>
      <c r="B24" t="s">
        <v>2161</v>
      </c>
      <c r="C24" t="s">
        <v>2162</v>
      </c>
      <c r="D24" t="s">
        <v>2097</v>
      </c>
      <c r="F24" t="s">
        <v>2162</v>
      </c>
      <c r="G24">
        <v>3200</v>
      </c>
      <c r="H24">
        <v>46000</v>
      </c>
      <c r="I24" t="s">
        <v>2142</v>
      </c>
      <c r="J24" t="s">
        <v>2097</v>
      </c>
      <c r="K24">
        <v>159.84</v>
      </c>
      <c r="L24">
        <v>3.24</v>
      </c>
      <c r="M24">
        <v>1164</v>
      </c>
      <c r="N24" t="s">
        <v>125</v>
      </c>
      <c r="O24">
        <v>1</v>
      </c>
      <c r="P24" t="s">
        <v>2100</v>
      </c>
      <c r="Q24" t="s">
        <v>2101</v>
      </c>
      <c r="R24" t="s">
        <v>2102</v>
      </c>
      <c r="S24">
        <v>86</v>
      </c>
      <c r="T24">
        <v>88</v>
      </c>
      <c r="U24">
        <v>116</v>
      </c>
      <c r="V24" t="s">
        <v>2130</v>
      </c>
      <c r="W24" t="s">
        <v>2163</v>
      </c>
      <c r="X24" t="s">
        <v>79</v>
      </c>
    </row>
    <row r="25" spans="1:24">
      <c r="A25">
        <v>12110</v>
      </c>
      <c r="B25" t="s">
        <v>2164</v>
      </c>
      <c r="C25" t="s">
        <v>2165</v>
      </c>
      <c r="E25" t="s">
        <v>2165</v>
      </c>
      <c r="F25" t="s">
        <v>2166</v>
      </c>
      <c r="G25">
        <v>6</v>
      </c>
      <c r="H25">
        <v>32</v>
      </c>
      <c r="I25" t="s">
        <v>2167</v>
      </c>
      <c r="J25" t="s">
        <v>2166</v>
      </c>
      <c r="K25">
        <v>445773.42</v>
      </c>
      <c r="L25">
        <v>4338.29</v>
      </c>
      <c r="M25">
        <v>1211</v>
      </c>
      <c r="N25" t="s">
        <v>125</v>
      </c>
      <c r="O25">
        <v>1</v>
      </c>
      <c r="P25" t="s">
        <v>2168</v>
      </c>
      <c r="Q25" t="s">
        <v>2169</v>
      </c>
      <c r="R25" t="s">
        <v>159</v>
      </c>
      <c r="S25">
        <v>122</v>
      </c>
      <c r="T25">
        <v>123</v>
      </c>
      <c r="U25">
        <v>121</v>
      </c>
      <c r="V25" t="s">
        <v>2170</v>
      </c>
      <c r="W25" t="s">
        <v>2171</v>
      </c>
      <c r="X25" t="s">
        <v>79</v>
      </c>
    </row>
    <row r="26" spans="1:24">
      <c r="A26">
        <v>12120</v>
      </c>
      <c r="B26" t="s">
        <v>2172</v>
      </c>
      <c r="C26" t="s">
        <v>2165</v>
      </c>
      <c r="E26" t="s">
        <v>2165</v>
      </c>
      <c r="F26" t="s">
        <v>2166</v>
      </c>
      <c r="G26">
        <v>3</v>
      </c>
      <c r="H26">
        <v>30</v>
      </c>
      <c r="I26" t="s">
        <v>2173</v>
      </c>
      <c r="J26" t="s">
        <v>2166</v>
      </c>
      <c r="K26">
        <v>115179.04</v>
      </c>
      <c r="L26">
        <v>7718.53</v>
      </c>
      <c r="M26">
        <v>1261</v>
      </c>
      <c r="N26" t="s">
        <v>125</v>
      </c>
      <c r="O26">
        <v>1</v>
      </c>
      <c r="P26" t="s">
        <v>2168</v>
      </c>
      <c r="Q26" t="s">
        <v>2169</v>
      </c>
      <c r="R26" t="s">
        <v>159</v>
      </c>
      <c r="S26">
        <v>80</v>
      </c>
      <c r="T26">
        <v>81</v>
      </c>
      <c r="U26">
        <v>121</v>
      </c>
      <c r="V26" t="s">
        <v>2170</v>
      </c>
      <c r="W26" t="s">
        <v>2174</v>
      </c>
      <c r="X26" t="s">
        <v>79</v>
      </c>
    </row>
    <row r="27" spans="1:24">
      <c r="A27">
        <v>12150</v>
      </c>
      <c r="B27" t="s">
        <v>2175</v>
      </c>
      <c r="C27" t="s">
        <v>2176</v>
      </c>
      <c r="F27" t="s">
        <v>2176</v>
      </c>
      <c r="G27">
        <v>145000</v>
      </c>
      <c r="H27">
        <v>1330000</v>
      </c>
      <c r="I27" t="s">
        <v>2177</v>
      </c>
      <c r="J27" t="s">
        <v>2176</v>
      </c>
      <c r="K27">
        <v>6.25</v>
      </c>
      <c r="L27">
        <v>2.08</v>
      </c>
      <c r="M27">
        <v>1241</v>
      </c>
      <c r="N27" t="s">
        <v>125</v>
      </c>
      <c r="O27">
        <v>1</v>
      </c>
      <c r="P27" t="s">
        <v>2168</v>
      </c>
      <c r="Q27" t="s">
        <v>2169</v>
      </c>
      <c r="R27" t="s">
        <v>159</v>
      </c>
      <c r="S27">
        <v>310</v>
      </c>
      <c r="T27">
        <v>310</v>
      </c>
      <c r="U27">
        <v>121</v>
      </c>
      <c r="V27" t="s">
        <v>2170</v>
      </c>
      <c r="W27" t="s">
        <v>2178</v>
      </c>
      <c r="X27" t="s">
        <v>79</v>
      </c>
    </row>
    <row r="28" spans="1:24">
      <c r="A28">
        <v>12210</v>
      </c>
      <c r="B28" t="s">
        <v>2179</v>
      </c>
      <c r="C28" t="s">
        <v>2165</v>
      </c>
      <c r="E28" t="s">
        <v>2165</v>
      </c>
      <c r="F28" t="s">
        <v>2166</v>
      </c>
      <c r="G28">
        <v>2</v>
      </c>
      <c r="H28">
        <v>6</v>
      </c>
      <c r="I28" t="s">
        <v>2179</v>
      </c>
      <c r="J28" t="s">
        <v>2166</v>
      </c>
      <c r="K28">
        <v>804068.95</v>
      </c>
      <c r="L28">
        <v>1077.49</v>
      </c>
      <c r="M28">
        <v>1221</v>
      </c>
      <c r="N28" t="s">
        <v>125</v>
      </c>
      <c r="O28">
        <v>2</v>
      </c>
      <c r="P28" t="s">
        <v>2168</v>
      </c>
      <c r="Q28" t="s">
        <v>2169</v>
      </c>
      <c r="R28" t="s">
        <v>159</v>
      </c>
      <c r="S28">
        <v>32</v>
      </c>
      <c r="T28">
        <v>34</v>
      </c>
      <c r="U28">
        <v>122</v>
      </c>
      <c r="V28" t="s">
        <v>2180</v>
      </c>
      <c r="W28" t="s">
        <v>2181</v>
      </c>
      <c r="X28" t="s">
        <v>79</v>
      </c>
    </row>
    <row r="29" spans="1:24">
      <c r="A29">
        <v>12220</v>
      </c>
      <c r="B29" t="s">
        <v>2182</v>
      </c>
      <c r="C29" t="s">
        <v>2165</v>
      </c>
      <c r="E29" t="s">
        <v>2165</v>
      </c>
      <c r="F29" t="s">
        <v>2166</v>
      </c>
      <c r="G29">
        <v>2</v>
      </c>
      <c r="H29">
        <v>6</v>
      </c>
      <c r="I29" t="s">
        <v>2179</v>
      </c>
      <c r="J29" t="s">
        <v>2166</v>
      </c>
      <c r="K29">
        <v>804068.95</v>
      </c>
      <c r="L29">
        <v>1077.49</v>
      </c>
      <c r="M29">
        <v>1221</v>
      </c>
      <c r="N29" t="s">
        <v>125</v>
      </c>
      <c r="O29">
        <v>1</v>
      </c>
      <c r="P29" t="s">
        <v>2183</v>
      </c>
      <c r="Q29" t="s">
        <v>2184</v>
      </c>
      <c r="R29" t="s">
        <v>159</v>
      </c>
      <c r="S29">
        <v>30</v>
      </c>
      <c r="T29">
        <v>35</v>
      </c>
      <c r="U29">
        <v>122</v>
      </c>
      <c r="V29" t="s">
        <v>2180</v>
      </c>
      <c r="W29" t="s">
        <v>2185</v>
      </c>
      <c r="X29" t="s">
        <v>79</v>
      </c>
    </row>
    <row r="30" spans="1:24">
      <c r="A30">
        <v>12230</v>
      </c>
      <c r="B30" t="s">
        <v>2186</v>
      </c>
      <c r="C30" t="s">
        <v>2176</v>
      </c>
      <c r="F30" t="s">
        <v>2176</v>
      </c>
      <c r="G30">
        <v>2500</v>
      </c>
      <c r="H30">
        <v>6000</v>
      </c>
      <c r="I30" t="s">
        <v>2187</v>
      </c>
      <c r="J30" t="s">
        <v>2176</v>
      </c>
      <c r="K30">
        <v>8.07</v>
      </c>
      <c r="L30">
        <v>2.08</v>
      </c>
      <c r="M30">
        <v>1242</v>
      </c>
      <c r="N30" t="s">
        <v>125</v>
      </c>
      <c r="O30">
        <v>1</v>
      </c>
      <c r="P30" t="s">
        <v>2188</v>
      </c>
      <c r="Q30" t="s">
        <v>2169</v>
      </c>
      <c r="R30" t="s">
        <v>159</v>
      </c>
      <c r="S30">
        <v>56</v>
      </c>
      <c r="T30">
        <v>56</v>
      </c>
      <c r="U30">
        <v>122</v>
      </c>
      <c r="V30" t="s">
        <v>2180</v>
      </c>
      <c r="W30" t="s">
        <v>2189</v>
      </c>
      <c r="X30" t="s">
        <v>79</v>
      </c>
    </row>
    <row r="31" spans="1:24">
      <c r="A31">
        <v>12310</v>
      </c>
      <c r="B31" t="s">
        <v>2190</v>
      </c>
      <c r="C31" t="s">
        <v>2166</v>
      </c>
      <c r="E31" t="s">
        <v>2165</v>
      </c>
      <c r="F31" t="s">
        <v>2166</v>
      </c>
      <c r="G31">
        <v>3</v>
      </c>
      <c r="H31">
        <v>28</v>
      </c>
      <c r="I31" t="s">
        <v>2191</v>
      </c>
      <c r="J31" t="s">
        <v>2166</v>
      </c>
      <c r="K31">
        <v>155186.69</v>
      </c>
      <c r="L31">
        <v>7416.54</v>
      </c>
      <c r="M31">
        <v>1231</v>
      </c>
      <c r="N31" t="s">
        <v>125</v>
      </c>
      <c r="O31">
        <v>1</v>
      </c>
      <c r="P31" t="s">
        <v>2192</v>
      </c>
      <c r="Q31" t="s">
        <v>2169</v>
      </c>
      <c r="R31" t="s">
        <v>159</v>
      </c>
      <c r="S31">
        <v>235</v>
      </c>
      <c r="T31">
        <v>252</v>
      </c>
      <c r="U31">
        <v>123</v>
      </c>
      <c r="V31" t="s">
        <v>2193</v>
      </c>
      <c r="W31" t="s">
        <v>2194</v>
      </c>
      <c r="X31" t="s">
        <v>79</v>
      </c>
    </row>
    <row r="32" spans="1:24">
      <c r="A32">
        <v>12315</v>
      </c>
      <c r="B32" t="s">
        <v>2195</v>
      </c>
      <c r="C32" t="s">
        <v>10</v>
      </c>
      <c r="D32" t="s">
        <v>10</v>
      </c>
      <c r="G32">
        <v>5800</v>
      </c>
      <c r="H32">
        <v>190000</v>
      </c>
      <c r="I32" t="s">
        <v>2196</v>
      </c>
      <c r="J32" t="s">
        <v>10</v>
      </c>
      <c r="K32">
        <v>599</v>
      </c>
      <c r="L32">
        <v>3.77</v>
      </c>
      <c r="M32">
        <v>1444</v>
      </c>
      <c r="N32" t="s">
        <v>125</v>
      </c>
      <c r="O32">
        <v>2</v>
      </c>
      <c r="P32" t="s">
        <v>2197</v>
      </c>
      <c r="Q32" t="s">
        <v>2198</v>
      </c>
      <c r="R32" t="s">
        <v>2199</v>
      </c>
      <c r="S32">
        <v>95</v>
      </c>
      <c r="T32">
        <v>103</v>
      </c>
      <c r="U32">
        <v>123</v>
      </c>
      <c r="V32" t="s">
        <v>2193</v>
      </c>
      <c r="W32" t="s">
        <v>2200</v>
      </c>
      <c r="X32" t="s">
        <v>79</v>
      </c>
    </row>
    <row r="33" spans="1:24">
      <c r="A33">
        <v>12316</v>
      </c>
      <c r="B33" t="s">
        <v>2201</v>
      </c>
      <c r="C33" t="s">
        <v>10</v>
      </c>
      <c r="D33" t="s">
        <v>10</v>
      </c>
      <c r="E33" t="s">
        <v>2162</v>
      </c>
      <c r="G33">
        <v>2400</v>
      </c>
      <c r="H33">
        <v>41000</v>
      </c>
      <c r="I33" t="s">
        <v>2202</v>
      </c>
      <c r="J33" t="s">
        <v>10</v>
      </c>
      <c r="K33">
        <v>349.8</v>
      </c>
      <c r="L33">
        <v>0.67</v>
      </c>
      <c r="M33">
        <v>1459</v>
      </c>
      <c r="N33" t="s">
        <v>79</v>
      </c>
      <c r="O33">
        <v>3</v>
      </c>
      <c r="P33" t="s">
        <v>2100</v>
      </c>
      <c r="Q33" t="s">
        <v>2101</v>
      </c>
      <c r="R33" t="s">
        <v>159</v>
      </c>
      <c r="S33">
        <v>92</v>
      </c>
      <c r="T33">
        <v>93</v>
      </c>
      <c r="U33">
        <v>123</v>
      </c>
      <c r="V33" t="s">
        <v>2193</v>
      </c>
      <c r="W33" t="s">
        <v>2203</v>
      </c>
      <c r="X33" t="s">
        <v>79</v>
      </c>
    </row>
    <row r="34" spans="1:24">
      <c r="A34">
        <v>12317</v>
      </c>
      <c r="B34" t="s">
        <v>2204</v>
      </c>
      <c r="C34" t="s">
        <v>10</v>
      </c>
      <c r="D34" t="s">
        <v>10</v>
      </c>
      <c r="E34" t="s">
        <v>2162</v>
      </c>
      <c r="G34">
        <v>2400</v>
      </c>
      <c r="H34">
        <v>41000</v>
      </c>
      <c r="I34" t="s">
        <v>2202</v>
      </c>
      <c r="J34" t="s">
        <v>10</v>
      </c>
      <c r="K34">
        <v>349.8</v>
      </c>
      <c r="L34">
        <v>0.67</v>
      </c>
      <c r="M34">
        <v>1459</v>
      </c>
      <c r="N34" t="s">
        <v>79</v>
      </c>
      <c r="O34">
        <v>3</v>
      </c>
      <c r="P34" t="s">
        <v>2205</v>
      </c>
      <c r="Q34" t="s">
        <v>2206</v>
      </c>
      <c r="R34" t="s">
        <v>159</v>
      </c>
      <c r="S34">
        <v>2770</v>
      </c>
      <c r="T34">
        <v>2830</v>
      </c>
      <c r="U34">
        <v>123</v>
      </c>
      <c r="V34" t="s">
        <v>2193</v>
      </c>
      <c r="W34" t="s">
        <v>2207</v>
      </c>
      <c r="X34" t="s">
        <v>79</v>
      </c>
    </row>
    <row r="35" spans="1:24">
      <c r="A35">
        <v>12330</v>
      </c>
      <c r="B35" t="s">
        <v>2208</v>
      </c>
      <c r="C35" t="s">
        <v>2176</v>
      </c>
      <c r="F35" t="s">
        <v>2176</v>
      </c>
      <c r="G35">
        <v>8400</v>
      </c>
      <c r="H35">
        <v>200000</v>
      </c>
      <c r="I35" t="s">
        <v>2209</v>
      </c>
      <c r="J35" t="s">
        <v>2176</v>
      </c>
      <c r="K35">
        <v>7.57</v>
      </c>
      <c r="L35">
        <v>1.29</v>
      </c>
      <c r="M35">
        <v>1243</v>
      </c>
      <c r="N35" t="s">
        <v>125</v>
      </c>
      <c r="O35">
        <v>1</v>
      </c>
      <c r="P35" t="s">
        <v>2188</v>
      </c>
      <c r="Q35" t="s">
        <v>2169</v>
      </c>
      <c r="R35" t="s">
        <v>159</v>
      </c>
      <c r="S35">
        <v>885</v>
      </c>
      <c r="T35">
        <v>886</v>
      </c>
      <c r="U35">
        <v>123</v>
      </c>
      <c r="V35" t="s">
        <v>2193</v>
      </c>
      <c r="W35" t="s">
        <v>2210</v>
      </c>
      <c r="X35" t="s">
        <v>79</v>
      </c>
    </row>
    <row r="36" spans="1:24">
      <c r="A36">
        <v>12340</v>
      </c>
      <c r="B36" t="s">
        <v>2211</v>
      </c>
      <c r="C36" t="s">
        <v>2176</v>
      </c>
      <c r="E36" t="s">
        <v>2176</v>
      </c>
      <c r="G36">
        <v>8400</v>
      </c>
      <c r="H36">
        <v>200000</v>
      </c>
      <c r="I36" t="s">
        <v>2209</v>
      </c>
      <c r="J36" t="s">
        <v>2176</v>
      </c>
      <c r="K36">
        <v>7.57</v>
      </c>
      <c r="L36">
        <v>1.29</v>
      </c>
      <c r="M36">
        <v>1243</v>
      </c>
      <c r="N36" t="s">
        <v>125</v>
      </c>
      <c r="O36">
        <v>3</v>
      </c>
      <c r="P36" t="s">
        <v>2188</v>
      </c>
      <c r="Q36" t="s">
        <v>2169</v>
      </c>
      <c r="R36" t="s">
        <v>159</v>
      </c>
      <c r="S36">
        <v>27</v>
      </c>
      <c r="T36">
        <v>29</v>
      </c>
      <c r="U36">
        <v>123</v>
      </c>
      <c r="V36" t="s">
        <v>2193</v>
      </c>
      <c r="W36" t="s">
        <v>2212</v>
      </c>
      <c r="X36" t="s">
        <v>79</v>
      </c>
    </row>
    <row r="37" spans="1:24">
      <c r="A37">
        <v>12350</v>
      </c>
      <c r="B37" t="s">
        <v>2213</v>
      </c>
      <c r="C37" t="s">
        <v>2176</v>
      </c>
      <c r="E37" t="s">
        <v>2176</v>
      </c>
      <c r="G37">
        <v>8400</v>
      </c>
      <c r="H37">
        <v>200000</v>
      </c>
      <c r="I37" t="s">
        <v>2209</v>
      </c>
      <c r="J37" t="s">
        <v>2176</v>
      </c>
      <c r="K37">
        <v>7.57</v>
      </c>
      <c r="L37">
        <v>1.29</v>
      </c>
      <c r="M37">
        <v>1243</v>
      </c>
      <c r="N37" t="s">
        <v>125</v>
      </c>
      <c r="O37">
        <v>3</v>
      </c>
      <c r="P37" t="s">
        <v>2188</v>
      </c>
      <c r="Q37" t="s">
        <v>2169</v>
      </c>
      <c r="R37" t="s">
        <v>159</v>
      </c>
      <c r="S37">
        <v>23</v>
      </c>
      <c r="T37">
        <v>25</v>
      </c>
      <c r="U37">
        <v>123</v>
      </c>
      <c r="V37" t="s">
        <v>2193</v>
      </c>
      <c r="W37" t="s">
        <v>2214</v>
      </c>
      <c r="X37" t="s">
        <v>79</v>
      </c>
    </row>
    <row r="38" spans="1:24">
      <c r="A38">
        <v>12510</v>
      </c>
      <c r="B38" t="s">
        <v>2215</v>
      </c>
      <c r="C38" t="s">
        <v>2098</v>
      </c>
      <c r="F38" t="s">
        <v>2098</v>
      </c>
      <c r="G38">
        <v>4600</v>
      </c>
      <c r="H38">
        <v>150000</v>
      </c>
      <c r="I38" t="s">
        <v>2216</v>
      </c>
      <c r="J38" t="s">
        <v>2098</v>
      </c>
      <c r="K38">
        <v>499.28</v>
      </c>
      <c r="L38">
        <v>12.26</v>
      </c>
      <c r="M38">
        <v>1251</v>
      </c>
      <c r="N38" t="s">
        <v>79</v>
      </c>
      <c r="O38">
        <v>2</v>
      </c>
      <c r="P38" t="s">
        <v>2168</v>
      </c>
      <c r="Q38" t="s">
        <v>2169</v>
      </c>
      <c r="R38" t="s">
        <v>2102</v>
      </c>
      <c r="S38">
        <v>163</v>
      </c>
      <c r="T38">
        <v>165</v>
      </c>
      <c r="U38">
        <v>125</v>
      </c>
      <c r="V38" t="s">
        <v>2217</v>
      </c>
      <c r="W38" t="s">
        <v>2218</v>
      </c>
      <c r="X38" t="s">
        <v>79</v>
      </c>
    </row>
    <row r="39" spans="1:24">
      <c r="A39">
        <v>12516</v>
      </c>
      <c r="B39" t="s">
        <v>2219</v>
      </c>
      <c r="C39" t="s">
        <v>2165</v>
      </c>
      <c r="E39" t="s">
        <v>2162</v>
      </c>
      <c r="F39" t="s">
        <v>2165</v>
      </c>
      <c r="G39">
        <v>1800</v>
      </c>
      <c r="H39">
        <v>10000</v>
      </c>
      <c r="I39" t="s">
        <v>2220</v>
      </c>
      <c r="J39" t="s">
        <v>2165</v>
      </c>
      <c r="K39">
        <v>1301.9000000000001</v>
      </c>
      <c r="L39">
        <v>17.78</v>
      </c>
      <c r="M39">
        <v>1262</v>
      </c>
      <c r="N39" t="s">
        <v>79</v>
      </c>
      <c r="O39">
        <v>1</v>
      </c>
      <c r="P39" t="s">
        <v>2168</v>
      </c>
      <c r="Q39" t="s">
        <v>2169</v>
      </c>
      <c r="R39" t="s">
        <v>159</v>
      </c>
      <c r="S39">
        <v>138</v>
      </c>
      <c r="T39">
        <v>138</v>
      </c>
      <c r="U39">
        <v>125</v>
      </c>
      <c r="V39" t="s">
        <v>2217</v>
      </c>
      <c r="W39" t="s">
        <v>2221</v>
      </c>
      <c r="X39" t="s">
        <v>79</v>
      </c>
    </row>
    <row r="40" spans="1:24">
      <c r="A40">
        <v>12517</v>
      </c>
      <c r="B40" t="s">
        <v>2222</v>
      </c>
      <c r="C40" t="s">
        <v>10</v>
      </c>
      <c r="D40" t="s">
        <v>10</v>
      </c>
      <c r="G40">
        <v>5800</v>
      </c>
      <c r="H40">
        <v>190000</v>
      </c>
      <c r="I40" t="s">
        <v>2196</v>
      </c>
      <c r="J40" t="s">
        <v>10</v>
      </c>
      <c r="K40">
        <v>599</v>
      </c>
      <c r="L40">
        <v>3.77</v>
      </c>
      <c r="M40">
        <v>1444</v>
      </c>
      <c r="N40" t="s">
        <v>79</v>
      </c>
      <c r="O40">
        <v>4</v>
      </c>
      <c r="P40" t="s">
        <v>2168</v>
      </c>
      <c r="Q40" t="s">
        <v>2169</v>
      </c>
      <c r="R40" t="s">
        <v>2199</v>
      </c>
      <c r="S40">
        <v>43</v>
      </c>
      <c r="T40">
        <v>44</v>
      </c>
      <c r="U40">
        <v>125</v>
      </c>
      <c r="V40" t="s">
        <v>2217</v>
      </c>
      <c r="W40" t="s">
        <v>2223</v>
      </c>
      <c r="X40" t="s">
        <v>79</v>
      </c>
    </row>
    <row r="41" spans="1:24">
      <c r="A41">
        <v>12520</v>
      </c>
      <c r="B41" t="s">
        <v>2224</v>
      </c>
      <c r="C41" t="s">
        <v>10</v>
      </c>
      <c r="D41" t="s">
        <v>10</v>
      </c>
      <c r="E41" t="s">
        <v>2162</v>
      </c>
      <c r="G41">
        <v>2400</v>
      </c>
      <c r="H41">
        <v>41000</v>
      </c>
      <c r="I41" t="s">
        <v>2202</v>
      </c>
      <c r="J41" t="s">
        <v>10</v>
      </c>
      <c r="K41">
        <v>349.8</v>
      </c>
      <c r="L41">
        <v>0.67</v>
      </c>
      <c r="M41">
        <v>1459</v>
      </c>
      <c r="N41" t="s">
        <v>79</v>
      </c>
      <c r="O41">
        <v>2</v>
      </c>
      <c r="P41" t="s">
        <v>2168</v>
      </c>
      <c r="Q41" t="s">
        <v>2169</v>
      </c>
      <c r="R41" t="s">
        <v>159</v>
      </c>
      <c r="S41">
        <v>248</v>
      </c>
      <c r="T41">
        <v>248</v>
      </c>
      <c r="U41">
        <v>125</v>
      </c>
      <c r="V41" t="s">
        <v>2217</v>
      </c>
      <c r="W41" t="s">
        <v>2225</v>
      </c>
      <c r="X41" t="s">
        <v>79</v>
      </c>
    </row>
    <row r="42" spans="1:24">
      <c r="A42">
        <v>12521</v>
      </c>
      <c r="B42" t="s">
        <v>2226</v>
      </c>
      <c r="C42" t="s">
        <v>2098</v>
      </c>
      <c r="F42" t="s">
        <v>2098</v>
      </c>
      <c r="G42">
        <v>4600</v>
      </c>
      <c r="H42">
        <v>150000</v>
      </c>
      <c r="I42" t="s">
        <v>2227</v>
      </c>
      <c r="J42" t="s">
        <v>2098</v>
      </c>
      <c r="K42">
        <v>170.61</v>
      </c>
      <c r="L42">
        <v>12.26</v>
      </c>
      <c r="M42">
        <v>1252</v>
      </c>
      <c r="N42" t="s">
        <v>79</v>
      </c>
      <c r="O42">
        <v>2</v>
      </c>
      <c r="P42" t="s">
        <v>2168</v>
      </c>
      <c r="Q42" t="s">
        <v>2169</v>
      </c>
      <c r="R42" t="s">
        <v>2102</v>
      </c>
      <c r="S42">
        <v>22</v>
      </c>
      <c r="T42">
        <v>23</v>
      </c>
      <c r="U42">
        <v>125</v>
      </c>
      <c r="V42" t="s">
        <v>2217</v>
      </c>
      <c r="W42" t="s">
        <v>2228</v>
      </c>
      <c r="X42" t="s">
        <v>79</v>
      </c>
    </row>
    <row r="43" spans="1:24">
      <c r="A43">
        <v>12530</v>
      </c>
      <c r="B43" t="s">
        <v>2229</v>
      </c>
      <c r="C43" t="s">
        <v>2176</v>
      </c>
      <c r="F43" t="s">
        <v>2176</v>
      </c>
      <c r="G43">
        <v>7800</v>
      </c>
      <c r="H43">
        <v>430000</v>
      </c>
      <c r="I43" t="s">
        <v>2230</v>
      </c>
      <c r="J43" t="s">
        <v>2176</v>
      </c>
      <c r="K43">
        <v>10.58</v>
      </c>
      <c r="L43">
        <v>2.5099999999999998</v>
      </c>
      <c r="M43">
        <v>1244</v>
      </c>
      <c r="N43" t="s">
        <v>79</v>
      </c>
      <c r="O43">
        <v>1</v>
      </c>
      <c r="P43" t="s">
        <v>2168</v>
      </c>
      <c r="Q43" t="s">
        <v>2169</v>
      </c>
      <c r="R43" t="s">
        <v>159</v>
      </c>
      <c r="S43">
        <v>24</v>
      </c>
      <c r="T43">
        <v>24</v>
      </c>
      <c r="U43">
        <v>125</v>
      </c>
      <c r="V43" t="s">
        <v>2217</v>
      </c>
      <c r="W43" t="s">
        <v>2231</v>
      </c>
      <c r="X43" t="s">
        <v>79</v>
      </c>
    </row>
    <row r="44" spans="1:24">
      <c r="A44">
        <v>12610</v>
      </c>
      <c r="B44" t="s">
        <v>2232</v>
      </c>
      <c r="C44" t="s">
        <v>2166</v>
      </c>
      <c r="E44" t="s">
        <v>2162</v>
      </c>
      <c r="F44" t="s">
        <v>2166</v>
      </c>
      <c r="G44">
        <v>3</v>
      </c>
      <c r="H44">
        <v>30</v>
      </c>
      <c r="I44" t="s">
        <v>2173</v>
      </c>
      <c r="J44" t="s">
        <v>2166</v>
      </c>
      <c r="K44">
        <v>115179.04</v>
      </c>
      <c r="L44">
        <v>7718.53</v>
      </c>
      <c r="M44">
        <v>1261</v>
      </c>
      <c r="N44" t="s">
        <v>125</v>
      </c>
      <c r="O44">
        <v>2</v>
      </c>
      <c r="P44" t="s">
        <v>2192</v>
      </c>
      <c r="Q44" t="s">
        <v>2169</v>
      </c>
      <c r="R44" t="s">
        <v>159</v>
      </c>
      <c r="S44">
        <v>5</v>
      </c>
      <c r="T44">
        <v>5</v>
      </c>
      <c r="U44">
        <v>126</v>
      </c>
      <c r="V44" t="s">
        <v>2233</v>
      </c>
      <c r="W44" t="s">
        <v>2234</v>
      </c>
      <c r="X44" t="s">
        <v>79</v>
      </c>
    </row>
    <row r="45" spans="1:24">
      <c r="A45">
        <v>12615</v>
      </c>
      <c r="B45" t="s">
        <v>2235</v>
      </c>
      <c r="C45" t="s">
        <v>2176</v>
      </c>
      <c r="F45" t="s">
        <v>2176</v>
      </c>
      <c r="G45">
        <v>7800</v>
      </c>
      <c r="H45">
        <v>430000</v>
      </c>
      <c r="I45" t="s">
        <v>2230</v>
      </c>
      <c r="J45" t="s">
        <v>2176</v>
      </c>
      <c r="K45">
        <v>10.58</v>
      </c>
      <c r="L45">
        <v>2.5099999999999998</v>
      </c>
      <c r="M45">
        <v>1244</v>
      </c>
      <c r="N45" t="s">
        <v>125</v>
      </c>
      <c r="O45">
        <v>2</v>
      </c>
      <c r="P45" t="s">
        <v>2168</v>
      </c>
      <c r="Q45" t="s">
        <v>2169</v>
      </c>
      <c r="R45" t="s">
        <v>159</v>
      </c>
      <c r="S45">
        <v>280</v>
      </c>
      <c r="T45">
        <v>294</v>
      </c>
      <c r="U45">
        <v>126</v>
      </c>
      <c r="V45" t="s">
        <v>2233</v>
      </c>
      <c r="W45" t="s">
        <v>2236</v>
      </c>
      <c r="X45" t="s">
        <v>79</v>
      </c>
    </row>
    <row r="46" spans="1:24">
      <c r="A46">
        <v>12630</v>
      </c>
      <c r="B46" t="s">
        <v>2237</v>
      </c>
      <c r="C46" t="s">
        <v>2166</v>
      </c>
      <c r="F46" t="s">
        <v>2166</v>
      </c>
      <c r="G46">
        <v>3</v>
      </c>
      <c r="H46">
        <v>30</v>
      </c>
      <c r="I46" t="s">
        <v>2173</v>
      </c>
      <c r="J46" t="s">
        <v>2166</v>
      </c>
      <c r="K46">
        <v>115179.04</v>
      </c>
      <c r="L46">
        <v>7718.53</v>
      </c>
      <c r="M46">
        <v>1261</v>
      </c>
      <c r="N46" t="s">
        <v>125</v>
      </c>
      <c r="O46">
        <v>2</v>
      </c>
      <c r="P46" t="s">
        <v>2192</v>
      </c>
      <c r="Q46" t="s">
        <v>2169</v>
      </c>
      <c r="R46" t="s">
        <v>159</v>
      </c>
      <c r="S46">
        <v>103</v>
      </c>
      <c r="T46">
        <v>110</v>
      </c>
      <c r="U46">
        <v>126</v>
      </c>
      <c r="V46" t="s">
        <v>2233</v>
      </c>
      <c r="W46" t="s">
        <v>2238</v>
      </c>
      <c r="X46" t="s">
        <v>79</v>
      </c>
    </row>
    <row r="47" spans="1:24">
      <c r="A47">
        <v>12640</v>
      </c>
      <c r="B47" t="s">
        <v>2239</v>
      </c>
      <c r="C47" t="s">
        <v>2166</v>
      </c>
      <c r="F47" t="s">
        <v>2166</v>
      </c>
      <c r="G47">
        <v>3</v>
      </c>
      <c r="H47">
        <v>30</v>
      </c>
      <c r="I47" t="s">
        <v>2173</v>
      </c>
      <c r="J47" t="s">
        <v>2166</v>
      </c>
      <c r="K47">
        <v>115179.04</v>
      </c>
      <c r="L47">
        <v>7718.53</v>
      </c>
      <c r="M47">
        <v>1261</v>
      </c>
      <c r="N47" t="s">
        <v>125</v>
      </c>
      <c r="O47">
        <v>2</v>
      </c>
      <c r="P47" t="s">
        <v>2192</v>
      </c>
      <c r="Q47" t="s">
        <v>2169</v>
      </c>
      <c r="R47" t="s">
        <v>159</v>
      </c>
      <c r="S47">
        <v>122</v>
      </c>
      <c r="T47">
        <v>137</v>
      </c>
      <c r="U47">
        <v>126</v>
      </c>
      <c r="V47" t="s">
        <v>2233</v>
      </c>
      <c r="W47" t="s">
        <v>2240</v>
      </c>
      <c r="X47" t="s">
        <v>79</v>
      </c>
    </row>
    <row r="48" spans="1:24">
      <c r="A48">
        <v>13110</v>
      </c>
      <c r="B48" t="s">
        <v>2241</v>
      </c>
      <c r="C48" t="s">
        <v>10</v>
      </c>
      <c r="D48" t="s">
        <v>10</v>
      </c>
      <c r="G48">
        <v>2300</v>
      </c>
      <c r="H48">
        <v>90000</v>
      </c>
      <c r="I48" t="s">
        <v>2242</v>
      </c>
      <c r="J48" t="s">
        <v>10</v>
      </c>
      <c r="K48">
        <v>659</v>
      </c>
      <c r="L48">
        <v>9.0299999999999994</v>
      </c>
      <c r="M48">
        <v>1311</v>
      </c>
      <c r="N48" t="s">
        <v>125</v>
      </c>
      <c r="O48">
        <v>2</v>
      </c>
      <c r="P48" t="s">
        <v>2243</v>
      </c>
      <c r="Q48" t="s">
        <v>2244</v>
      </c>
      <c r="R48" t="s">
        <v>2199</v>
      </c>
      <c r="S48">
        <v>64</v>
      </c>
      <c r="T48">
        <v>72</v>
      </c>
      <c r="U48">
        <v>131</v>
      </c>
      <c r="V48" t="s">
        <v>2245</v>
      </c>
      <c r="W48" t="s">
        <v>2246</v>
      </c>
      <c r="X48" t="s">
        <v>79</v>
      </c>
    </row>
    <row r="49" spans="1:24">
      <c r="A49">
        <v>13112</v>
      </c>
      <c r="B49" t="s">
        <v>2247</v>
      </c>
      <c r="C49" t="s">
        <v>2162</v>
      </c>
      <c r="F49" t="s">
        <v>2162</v>
      </c>
      <c r="G49">
        <v>3</v>
      </c>
      <c r="H49">
        <v>200</v>
      </c>
      <c r="I49" t="s">
        <v>2248</v>
      </c>
      <c r="J49" t="s">
        <v>2162</v>
      </c>
      <c r="K49">
        <v>32240.25</v>
      </c>
      <c r="L49">
        <v>252.36</v>
      </c>
      <c r="M49">
        <v>8927</v>
      </c>
      <c r="N49" t="s">
        <v>79</v>
      </c>
      <c r="P49" t="s">
        <v>2243</v>
      </c>
      <c r="Q49" t="s">
        <v>2244</v>
      </c>
      <c r="R49" t="s">
        <v>159</v>
      </c>
      <c r="S49">
        <v>0</v>
      </c>
      <c r="T49">
        <v>0</v>
      </c>
      <c r="U49">
        <v>135</v>
      </c>
      <c r="V49" t="s">
        <v>2249</v>
      </c>
      <c r="W49" t="s">
        <v>2250</v>
      </c>
      <c r="X49" t="s">
        <v>79</v>
      </c>
    </row>
    <row r="50" spans="1:24">
      <c r="A50">
        <v>13113</v>
      </c>
      <c r="B50" t="s">
        <v>2251</v>
      </c>
      <c r="C50" t="s">
        <v>2098</v>
      </c>
      <c r="F50" t="s">
        <v>2098</v>
      </c>
      <c r="G50">
        <v>2000</v>
      </c>
      <c r="H50">
        <v>48000</v>
      </c>
      <c r="I50" t="s">
        <v>2252</v>
      </c>
      <c r="J50" t="s">
        <v>2098</v>
      </c>
      <c r="K50">
        <v>746.61</v>
      </c>
      <c r="L50">
        <v>0.99</v>
      </c>
      <c r="M50">
        <v>8931</v>
      </c>
      <c r="N50" t="s">
        <v>79</v>
      </c>
      <c r="P50" t="s">
        <v>2243</v>
      </c>
      <c r="Q50" t="s">
        <v>2244</v>
      </c>
      <c r="R50" t="s">
        <v>2102</v>
      </c>
      <c r="S50">
        <v>0</v>
      </c>
      <c r="T50">
        <v>0</v>
      </c>
      <c r="U50">
        <v>893</v>
      </c>
      <c r="V50" t="s">
        <v>2253</v>
      </c>
      <c r="W50" t="s">
        <v>2254</v>
      </c>
      <c r="X50" t="s">
        <v>79</v>
      </c>
    </row>
    <row r="51" spans="1:24">
      <c r="A51">
        <v>13115</v>
      </c>
      <c r="B51" t="s">
        <v>2255</v>
      </c>
      <c r="C51" t="s">
        <v>10</v>
      </c>
      <c r="D51" t="s">
        <v>10</v>
      </c>
      <c r="G51">
        <v>2300</v>
      </c>
      <c r="H51">
        <v>90000</v>
      </c>
      <c r="I51" t="s">
        <v>2242</v>
      </c>
      <c r="J51" t="s">
        <v>10</v>
      </c>
      <c r="K51">
        <v>659</v>
      </c>
      <c r="L51">
        <v>9.0299999999999994</v>
      </c>
      <c r="M51">
        <v>1311</v>
      </c>
      <c r="N51" t="s">
        <v>125</v>
      </c>
      <c r="O51">
        <v>1</v>
      </c>
      <c r="P51" t="s">
        <v>2243</v>
      </c>
      <c r="Q51" t="s">
        <v>2244</v>
      </c>
      <c r="R51" t="s">
        <v>2199</v>
      </c>
      <c r="S51">
        <v>355</v>
      </c>
      <c r="T51">
        <v>781</v>
      </c>
      <c r="U51">
        <v>131</v>
      </c>
      <c r="V51" t="s">
        <v>2245</v>
      </c>
      <c r="W51" t="s">
        <v>2256</v>
      </c>
      <c r="X51" t="s">
        <v>79</v>
      </c>
    </row>
    <row r="52" spans="1:24">
      <c r="A52">
        <v>13117</v>
      </c>
      <c r="B52" t="s">
        <v>2257</v>
      </c>
      <c r="C52" t="s">
        <v>2098</v>
      </c>
      <c r="F52" t="s">
        <v>2098</v>
      </c>
      <c r="G52">
        <v>7500</v>
      </c>
      <c r="H52">
        <v>110000</v>
      </c>
      <c r="I52" t="s">
        <v>2258</v>
      </c>
      <c r="J52" t="s">
        <v>2098</v>
      </c>
      <c r="K52">
        <v>511.13</v>
      </c>
      <c r="L52">
        <v>0.22</v>
      </c>
      <c r="M52">
        <v>8932</v>
      </c>
      <c r="N52" t="s">
        <v>79</v>
      </c>
      <c r="P52" t="s">
        <v>2243</v>
      </c>
      <c r="Q52" t="s">
        <v>2244</v>
      </c>
      <c r="R52" t="s">
        <v>2102</v>
      </c>
      <c r="S52">
        <v>0</v>
      </c>
      <c r="T52">
        <v>0</v>
      </c>
      <c r="U52">
        <v>893</v>
      </c>
      <c r="V52" t="s">
        <v>2253</v>
      </c>
      <c r="W52" t="s">
        <v>2259</v>
      </c>
      <c r="X52" t="s">
        <v>79</v>
      </c>
    </row>
    <row r="53" spans="1:24">
      <c r="A53">
        <v>13120</v>
      </c>
      <c r="B53" t="s">
        <v>2260</v>
      </c>
      <c r="C53" t="s">
        <v>10</v>
      </c>
      <c r="D53" t="s">
        <v>10</v>
      </c>
      <c r="G53">
        <v>2300</v>
      </c>
      <c r="H53">
        <v>90000</v>
      </c>
      <c r="I53" t="s">
        <v>2242</v>
      </c>
      <c r="J53" t="s">
        <v>10</v>
      </c>
      <c r="K53">
        <v>659</v>
      </c>
      <c r="L53">
        <v>9.0299999999999994</v>
      </c>
      <c r="M53">
        <v>1311</v>
      </c>
      <c r="N53" t="s">
        <v>125</v>
      </c>
      <c r="O53">
        <v>2</v>
      </c>
      <c r="P53" t="s">
        <v>2243</v>
      </c>
      <c r="Q53" t="s">
        <v>2244</v>
      </c>
      <c r="R53" t="s">
        <v>2199</v>
      </c>
      <c r="S53">
        <v>83</v>
      </c>
      <c r="T53">
        <v>97</v>
      </c>
      <c r="U53">
        <v>131</v>
      </c>
      <c r="V53" t="s">
        <v>2245</v>
      </c>
      <c r="W53" t="s">
        <v>2261</v>
      </c>
      <c r="X53" t="s">
        <v>79</v>
      </c>
    </row>
    <row r="54" spans="1:24">
      <c r="A54">
        <v>13122</v>
      </c>
      <c r="B54" t="s">
        <v>2262</v>
      </c>
      <c r="C54" t="s">
        <v>10</v>
      </c>
      <c r="D54" t="s">
        <v>10</v>
      </c>
      <c r="G54">
        <v>2300</v>
      </c>
      <c r="H54">
        <v>90000</v>
      </c>
      <c r="I54" t="s">
        <v>2242</v>
      </c>
      <c r="J54" t="s">
        <v>10</v>
      </c>
      <c r="K54">
        <v>659</v>
      </c>
      <c r="L54">
        <v>9.0299999999999994</v>
      </c>
      <c r="M54">
        <v>1311</v>
      </c>
      <c r="N54" t="s">
        <v>125</v>
      </c>
      <c r="O54">
        <v>1</v>
      </c>
      <c r="P54" t="s">
        <v>2243</v>
      </c>
      <c r="Q54" t="s">
        <v>2244</v>
      </c>
      <c r="R54" t="s">
        <v>2199</v>
      </c>
      <c r="S54">
        <v>99</v>
      </c>
      <c r="T54">
        <v>108</v>
      </c>
      <c r="U54">
        <v>131</v>
      </c>
      <c r="V54" t="s">
        <v>2245</v>
      </c>
      <c r="W54" t="s">
        <v>2263</v>
      </c>
      <c r="X54" t="s">
        <v>79</v>
      </c>
    </row>
    <row r="55" spans="1:24">
      <c r="A55">
        <v>13124</v>
      </c>
      <c r="B55" t="s">
        <v>2264</v>
      </c>
      <c r="C55" t="s">
        <v>10</v>
      </c>
      <c r="D55" t="s">
        <v>10</v>
      </c>
      <c r="G55">
        <v>1500</v>
      </c>
      <c r="H55">
        <v>15000</v>
      </c>
      <c r="I55" t="s">
        <v>2265</v>
      </c>
      <c r="J55" t="s">
        <v>10</v>
      </c>
      <c r="K55">
        <v>516.25</v>
      </c>
      <c r="L55">
        <v>16.920000000000002</v>
      </c>
      <c r="M55">
        <v>1312</v>
      </c>
      <c r="N55" t="s">
        <v>125</v>
      </c>
      <c r="O55">
        <v>3</v>
      </c>
      <c r="P55" t="s">
        <v>2243</v>
      </c>
      <c r="Q55" t="s">
        <v>2244</v>
      </c>
      <c r="R55" t="s">
        <v>2199</v>
      </c>
      <c r="S55">
        <v>26</v>
      </c>
      <c r="T55">
        <v>32</v>
      </c>
      <c r="U55">
        <v>131</v>
      </c>
      <c r="V55" t="s">
        <v>2245</v>
      </c>
      <c r="W55" t="s">
        <v>2266</v>
      </c>
      <c r="X55" t="s">
        <v>79</v>
      </c>
    </row>
    <row r="56" spans="1:24">
      <c r="A56">
        <v>13125</v>
      </c>
      <c r="B56" t="s">
        <v>2267</v>
      </c>
      <c r="C56" t="s">
        <v>10</v>
      </c>
      <c r="D56" t="s">
        <v>10</v>
      </c>
      <c r="G56">
        <v>2300</v>
      </c>
      <c r="H56">
        <v>90000</v>
      </c>
      <c r="I56" t="s">
        <v>2242</v>
      </c>
      <c r="J56" t="s">
        <v>10</v>
      </c>
      <c r="K56">
        <v>659</v>
      </c>
      <c r="L56">
        <v>9.0299999999999994</v>
      </c>
      <c r="M56">
        <v>1311</v>
      </c>
      <c r="N56" t="s">
        <v>125</v>
      </c>
      <c r="O56">
        <v>2</v>
      </c>
      <c r="P56" t="s">
        <v>2243</v>
      </c>
      <c r="Q56" t="s">
        <v>2244</v>
      </c>
      <c r="R56" t="s">
        <v>2199</v>
      </c>
      <c r="S56">
        <v>20</v>
      </c>
      <c r="T56">
        <v>23</v>
      </c>
      <c r="U56">
        <v>131</v>
      </c>
      <c r="V56" t="s">
        <v>2245</v>
      </c>
      <c r="W56" t="s">
        <v>2268</v>
      </c>
      <c r="X56" t="s">
        <v>79</v>
      </c>
    </row>
    <row r="57" spans="1:24">
      <c r="A57">
        <v>13130</v>
      </c>
      <c r="B57" t="s">
        <v>2269</v>
      </c>
      <c r="C57" t="s">
        <v>10</v>
      </c>
      <c r="D57" t="s">
        <v>10</v>
      </c>
      <c r="G57">
        <v>2300</v>
      </c>
      <c r="H57">
        <v>90000</v>
      </c>
      <c r="I57" t="s">
        <v>2242</v>
      </c>
      <c r="J57" t="s">
        <v>10</v>
      </c>
      <c r="K57">
        <v>659</v>
      </c>
      <c r="L57">
        <v>9.0299999999999994</v>
      </c>
      <c r="M57">
        <v>1311</v>
      </c>
      <c r="N57" t="s">
        <v>125</v>
      </c>
      <c r="O57">
        <v>1</v>
      </c>
      <c r="P57" t="s">
        <v>2243</v>
      </c>
      <c r="Q57" t="s">
        <v>2244</v>
      </c>
      <c r="R57" t="s">
        <v>2199</v>
      </c>
      <c r="S57">
        <v>10</v>
      </c>
      <c r="T57">
        <v>14</v>
      </c>
      <c r="U57">
        <v>131</v>
      </c>
      <c r="V57" t="s">
        <v>2245</v>
      </c>
      <c r="W57" t="s">
        <v>2270</v>
      </c>
      <c r="X57" t="s">
        <v>79</v>
      </c>
    </row>
    <row r="58" spans="1:24">
      <c r="A58">
        <v>13135</v>
      </c>
      <c r="B58" t="s">
        <v>2271</v>
      </c>
      <c r="C58" t="s">
        <v>10</v>
      </c>
      <c r="D58" t="s">
        <v>10</v>
      </c>
      <c r="G58">
        <v>2300</v>
      </c>
      <c r="H58">
        <v>90000</v>
      </c>
      <c r="I58" t="s">
        <v>2242</v>
      </c>
      <c r="J58" t="s">
        <v>10</v>
      </c>
      <c r="K58">
        <v>659</v>
      </c>
      <c r="L58">
        <v>9.0299999999999994</v>
      </c>
      <c r="M58">
        <v>1311</v>
      </c>
      <c r="N58" t="s">
        <v>125</v>
      </c>
      <c r="O58">
        <v>2</v>
      </c>
      <c r="P58" t="s">
        <v>2243</v>
      </c>
      <c r="Q58" t="s">
        <v>2244</v>
      </c>
      <c r="R58" t="s">
        <v>2199</v>
      </c>
      <c r="S58">
        <v>46</v>
      </c>
      <c r="T58">
        <v>52</v>
      </c>
      <c r="U58">
        <v>131</v>
      </c>
      <c r="V58" t="s">
        <v>2245</v>
      </c>
      <c r="W58" t="s">
        <v>2272</v>
      </c>
      <c r="X58" t="s">
        <v>79</v>
      </c>
    </row>
    <row r="59" spans="1:24">
      <c r="A59">
        <v>13140</v>
      </c>
      <c r="B59" t="s">
        <v>2273</v>
      </c>
      <c r="C59" t="s">
        <v>10</v>
      </c>
      <c r="D59" t="s">
        <v>10</v>
      </c>
      <c r="G59">
        <v>2300</v>
      </c>
      <c r="H59">
        <v>90000</v>
      </c>
      <c r="I59" t="s">
        <v>2242</v>
      </c>
      <c r="J59" t="s">
        <v>10</v>
      </c>
      <c r="K59">
        <v>659</v>
      </c>
      <c r="L59">
        <v>9.0299999999999994</v>
      </c>
      <c r="M59">
        <v>1311</v>
      </c>
      <c r="N59" t="s">
        <v>125</v>
      </c>
      <c r="O59">
        <v>1</v>
      </c>
      <c r="P59" t="s">
        <v>2243</v>
      </c>
      <c r="Q59" t="s">
        <v>2244</v>
      </c>
      <c r="R59" t="s">
        <v>2199</v>
      </c>
      <c r="S59">
        <v>175</v>
      </c>
      <c r="T59">
        <v>247</v>
      </c>
      <c r="U59">
        <v>131</v>
      </c>
      <c r="V59" t="s">
        <v>2245</v>
      </c>
      <c r="W59" t="s">
        <v>2274</v>
      </c>
      <c r="X59" t="s">
        <v>79</v>
      </c>
    </row>
    <row r="60" spans="1:24">
      <c r="A60">
        <v>13142</v>
      </c>
      <c r="B60" t="s">
        <v>2275</v>
      </c>
      <c r="C60" t="s">
        <v>10</v>
      </c>
      <c r="D60" t="s">
        <v>10</v>
      </c>
      <c r="G60">
        <v>2300</v>
      </c>
      <c r="H60">
        <v>90000</v>
      </c>
      <c r="I60" t="s">
        <v>2242</v>
      </c>
      <c r="J60" t="s">
        <v>10</v>
      </c>
      <c r="K60">
        <v>659</v>
      </c>
      <c r="L60">
        <v>9.0299999999999994</v>
      </c>
      <c r="M60">
        <v>1311</v>
      </c>
      <c r="N60" t="s">
        <v>125</v>
      </c>
      <c r="O60">
        <v>1</v>
      </c>
      <c r="P60" t="s">
        <v>2243</v>
      </c>
      <c r="Q60" t="s">
        <v>2244</v>
      </c>
      <c r="R60" t="s">
        <v>2199</v>
      </c>
      <c r="S60">
        <v>31</v>
      </c>
      <c r="T60">
        <v>46</v>
      </c>
      <c r="U60">
        <v>131</v>
      </c>
      <c r="V60" t="s">
        <v>2245</v>
      </c>
      <c r="W60" t="s">
        <v>2276</v>
      </c>
      <c r="X60" t="s">
        <v>79</v>
      </c>
    </row>
    <row r="61" spans="1:24">
      <c r="A61">
        <v>13145</v>
      </c>
      <c r="B61" t="s">
        <v>2277</v>
      </c>
      <c r="C61" t="s">
        <v>10</v>
      </c>
      <c r="D61" t="s">
        <v>10</v>
      </c>
      <c r="G61">
        <v>2300</v>
      </c>
      <c r="H61">
        <v>90000</v>
      </c>
      <c r="I61" t="s">
        <v>2242</v>
      </c>
      <c r="J61" t="s">
        <v>10</v>
      </c>
      <c r="K61">
        <v>659</v>
      </c>
      <c r="L61">
        <v>9.0299999999999994</v>
      </c>
      <c r="M61">
        <v>1311</v>
      </c>
      <c r="N61" t="s">
        <v>125</v>
      </c>
      <c r="O61">
        <v>2</v>
      </c>
      <c r="P61" t="s">
        <v>2243</v>
      </c>
      <c r="Q61" t="s">
        <v>2244</v>
      </c>
      <c r="R61" t="s">
        <v>2199</v>
      </c>
      <c r="S61">
        <v>51</v>
      </c>
      <c r="T61">
        <v>53</v>
      </c>
      <c r="U61">
        <v>131</v>
      </c>
      <c r="V61" t="s">
        <v>2245</v>
      </c>
      <c r="W61" t="s">
        <v>2278</v>
      </c>
      <c r="X61" t="s">
        <v>79</v>
      </c>
    </row>
    <row r="62" spans="1:24">
      <c r="A62">
        <v>13150</v>
      </c>
      <c r="B62" t="s">
        <v>2279</v>
      </c>
      <c r="C62" t="s">
        <v>10</v>
      </c>
      <c r="D62" t="s">
        <v>10</v>
      </c>
      <c r="G62">
        <v>2300</v>
      </c>
      <c r="H62">
        <v>90000</v>
      </c>
      <c r="I62" t="s">
        <v>2242</v>
      </c>
      <c r="J62" t="s">
        <v>10</v>
      </c>
      <c r="K62">
        <v>659</v>
      </c>
      <c r="L62">
        <v>9.0299999999999994</v>
      </c>
      <c r="M62">
        <v>1311</v>
      </c>
      <c r="N62" t="s">
        <v>125</v>
      </c>
      <c r="O62">
        <v>1</v>
      </c>
      <c r="P62" t="s">
        <v>2243</v>
      </c>
      <c r="Q62" t="s">
        <v>2244</v>
      </c>
      <c r="R62" t="s">
        <v>2199</v>
      </c>
      <c r="S62">
        <v>94</v>
      </c>
      <c r="T62">
        <v>109</v>
      </c>
      <c r="U62">
        <v>131</v>
      </c>
      <c r="V62" t="s">
        <v>2245</v>
      </c>
      <c r="W62" t="s">
        <v>2280</v>
      </c>
      <c r="X62" t="s">
        <v>79</v>
      </c>
    </row>
    <row r="63" spans="1:24">
      <c r="A63">
        <v>13155</v>
      </c>
      <c r="B63" t="s">
        <v>2281</v>
      </c>
      <c r="C63" t="s">
        <v>10</v>
      </c>
      <c r="D63" t="s">
        <v>10</v>
      </c>
      <c r="G63">
        <v>2300</v>
      </c>
      <c r="H63">
        <v>90000</v>
      </c>
      <c r="I63" t="s">
        <v>2242</v>
      </c>
      <c r="J63" t="s">
        <v>10</v>
      </c>
      <c r="K63">
        <v>659</v>
      </c>
      <c r="L63">
        <v>9.0299999999999994</v>
      </c>
      <c r="M63">
        <v>1311</v>
      </c>
      <c r="N63" t="s">
        <v>79</v>
      </c>
      <c r="O63">
        <v>2</v>
      </c>
      <c r="P63" t="s">
        <v>2243</v>
      </c>
      <c r="Q63" t="s">
        <v>2244</v>
      </c>
      <c r="R63" t="s">
        <v>2199</v>
      </c>
      <c r="S63">
        <v>9</v>
      </c>
      <c r="T63">
        <v>9</v>
      </c>
      <c r="U63">
        <v>131</v>
      </c>
      <c r="V63" t="s">
        <v>2245</v>
      </c>
      <c r="W63" t="s">
        <v>2282</v>
      </c>
      <c r="X63" t="s">
        <v>79</v>
      </c>
    </row>
    <row r="64" spans="1:24">
      <c r="A64">
        <v>13156</v>
      </c>
      <c r="B64" t="s">
        <v>2283</v>
      </c>
      <c r="C64" t="s">
        <v>10</v>
      </c>
      <c r="D64" t="s">
        <v>10</v>
      </c>
      <c r="G64">
        <v>2300</v>
      </c>
      <c r="H64">
        <v>90000</v>
      </c>
      <c r="I64" t="s">
        <v>2242</v>
      </c>
      <c r="J64" t="s">
        <v>10</v>
      </c>
      <c r="K64">
        <v>659</v>
      </c>
      <c r="L64">
        <v>9.0299999999999994</v>
      </c>
      <c r="M64">
        <v>1311</v>
      </c>
      <c r="N64" t="s">
        <v>79</v>
      </c>
      <c r="O64">
        <v>2</v>
      </c>
      <c r="P64" t="s">
        <v>2243</v>
      </c>
      <c r="Q64" t="s">
        <v>2244</v>
      </c>
      <c r="R64" t="s">
        <v>2199</v>
      </c>
      <c r="S64">
        <v>0</v>
      </c>
      <c r="T64">
        <v>0</v>
      </c>
      <c r="U64">
        <v>131</v>
      </c>
      <c r="V64" t="s">
        <v>2245</v>
      </c>
      <c r="W64" t="s">
        <v>2284</v>
      </c>
      <c r="X64" t="s">
        <v>79</v>
      </c>
    </row>
    <row r="65" spans="1:24">
      <c r="A65">
        <v>13160</v>
      </c>
      <c r="B65" t="s">
        <v>2285</v>
      </c>
      <c r="C65" t="s">
        <v>10</v>
      </c>
      <c r="D65" t="s">
        <v>10</v>
      </c>
      <c r="G65">
        <v>2300</v>
      </c>
      <c r="H65">
        <v>90000</v>
      </c>
      <c r="I65" t="s">
        <v>2242</v>
      </c>
      <c r="J65" t="s">
        <v>10</v>
      </c>
      <c r="K65">
        <v>659</v>
      </c>
      <c r="L65">
        <v>9.0299999999999994</v>
      </c>
      <c r="M65">
        <v>1311</v>
      </c>
      <c r="N65" t="s">
        <v>79</v>
      </c>
      <c r="O65">
        <v>2</v>
      </c>
      <c r="P65" t="s">
        <v>2286</v>
      </c>
      <c r="Q65" t="s">
        <v>2244</v>
      </c>
      <c r="R65" t="s">
        <v>2199</v>
      </c>
      <c r="S65">
        <v>4</v>
      </c>
      <c r="T65">
        <v>7</v>
      </c>
      <c r="U65">
        <v>131</v>
      </c>
      <c r="V65" t="s">
        <v>2245</v>
      </c>
      <c r="W65" t="s">
        <v>2287</v>
      </c>
      <c r="X65" t="s">
        <v>79</v>
      </c>
    </row>
    <row r="66" spans="1:24">
      <c r="A66">
        <v>13210</v>
      </c>
      <c r="B66" t="s">
        <v>2288</v>
      </c>
      <c r="C66" t="s">
        <v>2162</v>
      </c>
      <c r="F66" t="s">
        <v>2162</v>
      </c>
      <c r="G66">
        <v>1</v>
      </c>
      <c r="H66">
        <v>360</v>
      </c>
      <c r="I66" t="s">
        <v>2289</v>
      </c>
      <c r="J66" t="s">
        <v>2162</v>
      </c>
      <c r="K66">
        <v>42315.17</v>
      </c>
      <c r="L66">
        <v>918.89</v>
      </c>
      <c r="M66">
        <v>1321</v>
      </c>
      <c r="N66" t="s">
        <v>79</v>
      </c>
      <c r="O66">
        <v>2</v>
      </c>
      <c r="P66" t="s">
        <v>2243</v>
      </c>
      <c r="Q66" t="s">
        <v>2244</v>
      </c>
      <c r="R66" t="s">
        <v>159</v>
      </c>
      <c r="S66">
        <v>1194</v>
      </c>
      <c r="T66">
        <v>1216</v>
      </c>
      <c r="U66">
        <v>132</v>
      </c>
      <c r="V66" t="s">
        <v>2290</v>
      </c>
      <c r="W66" t="s">
        <v>2291</v>
      </c>
      <c r="X66" t="s">
        <v>79</v>
      </c>
    </row>
    <row r="67" spans="1:24">
      <c r="A67">
        <v>13250</v>
      </c>
      <c r="B67" t="s">
        <v>2292</v>
      </c>
      <c r="C67" t="s">
        <v>2162</v>
      </c>
      <c r="F67" t="s">
        <v>2162</v>
      </c>
      <c r="G67">
        <v>1</v>
      </c>
      <c r="H67">
        <v>360</v>
      </c>
      <c r="I67" t="s">
        <v>2289</v>
      </c>
      <c r="J67" t="s">
        <v>2162</v>
      </c>
      <c r="K67">
        <v>42315.17</v>
      </c>
      <c r="L67">
        <v>918.89</v>
      </c>
      <c r="M67">
        <v>1321</v>
      </c>
      <c r="N67" t="s">
        <v>79</v>
      </c>
      <c r="O67">
        <v>2</v>
      </c>
      <c r="P67" t="s">
        <v>2293</v>
      </c>
      <c r="Q67" t="s">
        <v>2206</v>
      </c>
      <c r="R67" t="s">
        <v>159</v>
      </c>
      <c r="S67">
        <v>369</v>
      </c>
      <c r="T67">
        <v>371</v>
      </c>
      <c r="U67">
        <v>132</v>
      </c>
      <c r="V67" t="s">
        <v>2290</v>
      </c>
      <c r="W67" t="s">
        <v>2294</v>
      </c>
      <c r="X67" t="s">
        <v>79</v>
      </c>
    </row>
    <row r="68" spans="1:24">
      <c r="A68">
        <v>13255</v>
      </c>
      <c r="B68" t="s">
        <v>2295</v>
      </c>
      <c r="C68" t="s">
        <v>2162</v>
      </c>
      <c r="F68" t="s">
        <v>2162</v>
      </c>
      <c r="G68">
        <v>1</v>
      </c>
      <c r="H68">
        <v>360</v>
      </c>
      <c r="I68" t="s">
        <v>2289</v>
      </c>
      <c r="J68" t="s">
        <v>2162</v>
      </c>
      <c r="K68">
        <v>42315.17</v>
      </c>
      <c r="L68">
        <v>918.89</v>
      </c>
      <c r="M68">
        <v>1321</v>
      </c>
      <c r="N68" t="s">
        <v>79</v>
      </c>
      <c r="O68">
        <v>2</v>
      </c>
      <c r="P68" t="s">
        <v>2243</v>
      </c>
      <c r="Q68" t="s">
        <v>2244</v>
      </c>
      <c r="R68" t="s">
        <v>159</v>
      </c>
      <c r="S68">
        <v>5</v>
      </c>
      <c r="T68">
        <v>5</v>
      </c>
      <c r="U68">
        <v>132</v>
      </c>
      <c r="V68" t="s">
        <v>2290</v>
      </c>
      <c r="W68" t="s">
        <v>2296</v>
      </c>
      <c r="X68" t="s">
        <v>79</v>
      </c>
    </row>
    <row r="69" spans="1:24">
      <c r="A69">
        <v>13315</v>
      </c>
      <c r="B69" t="s">
        <v>2297</v>
      </c>
      <c r="C69" t="s">
        <v>10</v>
      </c>
      <c r="D69" t="s">
        <v>10</v>
      </c>
      <c r="G69">
        <v>3800</v>
      </c>
      <c r="H69">
        <v>26000</v>
      </c>
      <c r="I69" t="s">
        <v>2298</v>
      </c>
      <c r="J69" t="s">
        <v>10</v>
      </c>
      <c r="K69">
        <v>669</v>
      </c>
      <c r="L69">
        <v>8.64</v>
      </c>
      <c r="M69">
        <v>1331</v>
      </c>
      <c r="N69" t="s">
        <v>125</v>
      </c>
      <c r="O69">
        <v>1</v>
      </c>
      <c r="P69" t="s">
        <v>2299</v>
      </c>
      <c r="Q69" t="s">
        <v>2101</v>
      </c>
      <c r="R69" t="s">
        <v>2199</v>
      </c>
      <c r="S69">
        <v>8</v>
      </c>
      <c r="T69">
        <v>8</v>
      </c>
      <c r="U69">
        <v>133</v>
      </c>
      <c r="V69" t="s">
        <v>2300</v>
      </c>
      <c r="W69" t="s">
        <v>2301</v>
      </c>
      <c r="X69" t="s">
        <v>79</v>
      </c>
    </row>
    <row r="70" spans="1:24">
      <c r="A70">
        <v>13320</v>
      </c>
      <c r="B70" t="s">
        <v>2302</v>
      </c>
      <c r="C70" t="s">
        <v>10</v>
      </c>
      <c r="D70" t="s">
        <v>10</v>
      </c>
      <c r="G70">
        <v>3800</v>
      </c>
      <c r="H70">
        <v>26000</v>
      </c>
      <c r="I70" t="s">
        <v>2298</v>
      </c>
      <c r="J70" t="s">
        <v>10</v>
      </c>
      <c r="K70">
        <v>669</v>
      </c>
      <c r="L70">
        <v>8.64</v>
      </c>
      <c r="M70">
        <v>1331</v>
      </c>
      <c r="N70" t="s">
        <v>125</v>
      </c>
      <c r="O70">
        <v>1</v>
      </c>
      <c r="P70" t="s">
        <v>2299</v>
      </c>
      <c r="Q70" t="s">
        <v>2101</v>
      </c>
      <c r="R70" t="s">
        <v>2199</v>
      </c>
      <c r="S70">
        <v>1</v>
      </c>
      <c r="T70">
        <v>1</v>
      </c>
      <c r="U70">
        <v>133</v>
      </c>
      <c r="V70" t="s">
        <v>2300</v>
      </c>
      <c r="W70" t="s">
        <v>2303</v>
      </c>
      <c r="X70" t="s">
        <v>79</v>
      </c>
    </row>
    <row r="71" spans="1:24">
      <c r="A71">
        <v>13325</v>
      </c>
      <c r="B71" t="s">
        <v>2304</v>
      </c>
      <c r="C71" t="s">
        <v>10</v>
      </c>
      <c r="D71" t="s">
        <v>10</v>
      </c>
      <c r="G71">
        <v>3800</v>
      </c>
      <c r="H71">
        <v>26000</v>
      </c>
      <c r="I71" t="s">
        <v>2298</v>
      </c>
      <c r="J71" t="s">
        <v>10</v>
      </c>
      <c r="K71">
        <v>669</v>
      </c>
      <c r="L71">
        <v>8.64</v>
      </c>
      <c r="M71">
        <v>1331</v>
      </c>
      <c r="N71" t="s">
        <v>125</v>
      </c>
      <c r="O71">
        <v>1</v>
      </c>
      <c r="P71" t="s">
        <v>2299</v>
      </c>
      <c r="Q71" t="s">
        <v>2101</v>
      </c>
      <c r="R71" t="s">
        <v>2199</v>
      </c>
      <c r="S71">
        <v>35</v>
      </c>
      <c r="T71">
        <v>35</v>
      </c>
      <c r="U71">
        <v>133</v>
      </c>
      <c r="V71" t="s">
        <v>2300</v>
      </c>
      <c r="W71" t="s">
        <v>2305</v>
      </c>
      <c r="X71" t="s">
        <v>79</v>
      </c>
    </row>
    <row r="72" spans="1:24">
      <c r="A72">
        <v>13330</v>
      </c>
      <c r="B72" t="s">
        <v>2306</v>
      </c>
      <c r="C72" t="s">
        <v>10</v>
      </c>
      <c r="D72" t="s">
        <v>10</v>
      </c>
      <c r="G72">
        <v>3800</v>
      </c>
      <c r="H72">
        <v>26000</v>
      </c>
      <c r="I72" t="s">
        <v>2298</v>
      </c>
      <c r="J72" t="s">
        <v>10</v>
      </c>
      <c r="K72">
        <v>669</v>
      </c>
      <c r="L72">
        <v>8.64</v>
      </c>
      <c r="M72">
        <v>1331</v>
      </c>
      <c r="N72" t="s">
        <v>125</v>
      </c>
      <c r="O72">
        <v>1</v>
      </c>
      <c r="P72" t="s">
        <v>2299</v>
      </c>
      <c r="Q72" t="s">
        <v>2101</v>
      </c>
      <c r="R72" t="s">
        <v>2199</v>
      </c>
      <c r="S72">
        <v>0</v>
      </c>
      <c r="T72">
        <v>0</v>
      </c>
      <c r="U72">
        <v>133</v>
      </c>
      <c r="V72" t="s">
        <v>2300</v>
      </c>
      <c r="W72" t="s">
        <v>2307</v>
      </c>
      <c r="X72" t="s">
        <v>79</v>
      </c>
    </row>
    <row r="73" spans="1:24">
      <c r="A73">
        <v>13335</v>
      </c>
      <c r="B73" t="s">
        <v>2308</v>
      </c>
      <c r="C73" t="s">
        <v>10</v>
      </c>
      <c r="D73" t="s">
        <v>10</v>
      </c>
      <c r="G73">
        <v>3800</v>
      </c>
      <c r="H73">
        <v>26000</v>
      </c>
      <c r="I73" t="s">
        <v>2298</v>
      </c>
      <c r="J73" t="s">
        <v>10</v>
      </c>
      <c r="K73">
        <v>669</v>
      </c>
      <c r="L73">
        <v>8.64</v>
      </c>
      <c r="M73">
        <v>1331</v>
      </c>
      <c r="N73" t="s">
        <v>125</v>
      </c>
      <c r="O73">
        <v>1</v>
      </c>
      <c r="P73" t="s">
        <v>2299</v>
      </c>
      <c r="Q73" t="s">
        <v>2101</v>
      </c>
      <c r="R73" t="s">
        <v>2199</v>
      </c>
      <c r="S73">
        <v>8</v>
      </c>
      <c r="T73">
        <v>8</v>
      </c>
      <c r="U73">
        <v>133</v>
      </c>
      <c r="V73" t="s">
        <v>2300</v>
      </c>
      <c r="W73" t="s">
        <v>2309</v>
      </c>
      <c r="X73" t="s">
        <v>79</v>
      </c>
    </row>
    <row r="74" spans="1:24">
      <c r="A74">
        <v>13365</v>
      </c>
      <c r="B74" t="s">
        <v>2310</v>
      </c>
      <c r="C74" t="s">
        <v>10</v>
      </c>
      <c r="D74" t="s">
        <v>10</v>
      </c>
      <c r="G74">
        <v>3800</v>
      </c>
      <c r="H74">
        <v>26000</v>
      </c>
      <c r="I74" t="s">
        <v>2298</v>
      </c>
      <c r="J74" t="s">
        <v>10</v>
      </c>
      <c r="K74">
        <v>669</v>
      </c>
      <c r="L74">
        <v>8.64</v>
      </c>
      <c r="M74">
        <v>1331</v>
      </c>
      <c r="N74" t="s">
        <v>125</v>
      </c>
      <c r="O74">
        <v>1</v>
      </c>
      <c r="P74" t="s">
        <v>2299</v>
      </c>
      <c r="Q74" t="s">
        <v>2101</v>
      </c>
      <c r="R74" t="s">
        <v>2199</v>
      </c>
      <c r="S74">
        <v>7</v>
      </c>
      <c r="T74">
        <v>12</v>
      </c>
      <c r="U74">
        <v>133</v>
      </c>
      <c r="V74" t="s">
        <v>2300</v>
      </c>
      <c r="W74" t="s">
        <v>2311</v>
      </c>
      <c r="X74" t="s">
        <v>79</v>
      </c>
    </row>
    <row r="75" spans="1:24">
      <c r="A75">
        <v>13371</v>
      </c>
      <c r="B75" t="s">
        <v>2312</v>
      </c>
      <c r="C75" t="s">
        <v>10</v>
      </c>
      <c r="D75" t="s">
        <v>10</v>
      </c>
      <c r="G75">
        <v>3800</v>
      </c>
      <c r="H75">
        <v>26000</v>
      </c>
      <c r="I75" t="s">
        <v>2298</v>
      </c>
      <c r="J75" t="s">
        <v>10</v>
      </c>
      <c r="K75">
        <v>669</v>
      </c>
      <c r="L75">
        <v>8.64</v>
      </c>
      <c r="M75">
        <v>1331</v>
      </c>
      <c r="N75" t="s">
        <v>125</v>
      </c>
      <c r="O75">
        <v>1</v>
      </c>
      <c r="P75" t="s">
        <v>2299</v>
      </c>
      <c r="Q75" t="s">
        <v>2101</v>
      </c>
      <c r="R75" t="s">
        <v>2199</v>
      </c>
      <c r="S75">
        <v>13</v>
      </c>
      <c r="T75">
        <v>18</v>
      </c>
      <c r="U75">
        <v>133</v>
      </c>
      <c r="V75" t="s">
        <v>2300</v>
      </c>
      <c r="W75" t="s">
        <v>2313</v>
      </c>
      <c r="X75" t="s">
        <v>79</v>
      </c>
    </row>
    <row r="76" spans="1:24">
      <c r="A76">
        <v>13372</v>
      </c>
      <c r="B76" t="s">
        <v>2314</v>
      </c>
      <c r="C76" t="s">
        <v>10</v>
      </c>
      <c r="D76" t="s">
        <v>10</v>
      </c>
      <c r="G76">
        <v>3800</v>
      </c>
      <c r="H76">
        <v>26000</v>
      </c>
      <c r="I76" t="s">
        <v>2298</v>
      </c>
      <c r="J76" t="s">
        <v>10</v>
      </c>
      <c r="K76">
        <v>669</v>
      </c>
      <c r="L76">
        <v>8.64</v>
      </c>
      <c r="M76">
        <v>1331</v>
      </c>
      <c r="N76" t="s">
        <v>125</v>
      </c>
      <c r="O76">
        <v>1</v>
      </c>
      <c r="P76" t="s">
        <v>2315</v>
      </c>
      <c r="Q76" t="s">
        <v>2101</v>
      </c>
      <c r="R76" t="s">
        <v>2199</v>
      </c>
      <c r="S76">
        <v>10</v>
      </c>
      <c r="T76">
        <v>19</v>
      </c>
      <c r="U76">
        <v>133</v>
      </c>
      <c r="V76" t="s">
        <v>2300</v>
      </c>
      <c r="W76" t="s">
        <v>2316</v>
      </c>
      <c r="X76" t="s">
        <v>79</v>
      </c>
    </row>
    <row r="77" spans="1:24">
      <c r="A77">
        <v>13373</v>
      </c>
      <c r="B77" t="s">
        <v>2317</v>
      </c>
      <c r="C77" t="s">
        <v>10</v>
      </c>
      <c r="D77" t="s">
        <v>10</v>
      </c>
      <c r="G77">
        <v>3800</v>
      </c>
      <c r="H77">
        <v>26000</v>
      </c>
      <c r="I77" t="s">
        <v>2298</v>
      </c>
      <c r="J77" t="s">
        <v>10</v>
      </c>
      <c r="K77">
        <v>669</v>
      </c>
      <c r="L77">
        <v>8.64</v>
      </c>
      <c r="M77">
        <v>1331</v>
      </c>
      <c r="N77" t="s">
        <v>125</v>
      </c>
      <c r="O77">
        <v>1</v>
      </c>
      <c r="P77" t="s">
        <v>2315</v>
      </c>
      <c r="Q77" t="s">
        <v>2101</v>
      </c>
      <c r="R77" t="s">
        <v>2199</v>
      </c>
      <c r="S77">
        <v>6</v>
      </c>
      <c r="T77">
        <v>6</v>
      </c>
      <c r="U77">
        <v>133</v>
      </c>
      <c r="V77" t="s">
        <v>2300</v>
      </c>
      <c r="W77" t="s">
        <v>2318</v>
      </c>
      <c r="X77" t="s">
        <v>79</v>
      </c>
    </row>
    <row r="78" spans="1:24">
      <c r="A78">
        <v>13374</v>
      </c>
      <c r="B78" t="s">
        <v>2319</v>
      </c>
      <c r="C78" t="s">
        <v>10</v>
      </c>
      <c r="D78" t="s">
        <v>10</v>
      </c>
      <c r="G78">
        <v>3800</v>
      </c>
      <c r="H78">
        <v>26000</v>
      </c>
      <c r="I78" t="s">
        <v>2298</v>
      </c>
      <c r="J78" t="s">
        <v>10</v>
      </c>
      <c r="K78">
        <v>669</v>
      </c>
      <c r="L78">
        <v>8.64</v>
      </c>
      <c r="M78">
        <v>1331</v>
      </c>
      <c r="N78" t="s">
        <v>125</v>
      </c>
      <c r="O78">
        <v>1</v>
      </c>
      <c r="P78" t="s">
        <v>2315</v>
      </c>
      <c r="Q78" t="s">
        <v>2101</v>
      </c>
      <c r="R78" t="s">
        <v>2199</v>
      </c>
      <c r="S78">
        <v>0</v>
      </c>
      <c r="T78">
        <v>0</v>
      </c>
      <c r="U78">
        <v>133</v>
      </c>
      <c r="V78" t="s">
        <v>2300</v>
      </c>
      <c r="W78" t="s">
        <v>2320</v>
      </c>
      <c r="X78" t="s">
        <v>79</v>
      </c>
    </row>
    <row r="79" spans="1:24">
      <c r="A79">
        <v>13375</v>
      </c>
      <c r="B79" t="s">
        <v>2321</v>
      </c>
      <c r="C79" t="s">
        <v>10</v>
      </c>
      <c r="D79" t="s">
        <v>10</v>
      </c>
      <c r="G79">
        <v>3800</v>
      </c>
      <c r="H79">
        <v>26000</v>
      </c>
      <c r="I79" t="s">
        <v>2298</v>
      </c>
      <c r="J79" t="s">
        <v>10</v>
      </c>
      <c r="K79">
        <v>669</v>
      </c>
      <c r="L79">
        <v>8.64</v>
      </c>
      <c r="M79">
        <v>1331</v>
      </c>
      <c r="N79" t="s">
        <v>125</v>
      </c>
      <c r="O79">
        <v>1</v>
      </c>
      <c r="P79" t="s">
        <v>2315</v>
      </c>
      <c r="Q79" t="s">
        <v>2101</v>
      </c>
      <c r="R79" t="s">
        <v>2199</v>
      </c>
      <c r="S79">
        <v>34</v>
      </c>
      <c r="T79">
        <v>35</v>
      </c>
      <c r="U79">
        <v>133</v>
      </c>
      <c r="V79" t="s">
        <v>2300</v>
      </c>
      <c r="W79" t="s">
        <v>2322</v>
      </c>
      <c r="X79" t="s">
        <v>79</v>
      </c>
    </row>
    <row r="80" spans="1:24">
      <c r="A80">
        <v>13376</v>
      </c>
      <c r="B80" t="s">
        <v>2323</v>
      </c>
      <c r="C80" t="s">
        <v>10</v>
      </c>
      <c r="D80" t="s">
        <v>10</v>
      </c>
      <c r="G80">
        <v>3800</v>
      </c>
      <c r="H80">
        <v>26000</v>
      </c>
      <c r="I80" t="s">
        <v>2298</v>
      </c>
      <c r="J80" t="s">
        <v>10</v>
      </c>
      <c r="K80">
        <v>669</v>
      </c>
      <c r="L80">
        <v>8.64</v>
      </c>
      <c r="M80">
        <v>1331</v>
      </c>
      <c r="N80" t="s">
        <v>125</v>
      </c>
      <c r="O80">
        <v>1</v>
      </c>
      <c r="P80" t="s">
        <v>2315</v>
      </c>
      <c r="Q80" t="s">
        <v>2101</v>
      </c>
      <c r="R80" t="s">
        <v>2199</v>
      </c>
      <c r="S80">
        <v>7</v>
      </c>
      <c r="T80">
        <v>7</v>
      </c>
      <c r="U80">
        <v>133</v>
      </c>
      <c r="V80" t="s">
        <v>2300</v>
      </c>
      <c r="W80" t="s">
        <v>2324</v>
      </c>
      <c r="X80" t="s">
        <v>79</v>
      </c>
    </row>
    <row r="81" spans="1:24">
      <c r="A81">
        <v>13380</v>
      </c>
      <c r="B81" t="s">
        <v>2325</v>
      </c>
      <c r="C81" t="s">
        <v>10</v>
      </c>
      <c r="D81" t="s">
        <v>10</v>
      </c>
      <c r="G81">
        <v>3800</v>
      </c>
      <c r="H81">
        <v>26000</v>
      </c>
      <c r="I81" t="s">
        <v>2298</v>
      </c>
      <c r="J81" t="s">
        <v>10</v>
      </c>
      <c r="K81">
        <v>669</v>
      </c>
      <c r="L81">
        <v>8.64</v>
      </c>
      <c r="M81">
        <v>1331</v>
      </c>
      <c r="N81" t="s">
        <v>125</v>
      </c>
      <c r="O81">
        <v>1</v>
      </c>
      <c r="P81" t="s">
        <v>2315</v>
      </c>
      <c r="Q81" t="s">
        <v>2101</v>
      </c>
      <c r="R81" t="s">
        <v>2199</v>
      </c>
      <c r="S81">
        <v>7</v>
      </c>
      <c r="T81">
        <v>7</v>
      </c>
      <c r="U81">
        <v>133</v>
      </c>
      <c r="V81" t="s">
        <v>2300</v>
      </c>
      <c r="W81" t="s">
        <v>2326</v>
      </c>
      <c r="X81" t="s">
        <v>79</v>
      </c>
    </row>
    <row r="82" spans="1:24">
      <c r="A82">
        <v>13410</v>
      </c>
      <c r="B82" t="s">
        <v>2327</v>
      </c>
      <c r="C82" t="s">
        <v>2162</v>
      </c>
      <c r="F82" t="s">
        <v>2162</v>
      </c>
      <c r="G82">
        <v>1</v>
      </c>
      <c r="H82">
        <v>100</v>
      </c>
      <c r="I82" t="s">
        <v>2328</v>
      </c>
      <c r="J82" t="s">
        <v>2162</v>
      </c>
      <c r="K82">
        <v>14435.43</v>
      </c>
      <c r="L82">
        <v>155.19999999999999</v>
      </c>
      <c r="M82">
        <v>1341</v>
      </c>
      <c r="N82" t="s">
        <v>79</v>
      </c>
      <c r="O82">
        <v>4</v>
      </c>
      <c r="P82" t="s">
        <v>2299</v>
      </c>
      <c r="Q82" t="s">
        <v>2101</v>
      </c>
      <c r="R82" t="s">
        <v>159</v>
      </c>
      <c r="S82">
        <v>79</v>
      </c>
      <c r="T82">
        <v>80</v>
      </c>
      <c r="U82">
        <v>134</v>
      </c>
      <c r="V82" t="s">
        <v>2329</v>
      </c>
      <c r="W82" t="s">
        <v>2330</v>
      </c>
      <c r="X82" t="s">
        <v>79</v>
      </c>
    </row>
    <row r="83" spans="1:24">
      <c r="A83">
        <v>13420</v>
      </c>
      <c r="B83" t="s">
        <v>2331</v>
      </c>
      <c r="C83" t="s">
        <v>2162</v>
      </c>
      <c r="F83" t="s">
        <v>2162</v>
      </c>
      <c r="G83">
        <v>1</v>
      </c>
      <c r="H83">
        <v>100</v>
      </c>
      <c r="I83" t="s">
        <v>2328</v>
      </c>
      <c r="J83" t="s">
        <v>2162</v>
      </c>
      <c r="K83">
        <v>14435.43</v>
      </c>
      <c r="L83">
        <v>155.19999999999999</v>
      </c>
      <c r="M83">
        <v>1341</v>
      </c>
      <c r="N83" t="s">
        <v>79</v>
      </c>
      <c r="O83">
        <v>1</v>
      </c>
      <c r="P83" t="s">
        <v>2299</v>
      </c>
      <c r="Q83" t="s">
        <v>2101</v>
      </c>
      <c r="R83" t="s">
        <v>159</v>
      </c>
      <c r="S83">
        <v>39</v>
      </c>
      <c r="T83">
        <v>39</v>
      </c>
      <c r="U83">
        <v>134</v>
      </c>
      <c r="V83" t="s">
        <v>2329</v>
      </c>
      <c r="W83" t="s">
        <v>2332</v>
      </c>
      <c r="X83" t="s">
        <v>79</v>
      </c>
    </row>
    <row r="84" spans="1:24">
      <c r="A84">
        <v>13440</v>
      </c>
      <c r="B84" t="s">
        <v>2333</v>
      </c>
      <c r="C84" t="s">
        <v>2162</v>
      </c>
      <c r="F84" t="s">
        <v>2162</v>
      </c>
      <c r="G84">
        <v>1</v>
      </c>
      <c r="H84">
        <v>100</v>
      </c>
      <c r="I84" t="s">
        <v>2328</v>
      </c>
      <c r="J84" t="s">
        <v>2162</v>
      </c>
      <c r="K84">
        <v>14435.43</v>
      </c>
      <c r="L84">
        <v>155.19999999999999</v>
      </c>
      <c r="M84">
        <v>1341</v>
      </c>
      <c r="N84" t="s">
        <v>79</v>
      </c>
      <c r="O84">
        <v>2</v>
      </c>
      <c r="P84" t="s">
        <v>2299</v>
      </c>
      <c r="Q84" t="s">
        <v>2101</v>
      </c>
      <c r="R84" t="s">
        <v>159</v>
      </c>
      <c r="S84">
        <v>22</v>
      </c>
      <c r="T84">
        <v>22</v>
      </c>
      <c r="U84">
        <v>134</v>
      </c>
      <c r="V84" t="s">
        <v>2329</v>
      </c>
      <c r="W84" t="s">
        <v>2334</v>
      </c>
      <c r="X84" t="s">
        <v>79</v>
      </c>
    </row>
    <row r="85" spans="1:24">
      <c r="A85">
        <v>13441</v>
      </c>
      <c r="B85" t="s">
        <v>2335</v>
      </c>
      <c r="C85" t="s">
        <v>2162</v>
      </c>
      <c r="E85" t="s">
        <v>2162</v>
      </c>
      <c r="G85">
        <v>1</v>
      </c>
      <c r="H85">
        <v>100</v>
      </c>
      <c r="I85" t="s">
        <v>2328</v>
      </c>
      <c r="J85" t="s">
        <v>2162</v>
      </c>
      <c r="K85">
        <v>14435.43</v>
      </c>
      <c r="L85">
        <v>155.19999999999999</v>
      </c>
      <c r="M85">
        <v>1341</v>
      </c>
      <c r="N85" t="s">
        <v>79</v>
      </c>
      <c r="O85">
        <v>2</v>
      </c>
      <c r="P85" t="s">
        <v>2299</v>
      </c>
      <c r="Q85" t="s">
        <v>2101</v>
      </c>
      <c r="R85" t="s">
        <v>159</v>
      </c>
      <c r="S85">
        <v>17</v>
      </c>
      <c r="T85">
        <v>17</v>
      </c>
      <c r="U85">
        <v>134</v>
      </c>
      <c r="V85" t="s">
        <v>2329</v>
      </c>
      <c r="W85" t="s">
        <v>2336</v>
      </c>
      <c r="X85" t="s">
        <v>79</v>
      </c>
    </row>
    <row r="86" spans="1:24">
      <c r="A86">
        <v>13442</v>
      </c>
      <c r="B86" t="s">
        <v>2337</v>
      </c>
      <c r="C86" t="s">
        <v>2162</v>
      </c>
      <c r="E86" t="s">
        <v>2162</v>
      </c>
      <c r="G86">
        <v>1</v>
      </c>
      <c r="H86">
        <v>100</v>
      </c>
      <c r="I86" t="s">
        <v>2328</v>
      </c>
      <c r="J86" t="s">
        <v>2162</v>
      </c>
      <c r="K86">
        <v>14435.43</v>
      </c>
      <c r="L86">
        <v>155.19999999999999</v>
      </c>
      <c r="M86">
        <v>1341</v>
      </c>
      <c r="N86" t="s">
        <v>79</v>
      </c>
      <c r="O86">
        <v>2</v>
      </c>
      <c r="P86" t="s">
        <v>2299</v>
      </c>
      <c r="Q86" t="s">
        <v>2101</v>
      </c>
      <c r="R86" t="s">
        <v>159</v>
      </c>
      <c r="S86">
        <v>6</v>
      </c>
      <c r="T86">
        <v>6</v>
      </c>
      <c r="U86">
        <v>134</v>
      </c>
      <c r="V86" t="s">
        <v>2329</v>
      </c>
      <c r="W86" t="s">
        <v>2338</v>
      </c>
      <c r="X86" t="s">
        <v>79</v>
      </c>
    </row>
    <row r="87" spans="1:24">
      <c r="A87">
        <v>13443</v>
      </c>
      <c r="B87" t="s">
        <v>2339</v>
      </c>
      <c r="C87" t="s">
        <v>2162</v>
      </c>
      <c r="E87" t="s">
        <v>2162</v>
      </c>
      <c r="G87">
        <v>1</v>
      </c>
      <c r="H87">
        <v>100</v>
      </c>
      <c r="I87" t="s">
        <v>2328</v>
      </c>
      <c r="J87" t="s">
        <v>2162</v>
      </c>
      <c r="K87">
        <v>14435.43</v>
      </c>
      <c r="L87">
        <v>155.19999999999999</v>
      </c>
      <c r="M87">
        <v>1341</v>
      </c>
      <c r="N87" t="s">
        <v>79</v>
      </c>
      <c r="O87">
        <v>2</v>
      </c>
      <c r="P87" t="s">
        <v>2299</v>
      </c>
      <c r="Q87" t="s">
        <v>2101</v>
      </c>
      <c r="R87" t="s">
        <v>159</v>
      </c>
      <c r="S87">
        <v>32</v>
      </c>
      <c r="T87">
        <v>32</v>
      </c>
      <c r="U87">
        <v>134</v>
      </c>
      <c r="V87" t="s">
        <v>2329</v>
      </c>
      <c r="W87" t="s">
        <v>2340</v>
      </c>
      <c r="X87" t="s">
        <v>79</v>
      </c>
    </row>
    <row r="88" spans="1:24">
      <c r="A88">
        <v>13444</v>
      </c>
      <c r="B88" t="s">
        <v>2341</v>
      </c>
      <c r="C88" t="s">
        <v>2162</v>
      </c>
      <c r="E88" t="s">
        <v>2162</v>
      </c>
      <c r="G88">
        <v>1</v>
      </c>
      <c r="H88">
        <v>100</v>
      </c>
      <c r="I88" t="s">
        <v>2328</v>
      </c>
      <c r="J88" t="s">
        <v>2162</v>
      </c>
      <c r="K88">
        <v>14435.43</v>
      </c>
      <c r="L88">
        <v>155.19999999999999</v>
      </c>
      <c r="M88">
        <v>1341</v>
      </c>
      <c r="N88" t="s">
        <v>79</v>
      </c>
      <c r="O88">
        <v>2</v>
      </c>
      <c r="P88" t="s">
        <v>2299</v>
      </c>
      <c r="Q88" t="s">
        <v>2101</v>
      </c>
      <c r="R88" t="s">
        <v>159</v>
      </c>
      <c r="S88">
        <v>0</v>
      </c>
      <c r="T88">
        <v>0</v>
      </c>
      <c r="U88">
        <v>134</v>
      </c>
      <c r="V88" t="s">
        <v>2329</v>
      </c>
      <c r="W88" t="s">
        <v>2342</v>
      </c>
      <c r="X88" t="s">
        <v>79</v>
      </c>
    </row>
    <row r="89" spans="1:24">
      <c r="A89">
        <v>13445</v>
      </c>
      <c r="B89" t="s">
        <v>2343</v>
      </c>
      <c r="C89" t="s">
        <v>2162</v>
      </c>
      <c r="E89" t="s">
        <v>2162</v>
      </c>
      <c r="G89">
        <v>1</v>
      </c>
      <c r="H89">
        <v>100</v>
      </c>
      <c r="I89" t="s">
        <v>2328</v>
      </c>
      <c r="J89" t="s">
        <v>2162</v>
      </c>
      <c r="K89">
        <v>14435.43</v>
      </c>
      <c r="L89">
        <v>155.19999999999999</v>
      </c>
      <c r="M89">
        <v>1341</v>
      </c>
      <c r="N89" t="s">
        <v>79</v>
      </c>
      <c r="O89">
        <v>2</v>
      </c>
      <c r="P89" t="s">
        <v>2299</v>
      </c>
      <c r="Q89" t="s">
        <v>2101</v>
      </c>
      <c r="R89" t="s">
        <v>159</v>
      </c>
      <c r="S89">
        <v>1</v>
      </c>
      <c r="T89">
        <v>1</v>
      </c>
      <c r="U89">
        <v>134</v>
      </c>
      <c r="V89" t="s">
        <v>2329</v>
      </c>
      <c r="W89" t="s">
        <v>2344</v>
      </c>
      <c r="X89" t="s">
        <v>79</v>
      </c>
    </row>
    <row r="90" spans="1:24">
      <c r="A90">
        <v>13450</v>
      </c>
      <c r="B90" t="s">
        <v>2345</v>
      </c>
      <c r="C90" t="s">
        <v>2162</v>
      </c>
      <c r="F90" t="s">
        <v>2162</v>
      </c>
      <c r="G90">
        <v>1</v>
      </c>
      <c r="H90">
        <v>100</v>
      </c>
      <c r="I90" t="s">
        <v>2328</v>
      </c>
      <c r="J90" t="s">
        <v>2162</v>
      </c>
      <c r="K90">
        <v>14435.43</v>
      </c>
      <c r="L90">
        <v>155.19999999999999</v>
      </c>
      <c r="M90">
        <v>1341</v>
      </c>
      <c r="N90" t="s">
        <v>79</v>
      </c>
      <c r="O90">
        <v>2</v>
      </c>
      <c r="P90" t="s">
        <v>2299</v>
      </c>
      <c r="Q90" t="s">
        <v>2101</v>
      </c>
      <c r="R90" t="s">
        <v>159</v>
      </c>
      <c r="S90">
        <v>22</v>
      </c>
      <c r="T90">
        <v>23</v>
      </c>
      <c r="U90">
        <v>134</v>
      </c>
      <c r="V90" t="s">
        <v>2329</v>
      </c>
      <c r="W90" t="s">
        <v>2346</v>
      </c>
      <c r="X90" t="s">
        <v>79</v>
      </c>
    </row>
    <row r="91" spans="1:24">
      <c r="A91">
        <v>13455</v>
      </c>
      <c r="B91" t="s">
        <v>2347</v>
      </c>
      <c r="C91" t="s">
        <v>2162</v>
      </c>
      <c r="F91" t="s">
        <v>2162</v>
      </c>
      <c r="G91">
        <v>1</v>
      </c>
      <c r="H91">
        <v>100</v>
      </c>
      <c r="I91" t="s">
        <v>2328</v>
      </c>
      <c r="J91" t="s">
        <v>2162</v>
      </c>
      <c r="K91">
        <v>14435.43</v>
      </c>
      <c r="L91">
        <v>155.19999999999999</v>
      </c>
      <c r="M91">
        <v>1341</v>
      </c>
      <c r="N91" t="s">
        <v>79</v>
      </c>
      <c r="O91">
        <v>1</v>
      </c>
      <c r="P91" t="s">
        <v>2299</v>
      </c>
      <c r="Q91" t="s">
        <v>2101</v>
      </c>
      <c r="R91" t="s">
        <v>159</v>
      </c>
      <c r="S91">
        <v>6</v>
      </c>
      <c r="T91">
        <v>6</v>
      </c>
      <c r="U91">
        <v>134</v>
      </c>
      <c r="V91" t="s">
        <v>2329</v>
      </c>
      <c r="W91" t="s">
        <v>2348</v>
      </c>
      <c r="X91" t="s">
        <v>79</v>
      </c>
    </row>
    <row r="92" spans="1:24">
      <c r="A92">
        <v>13456</v>
      </c>
      <c r="B92" t="s">
        <v>2349</v>
      </c>
      <c r="C92" t="s">
        <v>2162</v>
      </c>
      <c r="E92" t="s">
        <v>2162</v>
      </c>
      <c r="G92">
        <v>1</v>
      </c>
      <c r="H92">
        <v>100</v>
      </c>
      <c r="I92" t="s">
        <v>2328</v>
      </c>
      <c r="J92" t="s">
        <v>2162</v>
      </c>
      <c r="K92">
        <v>14435.43</v>
      </c>
      <c r="L92">
        <v>155.19999999999999</v>
      </c>
      <c r="M92">
        <v>1341</v>
      </c>
      <c r="N92" t="s">
        <v>79</v>
      </c>
      <c r="O92">
        <v>2</v>
      </c>
      <c r="P92" t="s">
        <v>2299</v>
      </c>
      <c r="Q92" t="s">
        <v>2101</v>
      </c>
      <c r="R92" t="s">
        <v>159</v>
      </c>
      <c r="S92">
        <v>51</v>
      </c>
      <c r="T92">
        <v>51</v>
      </c>
      <c r="U92">
        <v>134</v>
      </c>
      <c r="V92" t="s">
        <v>2329</v>
      </c>
      <c r="W92" t="s">
        <v>2350</v>
      </c>
      <c r="X92" t="s">
        <v>79</v>
      </c>
    </row>
    <row r="93" spans="1:24">
      <c r="A93">
        <v>13460</v>
      </c>
      <c r="B93" t="s">
        <v>2351</v>
      </c>
      <c r="C93" t="s">
        <v>2162</v>
      </c>
      <c r="F93" t="s">
        <v>2162</v>
      </c>
      <c r="G93">
        <v>1</v>
      </c>
      <c r="H93">
        <v>100</v>
      </c>
      <c r="I93" t="s">
        <v>2328</v>
      </c>
      <c r="J93" t="s">
        <v>2162</v>
      </c>
      <c r="K93">
        <v>14435.43</v>
      </c>
      <c r="L93">
        <v>155.19999999999999</v>
      </c>
      <c r="M93">
        <v>1341</v>
      </c>
      <c r="N93" t="s">
        <v>79</v>
      </c>
      <c r="O93">
        <v>1</v>
      </c>
      <c r="P93" t="s">
        <v>2299</v>
      </c>
      <c r="Q93" t="s">
        <v>2101</v>
      </c>
      <c r="R93" t="s">
        <v>159</v>
      </c>
      <c r="S93">
        <v>28</v>
      </c>
      <c r="T93">
        <v>28</v>
      </c>
      <c r="U93">
        <v>134</v>
      </c>
      <c r="V93" t="s">
        <v>2329</v>
      </c>
      <c r="W93" t="s">
        <v>2352</v>
      </c>
      <c r="X93" t="s">
        <v>79</v>
      </c>
    </row>
    <row r="94" spans="1:24">
      <c r="A94">
        <v>13462</v>
      </c>
      <c r="B94" t="s">
        <v>2353</v>
      </c>
      <c r="C94" t="s">
        <v>2162</v>
      </c>
      <c r="F94" t="s">
        <v>2162</v>
      </c>
      <c r="G94">
        <v>1</v>
      </c>
      <c r="H94">
        <v>100</v>
      </c>
      <c r="I94" t="s">
        <v>2328</v>
      </c>
      <c r="J94" t="s">
        <v>2162</v>
      </c>
      <c r="K94">
        <v>14435.43</v>
      </c>
      <c r="L94">
        <v>155.19999999999999</v>
      </c>
      <c r="M94">
        <v>1341</v>
      </c>
      <c r="N94" t="s">
        <v>79</v>
      </c>
      <c r="O94">
        <v>1</v>
      </c>
      <c r="P94" t="s">
        <v>2299</v>
      </c>
      <c r="Q94" t="s">
        <v>2101</v>
      </c>
      <c r="R94" t="s">
        <v>159</v>
      </c>
      <c r="S94">
        <v>149</v>
      </c>
      <c r="T94">
        <v>152</v>
      </c>
      <c r="U94">
        <v>134</v>
      </c>
      <c r="V94" t="s">
        <v>2329</v>
      </c>
      <c r="W94" t="s">
        <v>2354</v>
      </c>
      <c r="X94" t="s">
        <v>79</v>
      </c>
    </row>
    <row r="95" spans="1:24">
      <c r="A95">
        <v>13464</v>
      </c>
      <c r="B95" t="s">
        <v>2355</v>
      </c>
      <c r="C95" t="s">
        <v>2162</v>
      </c>
      <c r="F95" t="s">
        <v>2162</v>
      </c>
      <c r="G95">
        <v>1</v>
      </c>
      <c r="H95">
        <v>100</v>
      </c>
      <c r="I95" t="s">
        <v>2328</v>
      </c>
      <c r="J95" t="s">
        <v>2162</v>
      </c>
      <c r="K95">
        <v>14435.43</v>
      </c>
      <c r="L95">
        <v>155.19999999999999</v>
      </c>
      <c r="M95">
        <v>1341</v>
      </c>
      <c r="N95" t="s">
        <v>79</v>
      </c>
      <c r="O95">
        <v>1</v>
      </c>
      <c r="P95" t="s">
        <v>2100</v>
      </c>
      <c r="Q95" t="s">
        <v>2101</v>
      </c>
      <c r="R95" t="s">
        <v>159</v>
      </c>
      <c r="S95">
        <v>56</v>
      </c>
      <c r="T95">
        <v>56</v>
      </c>
      <c r="U95">
        <v>134</v>
      </c>
      <c r="V95" t="s">
        <v>2329</v>
      </c>
      <c r="W95" t="s">
        <v>2356</v>
      </c>
      <c r="X95" t="s">
        <v>79</v>
      </c>
    </row>
    <row r="96" spans="1:24">
      <c r="A96">
        <v>13466</v>
      </c>
      <c r="B96" t="s">
        <v>2357</v>
      </c>
      <c r="C96" t="s">
        <v>2162</v>
      </c>
      <c r="F96" t="s">
        <v>2162</v>
      </c>
      <c r="G96">
        <v>1</v>
      </c>
      <c r="H96">
        <v>100</v>
      </c>
      <c r="I96" t="s">
        <v>2328</v>
      </c>
      <c r="J96" t="s">
        <v>2162</v>
      </c>
      <c r="K96">
        <v>14435.43</v>
      </c>
      <c r="L96">
        <v>155.19999999999999</v>
      </c>
      <c r="M96">
        <v>1341</v>
      </c>
      <c r="N96" t="s">
        <v>79</v>
      </c>
      <c r="O96">
        <v>1</v>
      </c>
      <c r="P96" t="s">
        <v>2299</v>
      </c>
      <c r="Q96" t="s">
        <v>2101</v>
      </c>
      <c r="R96" t="s">
        <v>159</v>
      </c>
      <c r="S96">
        <v>18</v>
      </c>
      <c r="T96">
        <v>18</v>
      </c>
      <c r="U96">
        <v>134</v>
      </c>
      <c r="V96" t="s">
        <v>2329</v>
      </c>
      <c r="W96" t="s">
        <v>2358</v>
      </c>
      <c r="X96" t="s">
        <v>79</v>
      </c>
    </row>
    <row r="97" spans="1:24">
      <c r="A97">
        <v>13470</v>
      </c>
      <c r="B97" t="s">
        <v>2359</v>
      </c>
      <c r="C97" t="s">
        <v>2162</v>
      </c>
      <c r="F97" t="s">
        <v>2162</v>
      </c>
      <c r="G97">
        <v>1</v>
      </c>
      <c r="H97">
        <v>100</v>
      </c>
      <c r="I97" t="s">
        <v>2328</v>
      </c>
      <c r="J97" t="s">
        <v>2162</v>
      </c>
      <c r="K97">
        <v>14435.43</v>
      </c>
      <c r="L97">
        <v>155.19999999999999</v>
      </c>
      <c r="M97">
        <v>1341</v>
      </c>
      <c r="N97" t="s">
        <v>79</v>
      </c>
      <c r="O97">
        <v>3</v>
      </c>
      <c r="P97" t="s">
        <v>2315</v>
      </c>
      <c r="Q97" t="s">
        <v>2101</v>
      </c>
      <c r="R97" t="s">
        <v>159</v>
      </c>
      <c r="S97">
        <v>107</v>
      </c>
      <c r="T97">
        <v>111</v>
      </c>
      <c r="U97">
        <v>134</v>
      </c>
      <c r="V97" t="s">
        <v>2329</v>
      </c>
      <c r="W97" t="s">
        <v>2360</v>
      </c>
      <c r="X97" t="s">
        <v>79</v>
      </c>
    </row>
    <row r="98" spans="1:24">
      <c r="A98">
        <v>13471</v>
      </c>
      <c r="B98" t="s">
        <v>2361</v>
      </c>
      <c r="C98" t="s">
        <v>2162</v>
      </c>
      <c r="F98" t="s">
        <v>2162</v>
      </c>
      <c r="G98">
        <v>1</v>
      </c>
      <c r="H98">
        <v>100</v>
      </c>
      <c r="I98" t="s">
        <v>2328</v>
      </c>
      <c r="J98" t="s">
        <v>2162</v>
      </c>
      <c r="K98">
        <v>14435.43</v>
      </c>
      <c r="L98">
        <v>155.19999999999999</v>
      </c>
      <c r="M98">
        <v>1341</v>
      </c>
      <c r="N98" t="s">
        <v>79</v>
      </c>
      <c r="O98">
        <v>3</v>
      </c>
      <c r="P98" t="s">
        <v>2299</v>
      </c>
      <c r="Q98" t="s">
        <v>2101</v>
      </c>
      <c r="R98" t="s">
        <v>159</v>
      </c>
      <c r="S98">
        <v>79</v>
      </c>
      <c r="T98">
        <v>79</v>
      </c>
      <c r="U98">
        <v>134</v>
      </c>
      <c r="V98" t="s">
        <v>2329</v>
      </c>
      <c r="W98" t="s">
        <v>2362</v>
      </c>
      <c r="X98" t="s">
        <v>79</v>
      </c>
    </row>
    <row r="99" spans="1:24">
      <c r="A99">
        <v>13510</v>
      </c>
      <c r="B99" t="s">
        <v>2363</v>
      </c>
      <c r="C99" t="s">
        <v>2364</v>
      </c>
      <c r="F99" t="s">
        <v>2364</v>
      </c>
      <c r="G99">
        <v>19</v>
      </c>
      <c r="H99">
        <v>1000</v>
      </c>
      <c r="I99" t="s">
        <v>2365</v>
      </c>
      <c r="J99" t="s">
        <v>2364</v>
      </c>
      <c r="K99">
        <v>106679.27</v>
      </c>
      <c r="M99">
        <v>1352</v>
      </c>
      <c r="N99" t="s">
        <v>79</v>
      </c>
      <c r="O99">
        <v>2</v>
      </c>
      <c r="P99" t="s">
        <v>2243</v>
      </c>
      <c r="Q99" t="s">
        <v>2244</v>
      </c>
      <c r="R99" t="s">
        <v>2102</v>
      </c>
      <c r="S99">
        <v>359</v>
      </c>
      <c r="T99">
        <v>373</v>
      </c>
      <c r="U99">
        <v>135</v>
      </c>
      <c r="V99" t="s">
        <v>2249</v>
      </c>
      <c r="W99" t="s">
        <v>2366</v>
      </c>
      <c r="X99" t="s">
        <v>79</v>
      </c>
    </row>
    <row r="100" spans="1:24">
      <c r="A100">
        <v>13511</v>
      </c>
      <c r="B100" t="s">
        <v>2367</v>
      </c>
      <c r="C100" t="s">
        <v>2364</v>
      </c>
      <c r="F100" t="s">
        <v>2364</v>
      </c>
      <c r="G100">
        <v>19</v>
      </c>
      <c r="H100">
        <v>1000</v>
      </c>
      <c r="I100" t="s">
        <v>2368</v>
      </c>
      <c r="J100" t="s">
        <v>2364</v>
      </c>
      <c r="K100">
        <v>379962.57</v>
      </c>
      <c r="M100">
        <v>1353</v>
      </c>
      <c r="N100" t="s">
        <v>79</v>
      </c>
      <c r="P100" t="s">
        <v>2243</v>
      </c>
      <c r="Q100" t="s">
        <v>2244</v>
      </c>
      <c r="R100" t="s">
        <v>2102</v>
      </c>
      <c r="S100">
        <v>2</v>
      </c>
      <c r="T100">
        <v>4</v>
      </c>
      <c r="U100">
        <v>135</v>
      </c>
      <c r="V100" t="s">
        <v>2249</v>
      </c>
      <c r="W100" t="s">
        <v>2369</v>
      </c>
      <c r="X100" t="s">
        <v>79</v>
      </c>
    </row>
    <row r="101" spans="1:24">
      <c r="A101">
        <v>13512</v>
      </c>
      <c r="B101" t="s">
        <v>2370</v>
      </c>
      <c r="C101" t="s">
        <v>2364</v>
      </c>
      <c r="F101" t="s">
        <v>2364</v>
      </c>
      <c r="G101">
        <v>19</v>
      </c>
      <c r="H101">
        <v>1000</v>
      </c>
      <c r="I101" t="s">
        <v>2365</v>
      </c>
      <c r="J101" t="s">
        <v>2364</v>
      </c>
      <c r="K101">
        <v>106679.27</v>
      </c>
      <c r="M101">
        <v>1352</v>
      </c>
      <c r="N101" t="s">
        <v>79</v>
      </c>
      <c r="P101" t="s">
        <v>2243</v>
      </c>
      <c r="Q101" t="s">
        <v>2244</v>
      </c>
      <c r="R101" t="s">
        <v>2102</v>
      </c>
      <c r="S101">
        <v>0</v>
      </c>
      <c r="T101">
        <v>0</v>
      </c>
      <c r="U101">
        <v>135</v>
      </c>
      <c r="V101" t="s">
        <v>2249</v>
      </c>
      <c r="W101" t="s">
        <v>2371</v>
      </c>
      <c r="X101" t="s">
        <v>79</v>
      </c>
    </row>
    <row r="102" spans="1:24">
      <c r="A102">
        <v>13513</v>
      </c>
      <c r="B102" t="s">
        <v>2372</v>
      </c>
      <c r="C102" t="s">
        <v>2364</v>
      </c>
      <c r="F102" t="s">
        <v>2364</v>
      </c>
      <c r="G102">
        <v>19</v>
      </c>
      <c r="H102">
        <v>1000</v>
      </c>
      <c r="I102" t="s">
        <v>2368</v>
      </c>
      <c r="J102" t="s">
        <v>2364</v>
      </c>
      <c r="K102">
        <v>379962.57</v>
      </c>
      <c r="M102">
        <v>1353</v>
      </c>
      <c r="N102" t="s">
        <v>79</v>
      </c>
      <c r="P102" t="s">
        <v>2243</v>
      </c>
      <c r="Q102" t="s">
        <v>2244</v>
      </c>
      <c r="R102" t="s">
        <v>2102</v>
      </c>
      <c r="S102">
        <v>0</v>
      </c>
      <c r="T102">
        <v>0</v>
      </c>
      <c r="U102">
        <v>135</v>
      </c>
      <c r="V102" t="s">
        <v>2249</v>
      </c>
      <c r="W102" t="s">
        <v>2373</v>
      </c>
      <c r="X102" t="s">
        <v>79</v>
      </c>
    </row>
    <row r="103" spans="1:24">
      <c r="A103">
        <v>13515</v>
      </c>
      <c r="B103" t="s">
        <v>2374</v>
      </c>
      <c r="C103" t="s">
        <v>2364</v>
      </c>
      <c r="F103" t="s">
        <v>2364</v>
      </c>
      <c r="G103">
        <v>19</v>
      </c>
      <c r="H103">
        <v>1000</v>
      </c>
      <c r="I103" t="s">
        <v>2368</v>
      </c>
      <c r="J103" t="s">
        <v>2364</v>
      </c>
      <c r="K103">
        <v>379962.57</v>
      </c>
      <c r="M103">
        <v>1353</v>
      </c>
      <c r="N103" t="s">
        <v>79</v>
      </c>
      <c r="P103" t="s">
        <v>2243</v>
      </c>
      <c r="Q103" t="s">
        <v>2244</v>
      </c>
      <c r="R103" t="s">
        <v>2102</v>
      </c>
      <c r="S103">
        <v>0</v>
      </c>
      <c r="T103">
        <v>0</v>
      </c>
      <c r="U103">
        <v>135</v>
      </c>
      <c r="V103" t="s">
        <v>2249</v>
      </c>
      <c r="W103" t="s">
        <v>2375</v>
      </c>
      <c r="X103" t="s">
        <v>79</v>
      </c>
    </row>
    <row r="104" spans="1:24">
      <c r="A104">
        <v>13520</v>
      </c>
      <c r="B104" t="s">
        <v>2376</v>
      </c>
      <c r="C104" t="s">
        <v>2364</v>
      </c>
      <c r="F104" t="s">
        <v>2364</v>
      </c>
      <c r="G104">
        <v>19</v>
      </c>
      <c r="H104">
        <v>1000</v>
      </c>
      <c r="I104" t="s">
        <v>2368</v>
      </c>
      <c r="J104" t="s">
        <v>2364</v>
      </c>
      <c r="K104">
        <v>379962.57</v>
      </c>
      <c r="M104">
        <v>1353</v>
      </c>
      <c r="N104" t="s">
        <v>79</v>
      </c>
      <c r="O104">
        <v>3</v>
      </c>
      <c r="P104" t="s">
        <v>2243</v>
      </c>
      <c r="Q104" t="s">
        <v>2244</v>
      </c>
      <c r="R104" t="s">
        <v>2102</v>
      </c>
      <c r="S104">
        <v>351</v>
      </c>
      <c r="T104">
        <v>364</v>
      </c>
      <c r="U104">
        <v>135</v>
      </c>
      <c r="V104" t="s">
        <v>2249</v>
      </c>
      <c r="W104" t="s">
        <v>2377</v>
      </c>
      <c r="X104" t="s">
        <v>79</v>
      </c>
    </row>
    <row r="105" spans="1:24">
      <c r="A105">
        <v>13521</v>
      </c>
      <c r="B105" t="s">
        <v>2378</v>
      </c>
      <c r="C105" t="s">
        <v>2364</v>
      </c>
      <c r="F105" t="s">
        <v>2364</v>
      </c>
      <c r="G105">
        <v>19</v>
      </c>
      <c r="H105">
        <v>1000</v>
      </c>
      <c r="I105" t="s">
        <v>2365</v>
      </c>
      <c r="J105" t="s">
        <v>2364</v>
      </c>
      <c r="K105">
        <v>106679.27</v>
      </c>
      <c r="M105">
        <v>1352</v>
      </c>
      <c r="N105" t="s">
        <v>79</v>
      </c>
      <c r="P105" t="s">
        <v>2243</v>
      </c>
      <c r="Q105" t="s">
        <v>2244</v>
      </c>
      <c r="R105" t="s">
        <v>2102</v>
      </c>
      <c r="S105">
        <v>1</v>
      </c>
      <c r="T105">
        <v>1</v>
      </c>
      <c r="U105">
        <v>135</v>
      </c>
      <c r="V105" t="s">
        <v>2249</v>
      </c>
      <c r="W105" t="s">
        <v>2379</v>
      </c>
      <c r="X105" t="s">
        <v>79</v>
      </c>
    </row>
    <row r="106" spans="1:24">
      <c r="A106">
        <v>13531</v>
      </c>
      <c r="B106" t="s">
        <v>2380</v>
      </c>
      <c r="C106" t="s">
        <v>2364</v>
      </c>
      <c r="F106" t="s">
        <v>2364</v>
      </c>
      <c r="G106">
        <v>19</v>
      </c>
      <c r="H106">
        <v>1000</v>
      </c>
      <c r="I106" t="s">
        <v>2368</v>
      </c>
      <c r="J106" t="s">
        <v>2364</v>
      </c>
      <c r="K106">
        <v>379962.57</v>
      </c>
      <c r="M106">
        <v>1353</v>
      </c>
      <c r="N106" t="s">
        <v>79</v>
      </c>
      <c r="P106" t="s">
        <v>2243</v>
      </c>
      <c r="Q106" t="s">
        <v>2244</v>
      </c>
      <c r="R106" t="s">
        <v>2102</v>
      </c>
      <c r="S106">
        <v>0</v>
      </c>
      <c r="T106">
        <v>3</v>
      </c>
      <c r="U106">
        <v>135</v>
      </c>
      <c r="V106" t="s">
        <v>2249</v>
      </c>
      <c r="W106" t="s">
        <v>2381</v>
      </c>
      <c r="X106" t="s">
        <v>79</v>
      </c>
    </row>
    <row r="107" spans="1:24">
      <c r="A107">
        <v>13532</v>
      </c>
      <c r="B107" t="s">
        <v>2382</v>
      </c>
      <c r="C107" t="s">
        <v>2364</v>
      </c>
      <c r="F107" t="s">
        <v>2364</v>
      </c>
      <c r="G107">
        <v>19</v>
      </c>
      <c r="H107">
        <v>1000</v>
      </c>
      <c r="I107" t="s">
        <v>2368</v>
      </c>
      <c r="J107" t="s">
        <v>2364</v>
      </c>
      <c r="K107">
        <v>379962.57</v>
      </c>
      <c r="M107">
        <v>1353</v>
      </c>
      <c r="N107" t="s">
        <v>79</v>
      </c>
      <c r="P107" t="s">
        <v>2243</v>
      </c>
      <c r="Q107" t="s">
        <v>2244</v>
      </c>
      <c r="R107" t="s">
        <v>2102</v>
      </c>
      <c r="S107">
        <v>0</v>
      </c>
      <c r="T107">
        <v>0</v>
      </c>
      <c r="U107">
        <v>135</v>
      </c>
      <c r="V107" t="s">
        <v>2249</v>
      </c>
      <c r="W107" t="s">
        <v>2383</v>
      </c>
      <c r="X107" t="s">
        <v>79</v>
      </c>
    </row>
    <row r="108" spans="1:24">
      <c r="A108">
        <v>13533</v>
      </c>
      <c r="B108" t="s">
        <v>2384</v>
      </c>
      <c r="C108" t="s">
        <v>2364</v>
      </c>
      <c r="F108" t="s">
        <v>2364</v>
      </c>
      <c r="G108">
        <v>19</v>
      </c>
      <c r="H108">
        <v>1000</v>
      </c>
      <c r="I108" t="s">
        <v>2385</v>
      </c>
      <c r="J108" t="s">
        <v>2364</v>
      </c>
      <c r="K108">
        <v>107403.32</v>
      </c>
      <c r="M108">
        <v>1354</v>
      </c>
      <c r="N108" t="s">
        <v>79</v>
      </c>
      <c r="P108" t="s">
        <v>2243</v>
      </c>
      <c r="Q108" t="s">
        <v>2244</v>
      </c>
      <c r="R108" t="s">
        <v>2102</v>
      </c>
      <c r="S108">
        <v>0</v>
      </c>
      <c r="T108">
        <v>0</v>
      </c>
      <c r="U108">
        <v>135</v>
      </c>
      <c r="V108" t="s">
        <v>2249</v>
      </c>
      <c r="W108" t="s">
        <v>2386</v>
      </c>
      <c r="X108" t="s">
        <v>79</v>
      </c>
    </row>
    <row r="109" spans="1:24">
      <c r="A109">
        <v>13534</v>
      </c>
      <c r="B109" t="s">
        <v>2387</v>
      </c>
      <c r="C109" t="s">
        <v>2364</v>
      </c>
      <c r="F109" t="s">
        <v>2364</v>
      </c>
      <c r="G109">
        <v>19</v>
      </c>
      <c r="H109">
        <v>1000</v>
      </c>
      <c r="I109" t="s">
        <v>2368</v>
      </c>
      <c r="J109" t="s">
        <v>2364</v>
      </c>
      <c r="K109">
        <v>379962.57</v>
      </c>
      <c r="M109">
        <v>1353</v>
      </c>
      <c r="N109" t="s">
        <v>79</v>
      </c>
      <c r="P109" t="s">
        <v>2243</v>
      </c>
      <c r="Q109" t="s">
        <v>2244</v>
      </c>
      <c r="R109" t="s">
        <v>2102</v>
      </c>
      <c r="S109">
        <v>0</v>
      </c>
      <c r="T109">
        <v>0</v>
      </c>
      <c r="U109">
        <v>135</v>
      </c>
      <c r="V109" t="s">
        <v>2249</v>
      </c>
      <c r="W109" t="s">
        <v>2388</v>
      </c>
      <c r="X109" t="s">
        <v>79</v>
      </c>
    </row>
    <row r="110" spans="1:24">
      <c r="A110">
        <v>13610</v>
      </c>
      <c r="B110" t="s">
        <v>2389</v>
      </c>
      <c r="C110" t="s">
        <v>2098</v>
      </c>
      <c r="F110" t="s">
        <v>2098</v>
      </c>
      <c r="G110">
        <v>6500</v>
      </c>
      <c r="H110">
        <v>200000</v>
      </c>
      <c r="I110" t="s">
        <v>2390</v>
      </c>
      <c r="J110" t="s">
        <v>2098</v>
      </c>
      <c r="K110">
        <v>469.28</v>
      </c>
      <c r="L110">
        <v>10.54</v>
      </c>
      <c r="M110">
        <v>1361</v>
      </c>
      <c r="N110" t="s">
        <v>79</v>
      </c>
      <c r="O110">
        <v>1</v>
      </c>
      <c r="P110" t="s">
        <v>2299</v>
      </c>
      <c r="Q110" t="s">
        <v>2101</v>
      </c>
      <c r="R110" t="s">
        <v>159</v>
      </c>
      <c r="S110">
        <v>38</v>
      </c>
      <c r="T110">
        <v>39</v>
      </c>
      <c r="U110">
        <v>136</v>
      </c>
      <c r="V110" t="s">
        <v>2390</v>
      </c>
      <c r="W110" t="s">
        <v>2391</v>
      </c>
      <c r="X110" t="s">
        <v>79</v>
      </c>
    </row>
    <row r="111" spans="1:24">
      <c r="A111">
        <v>13620</v>
      </c>
      <c r="B111" t="s">
        <v>2392</v>
      </c>
      <c r="C111" t="s">
        <v>2098</v>
      </c>
      <c r="F111" t="s">
        <v>2098</v>
      </c>
      <c r="G111">
        <v>6500</v>
      </c>
      <c r="H111">
        <v>200000</v>
      </c>
      <c r="I111" t="s">
        <v>2390</v>
      </c>
      <c r="J111" t="s">
        <v>2098</v>
      </c>
      <c r="K111">
        <v>469.28</v>
      </c>
      <c r="L111">
        <v>10.54</v>
      </c>
      <c r="M111">
        <v>1361</v>
      </c>
      <c r="N111" t="s">
        <v>79</v>
      </c>
      <c r="O111">
        <v>1</v>
      </c>
      <c r="P111" t="s">
        <v>2299</v>
      </c>
      <c r="Q111" t="s">
        <v>2101</v>
      </c>
      <c r="R111" t="s">
        <v>159</v>
      </c>
      <c r="S111">
        <v>54</v>
      </c>
      <c r="T111">
        <v>55</v>
      </c>
      <c r="U111">
        <v>136</v>
      </c>
      <c r="V111" t="s">
        <v>2390</v>
      </c>
      <c r="W111" t="s">
        <v>2393</v>
      </c>
      <c r="X111" t="s">
        <v>79</v>
      </c>
    </row>
    <row r="112" spans="1:24">
      <c r="A112">
        <v>13630</v>
      </c>
      <c r="B112" t="s">
        <v>2394</v>
      </c>
      <c r="C112" t="s">
        <v>2098</v>
      </c>
      <c r="F112" t="s">
        <v>2098</v>
      </c>
      <c r="G112">
        <v>6500</v>
      </c>
      <c r="H112">
        <v>200000</v>
      </c>
      <c r="I112" t="s">
        <v>2390</v>
      </c>
      <c r="J112" t="s">
        <v>2098</v>
      </c>
      <c r="K112">
        <v>469.28</v>
      </c>
      <c r="L112">
        <v>10.54</v>
      </c>
      <c r="M112">
        <v>1361</v>
      </c>
      <c r="N112" t="s">
        <v>79</v>
      </c>
      <c r="O112">
        <v>1</v>
      </c>
      <c r="P112" t="s">
        <v>2299</v>
      </c>
      <c r="Q112" t="s">
        <v>2101</v>
      </c>
      <c r="R112" t="s">
        <v>159</v>
      </c>
      <c r="S112">
        <v>69</v>
      </c>
      <c r="T112">
        <v>69</v>
      </c>
      <c r="U112">
        <v>136</v>
      </c>
      <c r="V112" t="s">
        <v>2390</v>
      </c>
      <c r="W112" t="s">
        <v>2395</v>
      </c>
      <c r="X112" t="s">
        <v>79</v>
      </c>
    </row>
    <row r="113" spans="1:24">
      <c r="A113">
        <v>13635</v>
      </c>
      <c r="B113" t="s">
        <v>2396</v>
      </c>
      <c r="C113" t="s">
        <v>2098</v>
      </c>
      <c r="F113" t="s">
        <v>2098</v>
      </c>
      <c r="G113">
        <v>6500</v>
      </c>
      <c r="H113">
        <v>200000</v>
      </c>
      <c r="I113" t="s">
        <v>2390</v>
      </c>
      <c r="J113" t="s">
        <v>2098</v>
      </c>
      <c r="K113">
        <v>469.28</v>
      </c>
      <c r="L113">
        <v>10.54</v>
      </c>
      <c r="M113">
        <v>1361</v>
      </c>
      <c r="N113" t="s">
        <v>79</v>
      </c>
      <c r="O113">
        <v>1</v>
      </c>
      <c r="P113" t="s">
        <v>2299</v>
      </c>
      <c r="Q113" t="s">
        <v>2101</v>
      </c>
      <c r="R113" t="s">
        <v>159</v>
      </c>
      <c r="S113">
        <v>13</v>
      </c>
      <c r="T113">
        <v>14</v>
      </c>
      <c r="U113">
        <v>136</v>
      </c>
      <c r="V113" t="s">
        <v>2390</v>
      </c>
      <c r="W113" t="s">
        <v>2397</v>
      </c>
      <c r="X113" t="s">
        <v>79</v>
      </c>
    </row>
    <row r="114" spans="1:24">
      <c r="A114">
        <v>13636</v>
      </c>
      <c r="B114" t="s">
        <v>2398</v>
      </c>
      <c r="C114" t="s">
        <v>2162</v>
      </c>
      <c r="F114" t="s">
        <v>2162</v>
      </c>
      <c r="G114">
        <v>20</v>
      </c>
      <c r="H114">
        <v>650</v>
      </c>
      <c r="I114" t="s">
        <v>2399</v>
      </c>
      <c r="J114" t="s">
        <v>2162</v>
      </c>
      <c r="K114">
        <v>2412.71</v>
      </c>
      <c r="L114">
        <v>140.96</v>
      </c>
      <c r="M114">
        <v>1362</v>
      </c>
      <c r="N114" t="s">
        <v>125</v>
      </c>
      <c r="O114">
        <v>1</v>
      </c>
      <c r="P114" t="s">
        <v>2299</v>
      </c>
      <c r="Q114" t="s">
        <v>2101</v>
      </c>
      <c r="R114" t="s">
        <v>159</v>
      </c>
      <c r="S114">
        <v>36</v>
      </c>
      <c r="T114">
        <v>39</v>
      </c>
      <c r="U114">
        <v>136</v>
      </c>
      <c r="V114" t="s">
        <v>2390</v>
      </c>
      <c r="W114" t="s">
        <v>2400</v>
      </c>
      <c r="X114" t="s">
        <v>79</v>
      </c>
    </row>
    <row r="115" spans="1:24">
      <c r="A115">
        <v>13645</v>
      </c>
      <c r="B115" t="s">
        <v>2401</v>
      </c>
      <c r="C115" t="s">
        <v>2162</v>
      </c>
      <c r="F115" t="s">
        <v>2162</v>
      </c>
      <c r="G115">
        <v>20</v>
      </c>
      <c r="H115">
        <v>650</v>
      </c>
      <c r="I115" t="s">
        <v>2399</v>
      </c>
      <c r="J115" t="s">
        <v>2162</v>
      </c>
      <c r="K115">
        <v>2412.71</v>
      </c>
      <c r="L115">
        <v>140.96</v>
      </c>
      <c r="M115">
        <v>1362</v>
      </c>
      <c r="N115" t="s">
        <v>79</v>
      </c>
      <c r="O115">
        <v>1</v>
      </c>
      <c r="P115" t="s">
        <v>2299</v>
      </c>
      <c r="Q115" t="s">
        <v>2101</v>
      </c>
      <c r="R115" t="s">
        <v>159</v>
      </c>
      <c r="S115">
        <v>19</v>
      </c>
      <c r="T115">
        <v>19</v>
      </c>
      <c r="U115">
        <v>136</v>
      </c>
      <c r="V115" t="s">
        <v>2390</v>
      </c>
      <c r="W115" t="s">
        <v>2402</v>
      </c>
      <c r="X115" t="s">
        <v>79</v>
      </c>
    </row>
    <row r="116" spans="1:24">
      <c r="A116">
        <v>13650</v>
      </c>
      <c r="B116" t="s">
        <v>2403</v>
      </c>
      <c r="C116" t="s">
        <v>2098</v>
      </c>
      <c r="F116" t="s">
        <v>2098</v>
      </c>
      <c r="G116">
        <v>6500</v>
      </c>
      <c r="H116">
        <v>200000</v>
      </c>
      <c r="I116" t="s">
        <v>2390</v>
      </c>
      <c r="J116" t="s">
        <v>2098</v>
      </c>
      <c r="K116">
        <v>469.28</v>
      </c>
      <c r="L116">
        <v>10.54</v>
      </c>
      <c r="M116">
        <v>1361</v>
      </c>
      <c r="N116" t="s">
        <v>79</v>
      </c>
      <c r="O116">
        <v>1</v>
      </c>
      <c r="P116" t="s">
        <v>2299</v>
      </c>
      <c r="Q116" t="s">
        <v>2101</v>
      </c>
      <c r="R116" t="s">
        <v>159</v>
      </c>
      <c r="S116">
        <v>88</v>
      </c>
      <c r="T116">
        <v>90</v>
      </c>
      <c r="U116">
        <v>136</v>
      </c>
      <c r="V116" t="s">
        <v>2390</v>
      </c>
      <c r="W116" t="s">
        <v>2404</v>
      </c>
      <c r="X116" t="s">
        <v>79</v>
      </c>
    </row>
    <row r="117" spans="1:24">
      <c r="A117">
        <v>13655</v>
      </c>
      <c r="B117" t="s">
        <v>2405</v>
      </c>
      <c r="C117" t="s">
        <v>2162</v>
      </c>
      <c r="F117" t="s">
        <v>2162</v>
      </c>
      <c r="G117">
        <v>20</v>
      </c>
      <c r="H117">
        <v>650</v>
      </c>
      <c r="I117" t="s">
        <v>2399</v>
      </c>
      <c r="J117" t="s">
        <v>2162</v>
      </c>
      <c r="K117">
        <v>2412.71</v>
      </c>
      <c r="L117">
        <v>140.96</v>
      </c>
      <c r="M117">
        <v>1362</v>
      </c>
      <c r="N117" t="s">
        <v>79</v>
      </c>
      <c r="O117">
        <v>1</v>
      </c>
      <c r="P117" t="s">
        <v>2299</v>
      </c>
      <c r="Q117" t="s">
        <v>2101</v>
      </c>
      <c r="R117" t="s">
        <v>159</v>
      </c>
      <c r="S117">
        <v>3</v>
      </c>
      <c r="T117">
        <v>4</v>
      </c>
      <c r="U117">
        <v>136</v>
      </c>
      <c r="V117" t="s">
        <v>2390</v>
      </c>
      <c r="W117" t="s">
        <v>2406</v>
      </c>
      <c r="X117" t="s">
        <v>79</v>
      </c>
    </row>
    <row r="118" spans="1:24">
      <c r="A118">
        <v>13660</v>
      </c>
      <c r="B118" t="s">
        <v>2407</v>
      </c>
      <c r="C118" t="s">
        <v>2162</v>
      </c>
      <c r="F118" t="s">
        <v>2162</v>
      </c>
      <c r="G118">
        <v>20</v>
      </c>
      <c r="H118">
        <v>650</v>
      </c>
      <c r="I118" t="s">
        <v>2399</v>
      </c>
      <c r="J118" t="s">
        <v>2162</v>
      </c>
      <c r="K118">
        <v>2412.71</v>
      </c>
      <c r="L118">
        <v>140.96</v>
      </c>
      <c r="M118">
        <v>1362</v>
      </c>
      <c r="N118" t="s">
        <v>79</v>
      </c>
      <c r="O118">
        <v>1</v>
      </c>
      <c r="P118" t="s">
        <v>2299</v>
      </c>
      <c r="Q118" t="s">
        <v>2101</v>
      </c>
      <c r="R118" t="s">
        <v>159</v>
      </c>
      <c r="S118">
        <v>63</v>
      </c>
      <c r="T118">
        <v>65</v>
      </c>
      <c r="U118">
        <v>136</v>
      </c>
      <c r="V118" t="s">
        <v>2390</v>
      </c>
      <c r="W118" t="s">
        <v>2408</v>
      </c>
      <c r="X118" t="s">
        <v>79</v>
      </c>
    </row>
    <row r="119" spans="1:24">
      <c r="A119">
        <v>13665</v>
      </c>
      <c r="B119" t="s">
        <v>2409</v>
      </c>
      <c r="C119" t="s">
        <v>2098</v>
      </c>
      <c r="F119" t="s">
        <v>2098</v>
      </c>
      <c r="G119">
        <v>6500</v>
      </c>
      <c r="H119">
        <v>200000</v>
      </c>
      <c r="I119" t="s">
        <v>2390</v>
      </c>
      <c r="J119" t="s">
        <v>2098</v>
      </c>
      <c r="K119">
        <v>469.28</v>
      </c>
      <c r="L119">
        <v>10.54</v>
      </c>
      <c r="M119">
        <v>1361</v>
      </c>
      <c r="N119" t="s">
        <v>79</v>
      </c>
      <c r="O119">
        <v>2</v>
      </c>
      <c r="P119" t="s">
        <v>2299</v>
      </c>
      <c r="Q119" t="s">
        <v>2101</v>
      </c>
      <c r="R119" t="s">
        <v>159</v>
      </c>
      <c r="S119">
        <v>31</v>
      </c>
      <c r="T119">
        <v>46</v>
      </c>
      <c r="U119">
        <v>136</v>
      </c>
      <c r="V119" t="s">
        <v>2390</v>
      </c>
      <c r="W119" t="s">
        <v>2410</v>
      </c>
      <c r="X119" t="s">
        <v>79</v>
      </c>
    </row>
    <row r="120" spans="1:24">
      <c r="A120">
        <v>13720</v>
      </c>
      <c r="B120" t="s">
        <v>2411</v>
      </c>
      <c r="C120" t="s">
        <v>10</v>
      </c>
      <c r="D120" t="s">
        <v>10</v>
      </c>
      <c r="F120" t="s">
        <v>2412</v>
      </c>
      <c r="G120">
        <v>5000</v>
      </c>
      <c r="H120">
        <v>32000</v>
      </c>
      <c r="I120" t="s">
        <v>2413</v>
      </c>
      <c r="J120" t="s">
        <v>10</v>
      </c>
      <c r="K120">
        <v>659</v>
      </c>
      <c r="L120">
        <v>6.43</v>
      </c>
      <c r="M120">
        <v>1371</v>
      </c>
      <c r="N120" t="s">
        <v>125</v>
      </c>
      <c r="O120">
        <v>2</v>
      </c>
      <c r="P120" t="s">
        <v>2414</v>
      </c>
      <c r="Q120" t="s">
        <v>2184</v>
      </c>
      <c r="R120" t="s">
        <v>2199</v>
      </c>
      <c r="S120">
        <v>3</v>
      </c>
      <c r="T120">
        <v>3</v>
      </c>
      <c r="U120">
        <v>137</v>
      </c>
      <c r="V120" t="s">
        <v>2415</v>
      </c>
      <c r="W120" t="s">
        <v>2416</v>
      </c>
      <c r="X120" t="s">
        <v>79</v>
      </c>
    </row>
    <row r="121" spans="1:24">
      <c r="A121">
        <v>13810</v>
      </c>
      <c r="B121" t="s">
        <v>2417</v>
      </c>
      <c r="C121" t="s">
        <v>2162</v>
      </c>
      <c r="F121" t="s">
        <v>2162</v>
      </c>
      <c r="G121">
        <v>1</v>
      </c>
      <c r="H121">
        <v>1</v>
      </c>
      <c r="I121" t="s">
        <v>2418</v>
      </c>
      <c r="J121" t="s">
        <v>2162</v>
      </c>
      <c r="K121">
        <v>32245.56</v>
      </c>
      <c r="L121">
        <v>365.32</v>
      </c>
      <c r="M121">
        <v>1381</v>
      </c>
      <c r="N121" t="s">
        <v>79</v>
      </c>
      <c r="O121">
        <v>2</v>
      </c>
      <c r="P121" t="s">
        <v>2414</v>
      </c>
      <c r="Q121" t="s">
        <v>2184</v>
      </c>
      <c r="R121" t="s">
        <v>159</v>
      </c>
      <c r="S121">
        <v>23</v>
      </c>
      <c r="T121">
        <v>23</v>
      </c>
      <c r="U121">
        <v>138</v>
      </c>
      <c r="V121" t="s">
        <v>2419</v>
      </c>
      <c r="W121" t="s">
        <v>2420</v>
      </c>
      <c r="X121" t="s">
        <v>79</v>
      </c>
    </row>
    <row r="122" spans="1:24">
      <c r="A122">
        <v>13820</v>
      </c>
      <c r="B122" t="s">
        <v>2421</v>
      </c>
      <c r="C122" t="s">
        <v>2162</v>
      </c>
      <c r="F122" t="s">
        <v>2162</v>
      </c>
      <c r="G122">
        <v>1</v>
      </c>
      <c r="H122">
        <v>1</v>
      </c>
      <c r="I122" t="s">
        <v>2418</v>
      </c>
      <c r="J122" t="s">
        <v>2162</v>
      </c>
      <c r="K122">
        <v>32245.56</v>
      </c>
      <c r="L122">
        <v>365.32</v>
      </c>
      <c r="M122">
        <v>1381</v>
      </c>
      <c r="N122" t="s">
        <v>79</v>
      </c>
      <c r="O122">
        <v>3</v>
      </c>
      <c r="P122" t="s">
        <v>2414</v>
      </c>
      <c r="Q122" t="s">
        <v>2184</v>
      </c>
      <c r="R122" t="s">
        <v>159</v>
      </c>
      <c r="S122">
        <v>59</v>
      </c>
      <c r="T122">
        <v>60</v>
      </c>
      <c r="U122">
        <v>138</v>
      </c>
      <c r="V122" t="s">
        <v>2419</v>
      </c>
      <c r="W122" t="s">
        <v>2422</v>
      </c>
      <c r="X122" t="s">
        <v>79</v>
      </c>
    </row>
    <row r="123" spans="1:24">
      <c r="A123">
        <v>13825</v>
      </c>
      <c r="B123" t="s">
        <v>2423</v>
      </c>
      <c r="C123" t="s">
        <v>2162</v>
      </c>
      <c r="F123" t="s">
        <v>2162</v>
      </c>
      <c r="G123">
        <v>1</v>
      </c>
      <c r="H123">
        <v>1</v>
      </c>
      <c r="I123" t="s">
        <v>2418</v>
      </c>
      <c r="J123" t="s">
        <v>2162</v>
      </c>
      <c r="K123">
        <v>32245.56</v>
      </c>
      <c r="L123">
        <v>365.32</v>
      </c>
      <c r="M123">
        <v>1381</v>
      </c>
      <c r="N123" t="s">
        <v>79</v>
      </c>
      <c r="O123">
        <v>2</v>
      </c>
      <c r="P123" t="s">
        <v>2414</v>
      </c>
      <c r="Q123" t="s">
        <v>2184</v>
      </c>
      <c r="R123" t="s">
        <v>159</v>
      </c>
      <c r="S123">
        <v>11</v>
      </c>
      <c r="T123">
        <v>11</v>
      </c>
      <c r="U123">
        <v>138</v>
      </c>
      <c r="V123" t="s">
        <v>2419</v>
      </c>
      <c r="W123" t="s">
        <v>2424</v>
      </c>
      <c r="X123" t="s">
        <v>79</v>
      </c>
    </row>
    <row r="124" spans="1:24">
      <c r="A124">
        <v>14111</v>
      </c>
      <c r="B124" t="s">
        <v>2425</v>
      </c>
      <c r="C124" t="s">
        <v>10</v>
      </c>
      <c r="D124" t="s">
        <v>10</v>
      </c>
      <c r="G124">
        <v>13000</v>
      </c>
      <c r="H124">
        <v>120000</v>
      </c>
      <c r="I124" t="s">
        <v>2426</v>
      </c>
      <c r="J124" t="s">
        <v>10</v>
      </c>
      <c r="K124">
        <v>669</v>
      </c>
      <c r="L124">
        <v>4.62</v>
      </c>
      <c r="M124">
        <v>1412</v>
      </c>
      <c r="N124" t="s">
        <v>125</v>
      </c>
      <c r="O124">
        <v>2</v>
      </c>
      <c r="P124" t="s">
        <v>2427</v>
      </c>
      <c r="Q124" t="s">
        <v>2101</v>
      </c>
      <c r="R124" t="s">
        <v>2199</v>
      </c>
      <c r="S124">
        <v>29</v>
      </c>
      <c r="T124">
        <v>54</v>
      </c>
      <c r="U124">
        <v>141</v>
      </c>
      <c r="V124" t="s">
        <v>2428</v>
      </c>
      <c r="W124" t="s">
        <v>2429</v>
      </c>
      <c r="X124" t="s">
        <v>79</v>
      </c>
    </row>
    <row r="125" spans="1:24">
      <c r="A125">
        <v>14112</v>
      </c>
      <c r="B125" t="s">
        <v>2430</v>
      </c>
      <c r="C125" t="s">
        <v>10</v>
      </c>
      <c r="D125" t="s">
        <v>10</v>
      </c>
      <c r="G125">
        <v>13000</v>
      </c>
      <c r="H125">
        <v>120000</v>
      </c>
      <c r="I125" t="s">
        <v>2426</v>
      </c>
      <c r="J125" t="s">
        <v>10</v>
      </c>
      <c r="K125">
        <v>669</v>
      </c>
      <c r="L125">
        <v>4.62</v>
      </c>
      <c r="M125">
        <v>1412</v>
      </c>
      <c r="N125" t="s">
        <v>125</v>
      </c>
      <c r="O125">
        <v>1</v>
      </c>
      <c r="P125" t="s">
        <v>2427</v>
      </c>
      <c r="Q125" t="s">
        <v>2101</v>
      </c>
      <c r="R125" t="s">
        <v>2199</v>
      </c>
      <c r="S125">
        <v>21</v>
      </c>
      <c r="T125">
        <v>28</v>
      </c>
      <c r="U125">
        <v>141</v>
      </c>
      <c r="V125" t="s">
        <v>2428</v>
      </c>
      <c r="W125" t="s">
        <v>2431</v>
      </c>
      <c r="X125" t="s">
        <v>79</v>
      </c>
    </row>
    <row r="126" spans="1:24">
      <c r="A126">
        <v>14113</v>
      </c>
      <c r="B126" t="s">
        <v>2432</v>
      </c>
      <c r="C126" t="s">
        <v>10</v>
      </c>
      <c r="D126" t="s">
        <v>10</v>
      </c>
      <c r="G126">
        <v>13000</v>
      </c>
      <c r="H126">
        <v>120000</v>
      </c>
      <c r="I126" t="s">
        <v>2426</v>
      </c>
      <c r="J126" t="s">
        <v>10</v>
      </c>
      <c r="K126">
        <v>669</v>
      </c>
      <c r="L126">
        <v>4.62</v>
      </c>
      <c r="M126">
        <v>1412</v>
      </c>
      <c r="N126" t="s">
        <v>125</v>
      </c>
      <c r="P126" t="s">
        <v>2427</v>
      </c>
      <c r="Q126" t="s">
        <v>2101</v>
      </c>
      <c r="R126" t="s">
        <v>2199</v>
      </c>
      <c r="S126">
        <v>4</v>
      </c>
      <c r="T126">
        <v>6</v>
      </c>
      <c r="U126">
        <v>141</v>
      </c>
      <c r="V126" t="s">
        <v>2428</v>
      </c>
      <c r="W126" t="s">
        <v>2433</v>
      </c>
      <c r="X126" t="s">
        <v>79</v>
      </c>
    </row>
    <row r="127" spans="1:24">
      <c r="A127">
        <v>14120</v>
      </c>
      <c r="B127" t="s">
        <v>2434</v>
      </c>
      <c r="C127" t="s">
        <v>10</v>
      </c>
      <c r="D127" t="s">
        <v>10</v>
      </c>
      <c r="G127">
        <v>13000</v>
      </c>
      <c r="H127">
        <v>36000</v>
      </c>
      <c r="I127" t="s">
        <v>2435</v>
      </c>
      <c r="J127" t="s">
        <v>10</v>
      </c>
      <c r="K127">
        <v>635</v>
      </c>
      <c r="L127">
        <v>4.1399999999999997</v>
      </c>
      <c r="M127">
        <v>1411</v>
      </c>
      <c r="N127" t="s">
        <v>125</v>
      </c>
      <c r="O127">
        <v>1</v>
      </c>
      <c r="P127" t="s">
        <v>2159</v>
      </c>
      <c r="Q127" t="s">
        <v>2101</v>
      </c>
      <c r="R127" t="s">
        <v>2199</v>
      </c>
      <c r="S127">
        <v>76</v>
      </c>
      <c r="T127">
        <v>80</v>
      </c>
      <c r="U127">
        <v>141</v>
      </c>
      <c r="V127" t="s">
        <v>2428</v>
      </c>
      <c r="W127" t="s">
        <v>2436</v>
      </c>
      <c r="X127" t="s">
        <v>79</v>
      </c>
    </row>
    <row r="128" spans="1:24">
      <c r="A128">
        <v>14125</v>
      </c>
      <c r="B128" t="s">
        <v>2437</v>
      </c>
      <c r="C128" t="s">
        <v>10</v>
      </c>
      <c r="D128" t="s">
        <v>10</v>
      </c>
      <c r="G128">
        <v>13000</v>
      </c>
      <c r="H128">
        <v>36000</v>
      </c>
      <c r="I128" t="s">
        <v>2435</v>
      </c>
      <c r="J128" t="s">
        <v>10</v>
      </c>
      <c r="K128">
        <v>635</v>
      </c>
      <c r="L128">
        <v>4.1399999999999997</v>
      </c>
      <c r="M128">
        <v>1411</v>
      </c>
      <c r="N128" t="s">
        <v>125</v>
      </c>
      <c r="O128">
        <v>1</v>
      </c>
      <c r="P128" t="s">
        <v>2293</v>
      </c>
      <c r="Q128" t="s">
        <v>2206</v>
      </c>
      <c r="R128" t="s">
        <v>2199</v>
      </c>
      <c r="S128">
        <v>61</v>
      </c>
      <c r="T128">
        <v>71</v>
      </c>
      <c r="U128">
        <v>141</v>
      </c>
      <c r="V128" t="s">
        <v>2428</v>
      </c>
      <c r="W128" t="s">
        <v>2438</v>
      </c>
      <c r="X128" t="s">
        <v>79</v>
      </c>
    </row>
    <row r="129" spans="1:24">
      <c r="A129">
        <v>14130</v>
      </c>
      <c r="B129" t="s">
        <v>2439</v>
      </c>
      <c r="C129" t="s">
        <v>10</v>
      </c>
      <c r="D129" t="s">
        <v>10</v>
      </c>
      <c r="G129">
        <v>13000</v>
      </c>
      <c r="H129">
        <v>120000</v>
      </c>
      <c r="I129" t="s">
        <v>2426</v>
      </c>
      <c r="J129" t="s">
        <v>10</v>
      </c>
      <c r="K129">
        <v>669</v>
      </c>
      <c r="L129">
        <v>4.62</v>
      </c>
      <c r="M129">
        <v>1412</v>
      </c>
      <c r="N129" t="s">
        <v>125</v>
      </c>
      <c r="O129">
        <v>1</v>
      </c>
      <c r="P129" t="s">
        <v>2315</v>
      </c>
      <c r="Q129" t="s">
        <v>2101</v>
      </c>
      <c r="R129" t="s">
        <v>2199</v>
      </c>
      <c r="S129">
        <v>41</v>
      </c>
      <c r="T129">
        <v>45</v>
      </c>
      <c r="U129">
        <v>141</v>
      </c>
      <c r="V129" t="s">
        <v>2428</v>
      </c>
      <c r="W129" t="s">
        <v>2440</v>
      </c>
      <c r="X129" t="s">
        <v>79</v>
      </c>
    </row>
    <row r="130" spans="1:24">
      <c r="A130">
        <v>14140</v>
      </c>
      <c r="B130" t="s">
        <v>2441</v>
      </c>
      <c r="C130" t="s">
        <v>10</v>
      </c>
      <c r="D130" t="s">
        <v>10</v>
      </c>
      <c r="G130">
        <v>13000</v>
      </c>
      <c r="H130">
        <v>120000</v>
      </c>
      <c r="I130" t="s">
        <v>2426</v>
      </c>
      <c r="J130" t="s">
        <v>10</v>
      </c>
      <c r="K130">
        <v>669</v>
      </c>
      <c r="L130">
        <v>4.62</v>
      </c>
      <c r="M130">
        <v>1412</v>
      </c>
      <c r="N130" t="s">
        <v>125</v>
      </c>
      <c r="O130">
        <v>1</v>
      </c>
      <c r="P130" t="s">
        <v>2315</v>
      </c>
      <c r="Q130" t="s">
        <v>2101</v>
      </c>
      <c r="R130" t="s">
        <v>2199</v>
      </c>
      <c r="S130">
        <v>75</v>
      </c>
      <c r="T130">
        <v>117</v>
      </c>
      <c r="U130">
        <v>141</v>
      </c>
      <c r="V130" t="s">
        <v>2428</v>
      </c>
      <c r="W130" t="s">
        <v>2442</v>
      </c>
      <c r="X130" t="s">
        <v>79</v>
      </c>
    </row>
    <row r="131" spans="1:24">
      <c r="A131">
        <v>14141</v>
      </c>
      <c r="B131" t="s">
        <v>2443</v>
      </c>
      <c r="C131" t="s">
        <v>10</v>
      </c>
      <c r="D131" t="s">
        <v>10</v>
      </c>
      <c r="G131">
        <v>13000</v>
      </c>
      <c r="H131">
        <v>120000</v>
      </c>
      <c r="I131" t="s">
        <v>2426</v>
      </c>
      <c r="J131" t="s">
        <v>10</v>
      </c>
      <c r="K131">
        <v>669</v>
      </c>
      <c r="L131">
        <v>4.62</v>
      </c>
      <c r="M131">
        <v>1412</v>
      </c>
      <c r="N131" t="s">
        <v>125</v>
      </c>
      <c r="O131">
        <v>1</v>
      </c>
      <c r="P131" t="s">
        <v>2315</v>
      </c>
      <c r="Q131" t="s">
        <v>2101</v>
      </c>
      <c r="R131" t="s">
        <v>2199</v>
      </c>
      <c r="S131">
        <v>4</v>
      </c>
      <c r="T131">
        <v>7</v>
      </c>
      <c r="U131">
        <v>141</v>
      </c>
      <c r="V131" t="s">
        <v>2428</v>
      </c>
      <c r="W131" t="s">
        <v>2444</v>
      </c>
      <c r="X131" t="s">
        <v>79</v>
      </c>
    </row>
    <row r="132" spans="1:24">
      <c r="A132">
        <v>14142</v>
      </c>
      <c r="B132" t="s">
        <v>2445</v>
      </c>
      <c r="C132" t="s">
        <v>10</v>
      </c>
      <c r="D132" t="s">
        <v>10</v>
      </c>
      <c r="G132">
        <v>5800</v>
      </c>
      <c r="H132">
        <v>190000</v>
      </c>
      <c r="I132" t="s">
        <v>2196</v>
      </c>
      <c r="J132" t="s">
        <v>10</v>
      </c>
      <c r="K132">
        <v>599</v>
      </c>
      <c r="L132">
        <v>3.77</v>
      </c>
      <c r="M132">
        <v>1444</v>
      </c>
      <c r="N132" t="s">
        <v>125</v>
      </c>
      <c r="O132">
        <v>2</v>
      </c>
      <c r="P132" t="s">
        <v>2446</v>
      </c>
      <c r="Q132" t="s">
        <v>2244</v>
      </c>
      <c r="R132" t="s">
        <v>2199</v>
      </c>
      <c r="S132">
        <v>22</v>
      </c>
      <c r="T132">
        <v>44</v>
      </c>
      <c r="U132">
        <v>141</v>
      </c>
      <c r="V132" t="s">
        <v>2428</v>
      </c>
      <c r="W132" t="s">
        <v>2433</v>
      </c>
      <c r="X132" t="s">
        <v>79</v>
      </c>
    </row>
    <row r="133" spans="1:24">
      <c r="A133">
        <v>14160</v>
      </c>
      <c r="B133" t="s">
        <v>2447</v>
      </c>
      <c r="C133" t="s">
        <v>10</v>
      </c>
      <c r="D133" t="s">
        <v>10</v>
      </c>
      <c r="G133">
        <v>3900</v>
      </c>
      <c r="H133">
        <v>18000</v>
      </c>
      <c r="I133" t="s">
        <v>2448</v>
      </c>
      <c r="J133" t="s">
        <v>10</v>
      </c>
      <c r="K133">
        <v>411.57</v>
      </c>
      <c r="L133">
        <v>6.31</v>
      </c>
      <c r="M133">
        <v>1441</v>
      </c>
      <c r="N133" t="s">
        <v>125</v>
      </c>
      <c r="O133">
        <v>1</v>
      </c>
      <c r="P133" t="s">
        <v>2449</v>
      </c>
      <c r="Q133" t="s">
        <v>2206</v>
      </c>
      <c r="R133" t="s">
        <v>2199</v>
      </c>
      <c r="S133">
        <v>22</v>
      </c>
      <c r="T133">
        <v>55</v>
      </c>
      <c r="U133">
        <v>141</v>
      </c>
      <c r="V133" t="s">
        <v>2428</v>
      </c>
      <c r="W133" t="s">
        <v>2450</v>
      </c>
      <c r="X133" t="s">
        <v>79</v>
      </c>
    </row>
    <row r="134" spans="1:24">
      <c r="A134">
        <v>14165</v>
      </c>
      <c r="B134" t="s">
        <v>2451</v>
      </c>
      <c r="C134" t="s">
        <v>10</v>
      </c>
      <c r="D134" t="s">
        <v>10</v>
      </c>
      <c r="G134">
        <v>3900</v>
      </c>
      <c r="H134">
        <v>18000</v>
      </c>
      <c r="I134" t="s">
        <v>2448</v>
      </c>
      <c r="J134" t="s">
        <v>10</v>
      </c>
      <c r="K134">
        <v>411.57</v>
      </c>
      <c r="L134">
        <v>6.31</v>
      </c>
      <c r="M134">
        <v>1441</v>
      </c>
      <c r="N134" t="s">
        <v>125</v>
      </c>
      <c r="O134">
        <v>1</v>
      </c>
      <c r="P134" t="s">
        <v>2446</v>
      </c>
      <c r="Q134" t="s">
        <v>2244</v>
      </c>
      <c r="R134" t="s">
        <v>2199</v>
      </c>
      <c r="S134">
        <v>0</v>
      </c>
      <c r="T134">
        <v>1</v>
      </c>
      <c r="U134">
        <v>141</v>
      </c>
      <c r="V134" t="s">
        <v>2428</v>
      </c>
      <c r="W134" t="s">
        <v>2452</v>
      </c>
      <c r="X134" t="s">
        <v>79</v>
      </c>
    </row>
    <row r="135" spans="1:24">
      <c r="A135">
        <v>14170</v>
      </c>
      <c r="B135" t="s">
        <v>2453</v>
      </c>
      <c r="C135" t="s">
        <v>10</v>
      </c>
      <c r="D135" t="s">
        <v>10</v>
      </c>
      <c r="G135">
        <v>4600</v>
      </c>
      <c r="H135">
        <v>14000</v>
      </c>
      <c r="I135" t="s">
        <v>2454</v>
      </c>
      <c r="J135" t="s">
        <v>10</v>
      </c>
      <c r="K135">
        <v>1619.88</v>
      </c>
      <c r="L135">
        <v>6.77</v>
      </c>
      <c r="M135">
        <v>1413</v>
      </c>
      <c r="N135" t="s">
        <v>125</v>
      </c>
      <c r="O135">
        <v>1</v>
      </c>
      <c r="P135" t="s">
        <v>2315</v>
      </c>
      <c r="Q135" t="s">
        <v>2101</v>
      </c>
      <c r="R135" t="s">
        <v>2199</v>
      </c>
      <c r="S135">
        <v>51</v>
      </c>
      <c r="T135">
        <v>77</v>
      </c>
      <c r="U135">
        <v>141</v>
      </c>
      <c r="V135" t="s">
        <v>2428</v>
      </c>
      <c r="W135" t="s">
        <v>2455</v>
      </c>
      <c r="X135" t="s">
        <v>79</v>
      </c>
    </row>
    <row r="136" spans="1:24">
      <c r="A136">
        <v>14181</v>
      </c>
      <c r="B136" t="s">
        <v>2456</v>
      </c>
      <c r="C136" t="s">
        <v>10</v>
      </c>
      <c r="D136" t="s">
        <v>10</v>
      </c>
      <c r="G136">
        <v>13000</v>
      </c>
      <c r="H136">
        <v>120000</v>
      </c>
      <c r="I136" t="s">
        <v>2426</v>
      </c>
      <c r="J136" t="s">
        <v>10</v>
      </c>
      <c r="K136">
        <v>669</v>
      </c>
      <c r="L136">
        <v>4.62</v>
      </c>
      <c r="M136">
        <v>1412</v>
      </c>
      <c r="N136" t="s">
        <v>125</v>
      </c>
      <c r="O136">
        <v>1</v>
      </c>
      <c r="P136" t="s">
        <v>2315</v>
      </c>
      <c r="Q136" t="s">
        <v>2101</v>
      </c>
      <c r="R136" t="s">
        <v>2199</v>
      </c>
      <c r="S136">
        <v>1</v>
      </c>
      <c r="T136">
        <v>1</v>
      </c>
      <c r="U136">
        <v>141</v>
      </c>
      <c r="V136" t="s">
        <v>2428</v>
      </c>
      <c r="W136" t="s">
        <v>2457</v>
      </c>
      <c r="X136" t="s">
        <v>79</v>
      </c>
    </row>
    <row r="137" spans="1:24">
      <c r="A137">
        <v>14182</v>
      </c>
      <c r="B137" t="s">
        <v>2458</v>
      </c>
      <c r="C137" t="s">
        <v>10</v>
      </c>
      <c r="D137" t="s">
        <v>10</v>
      </c>
      <c r="G137">
        <v>13000</v>
      </c>
      <c r="H137">
        <v>120000</v>
      </c>
      <c r="I137" t="s">
        <v>2426</v>
      </c>
      <c r="J137" t="s">
        <v>10</v>
      </c>
      <c r="K137">
        <v>669</v>
      </c>
      <c r="L137">
        <v>4.62</v>
      </c>
      <c r="M137">
        <v>1412</v>
      </c>
      <c r="N137" t="s">
        <v>125</v>
      </c>
      <c r="O137">
        <v>2</v>
      </c>
      <c r="P137" t="s">
        <v>2459</v>
      </c>
      <c r="Q137" t="s">
        <v>2460</v>
      </c>
      <c r="R137" t="s">
        <v>2199</v>
      </c>
      <c r="S137">
        <v>0</v>
      </c>
      <c r="T137">
        <v>0</v>
      </c>
      <c r="U137">
        <v>141</v>
      </c>
      <c r="V137" t="s">
        <v>2428</v>
      </c>
      <c r="W137" t="s">
        <v>2461</v>
      </c>
      <c r="X137" t="s">
        <v>79</v>
      </c>
    </row>
    <row r="138" spans="1:24">
      <c r="A138">
        <v>14187</v>
      </c>
      <c r="B138" t="s">
        <v>2462</v>
      </c>
      <c r="C138" t="s">
        <v>10</v>
      </c>
      <c r="D138" t="s">
        <v>10</v>
      </c>
      <c r="F138" t="s">
        <v>2176</v>
      </c>
      <c r="G138">
        <v>1700</v>
      </c>
      <c r="H138">
        <v>14000</v>
      </c>
      <c r="I138" t="s">
        <v>2463</v>
      </c>
      <c r="J138" t="s">
        <v>10</v>
      </c>
      <c r="K138">
        <v>522.78</v>
      </c>
      <c r="L138">
        <v>0.91</v>
      </c>
      <c r="M138">
        <v>4122</v>
      </c>
      <c r="N138" t="s">
        <v>125</v>
      </c>
      <c r="O138">
        <v>1</v>
      </c>
      <c r="P138" t="s">
        <v>2192</v>
      </c>
      <c r="Q138" t="s">
        <v>2169</v>
      </c>
      <c r="R138" t="s">
        <v>2199</v>
      </c>
      <c r="S138">
        <v>70</v>
      </c>
      <c r="T138">
        <v>72</v>
      </c>
      <c r="U138">
        <v>141</v>
      </c>
      <c r="V138" t="s">
        <v>2428</v>
      </c>
      <c r="W138" t="s">
        <v>2464</v>
      </c>
      <c r="X138" t="s">
        <v>79</v>
      </c>
    </row>
    <row r="139" spans="1:24">
      <c r="A139">
        <v>14188</v>
      </c>
      <c r="B139" t="s">
        <v>2465</v>
      </c>
      <c r="C139" t="s">
        <v>10</v>
      </c>
      <c r="D139" t="s">
        <v>10</v>
      </c>
      <c r="G139">
        <v>10000</v>
      </c>
      <c r="H139">
        <v>12000</v>
      </c>
      <c r="I139" t="s">
        <v>2466</v>
      </c>
      <c r="J139" t="s">
        <v>10</v>
      </c>
      <c r="K139">
        <v>502.81</v>
      </c>
      <c r="L139">
        <v>1.42</v>
      </c>
      <c r="M139">
        <v>1465</v>
      </c>
      <c r="N139" t="s">
        <v>125</v>
      </c>
      <c r="O139">
        <v>3</v>
      </c>
      <c r="P139" t="s">
        <v>2467</v>
      </c>
      <c r="Q139" t="s">
        <v>2101</v>
      </c>
      <c r="R139" t="s">
        <v>159</v>
      </c>
      <c r="S139">
        <v>3</v>
      </c>
      <c r="T139">
        <v>3</v>
      </c>
      <c r="U139">
        <v>141</v>
      </c>
      <c r="V139" t="s">
        <v>2428</v>
      </c>
      <c r="W139" t="s">
        <v>2468</v>
      </c>
      <c r="X139" t="s">
        <v>79</v>
      </c>
    </row>
    <row r="140" spans="1:24">
      <c r="A140">
        <v>14210</v>
      </c>
      <c r="B140" t="s">
        <v>2469</v>
      </c>
      <c r="C140" t="s">
        <v>10</v>
      </c>
      <c r="D140" t="s">
        <v>10</v>
      </c>
      <c r="G140">
        <v>900</v>
      </c>
      <c r="H140">
        <v>3500</v>
      </c>
      <c r="I140" t="s">
        <v>2470</v>
      </c>
      <c r="J140" t="s">
        <v>10</v>
      </c>
      <c r="K140">
        <v>584.59</v>
      </c>
      <c r="L140">
        <v>2.91</v>
      </c>
      <c r="M140">
        <v>1421</v>
      </c>
      <c r="N140" t="s">
        <v>125</v>
      </c>
      <c r="O140">
        <v>3</v>
      </c>
      <c r="P140" t="s">
        <v>2192</v>
      </c>
      <c r="Q140" t="s">
        <v>2169</v>
      </c>
      <c r="R140" t="s">
        <v>2199</v>
      </c>
      <c r="S140">
        <v>0</v>
      </c>
      <c r="T140">
        <v>0</v>
      </c>
      <c r="U140">
        <v>142</v>
      </c>
      <c r="V140" t="s">
        <v>2471</v>
      </c>
      <c r="W140" t="s">
        <v>2472</v>
      </c>
      <c r="X140" t="s">
        <v>79</v>
      </c>
    </row>
    <row r="141" spans="1:24">
      <c r="A141">
        <v>14219</v>
      </c>
      <c r="B141" t="s">
        <v>2473</v>
      </c>
      <c r="C141" t="s">
        <v>10</v>
      </c>
      <c r="D141" t="s">
        <v>10</v>
      </c>
      <c r="G141">
        <v>900</v>
      </c>
      <c r="H141">
        <v>3500</v>
      </c>
      <c r="I141" t="s">
        <v>2470</v>
      </c>
      <c r="J141" t="s">
        <v>10</v>
      </c>
      <c r="K141">
        <v>584.59</v>
      </c>
      <c r="L141">
        <v>2.91</v>
      </c>
      <c r="M141">
        <v>1421</v>
      </c>
      <c r="N141" t="s">
        <v>125</v>
      </c>
      <c r="O141">
        <v>3</v>
      </c>
      <c r="P141" t="s">
        <v>2192</v>
      </c>
      <c r="Q141" t="s">
        <v>2169</v>
      </c>
      <c r="R141" t="s">
        <v>2199</v>
      </c>
      <c r="S141">
        <v>1</v>
      </c>
      <c r="T141">
        <v>1</v>
      </c>
      <c r="U141">
        <v>142</v>
      </c>
      <c r="V141" t="s">
        <v>2471</v>
      </c>
      <c r="W141" t="s">
        <v>2474</v>
      </c>
      <c r="X141" t="s">
        <v>79</v>
      </c>
    </row>
    <row r="142" spans="1:24">
      <c r="A142">
        <v>14220</v>
      </c>
      <c r="B142" t="s">
        <v>2475</v>
      </c>
      <c r="C142" t="s">
        <v>2162</v>
      </c>
      <c r="F142" t="s">
        <v>2162</v>
      </c>
      <c r="G142">
        <v>1</v>
      </c>
      <c r="H142">
        <v>1</v>
      </c>
      <c r="I142" t="s">
        <v>2475</v>
      </c>
      <c r="J142" t="s">
        <v>2162</v>
      </c>
      <c r="K142">
        <v>152716.07</v>
      </c>
      <c r="L142">
        <v>1352.36</v>
      </c>
      <c r="M142">
        <v>1422</v>
      </c>
      <c r="N142" t="s">
        <v>125</v>
      </c>
      <c r="O142">
        <v>3</v>
      </c>
      <c r="P142" t="s">
        <v>2192</v>
      </c>
      <c r="Q142" t="s">
        <v>2169</v>
      </c>
      <c r="R142" t="s">
        <v>159</v>
      </c>
      <c r="S142">
        <v>2</v>
      </c>
      <c r="T142">
        <v>2</v>
      </c>
      <c r="U142">
        <v>142</v>
      </c>
      <c r="V142" t="s">
        <v>2471</v>
      </c>
      <c r="W142" t="s">
        <v>2476</v>
      </c>
      <c r="X142" t="s">
        <v>79</v>
      </c>
    </row>
    <row r="143" spans="1:24">
      <c r="A143">
        <v>14308</v>
      </c>
      <c r="B143" t="s">
        <v>2477</v>
      </c>
      <c r="C143" t="s">
        <v>10</v>
      </c>
      <c r="D143" t="s">
        <v>10</v>
      </c>
      <c r="G143">
        <v>7900</v>
      </c>
      <c r="H143">
        <v>200000</v>
      </c>
      <c r="I143" t="s">
        <v>2478</v>
      </c>
      <c r="J143" t="s">
        <v>10</v>
      </c>
      <c r="K143">
        <v>478.09</v>
      </c>
      <c r="L143">
        <v>6.44</v>
      </c>
      <c r="M143">
        <v>2133</v>
      </c>
      <c r="N143" t="s">
        <v>125</v>
      </c>
      <c r="O143">
        <v>3</v>
      </c>
      <c r="P143" t="s">
        <v>2479</v>
      </c>
      <c r="Q143" t="s">
        <v>2460</v>
      </c>
      <c r="R143" t="s">
        <v>2199</v>
      </c>
      <c r="S143">
        <v>4</v>
      </c>
      <c r="T143">
        <v>5</v>
      </c>
      <c r="U143">
        <v>143</v>
      </c>
      <c r="V143" t="s">
        <v>2480</v>
      </c>
      <c r="W143" t="s">
        <v>2481</v>
      </c>
      <c r="X143" t="s">
        <v>79</v>
      </c>
    </row>
    <row r="144" spans="1:24">
      <c r="A144">
        <v>14309</v>
      </c>
      <c r="B144" t="s">
        <v>2482</v>
      </c>
      <c r="C144" t="s">
        <v>10</v>
      </c>
      <c r="D144" t="s">
        <v>10</v>
      </c>
      <c r="G144">
        <v>5800</v>
      </c>
      <c r="H144">
        <v>190000</v>
      </c>
      <c r="I144" t="s">
        <v>2196</v>
      </c>
      <c r="J144" t="s">
        <v>10</v>
      </c>
      <c r="K144">
        <v>599</v>
      </c>
      <c r="L144">
        <v>3.77</v>
      </c>
      <c r="M144">
        <v>1444</v>
      </c>
      <c r="N144" t="s">
        <v>125</v>
      </c>
      <c r="O144">
        <v>1</v>
      </c>
      <c r="P144" t="s">
        <v>2483</v>
      </c>
      <c r="Q144" t="s">
        <v>2484</v>
      </c>
      <c r="R144" t="s">
        <v>2199</v>
      </c>
      <c r="S144">
        <v>51</v>
      </c>
      <c r="T144">
        <v>73</v>
      </c>
      <c r="U144">
        <v>143</v>
      </c>
      <c r="V144" t="s">
        <v>2480</v>
      </c>
      <c r="W144" t="s">
        <v>2485</v>
      </c>
      <c r="X144" t="s">
        <v>79</v>
      </c>
    </row>
    <row r="145" spans="1:24">
      <c r="A145">
        <v>14310</v>
      </c>
      <c r="B145" t="s">
        <v>2486</v>
      </c>
      <c r="C145" t="s">
        <v>10</v>
      </c>
      <c r="D145" t="s">
        <v>10</v>
      </c>
      <c r="G145">
        <v>1500</v>
      </c>
      <c r="H145">
        <v>5400</v>
      </c>
      <c r="I145" t="s">
        <v>2487</v>
      </c>
      <c r="J145" t="s">
        <v>10</v>
      </c>
      <c r="K145">
        <v>143.51</v>
      </c>
      <c r="L145">
        <v>0.99</v>
      </c>
      <c r="M145">
        <v>5307</v>
      </c>
      <c r="N145" t="s">
        <v>125</v>
      </c>
      <c r="O145">
        <v>1</v>
      </c>
      <c r="P145" t="s">
        <v>2293</v>
      </c>
      <c r="Q145" t="s">
        <v>2206</v>
      </c>
      <c r="R145" t="s">
        <v>2199</v>
      </c>
      <c r="S145">
        <v>8</v>
      </c>
      <c r="T145">
        <v>13</v>
      </c>
      <c r="U145">
        <v>143</v>
      </c>
      <c r="V145" t="s">
        <v>2480</v>
      </c>
      <c r="W145" t="s">
        <v>2488</v>
      </c>
      <c r="X145" t="s">
        <v>79</v>
      </c>
    </row>
    <row r="146" spans="1:24">
      <c r="A146">
        <v>14311</v>
      </c>
      <c r="B146" t="s">
        <v>2489</v>
      </c>
      <c r="C146" t="s">
        <v>10</v>
      </c>
      <c r="D146" t="s">
        <v>10</v>
      </c>
      <c r="G146">
        <v>5800</v>
      </c>
      <c r="H146">
        <v>190000</v>
      </c>
      <c r="I146" t="s">
        <v>2196</v>
      </c>
      <c r="J146" t="s">
        <v>10</v>
      </c>
      <c r="K146">
        <v>599</v>
      </c>
      <c r="L146">
        <v>3.77</v>
      </c>
      <c r="M146">
        <v>1444</v>
      </c>
      <c r="N146" t="s">
        <v>125</v>
      </c>
      <c r="O146">
        <v>1</v>
      </c>
      <c r="P146" t="s">
        <v>2205</v>
      </c>
      <c r="Q146" t="s">
        <v>2206</v>
      </c>
      <c r="R146" t="s">
        <v>2199</v>
      </c>
      <c r="S146">
        <v>79</v>
      </c>
      <c r="T146">
        <v>105</v>
      </c>
      <c r="U146">
        <v>143</v>
      </c>
      <c r="V146" t="s">
        <v>2480</v>
      </c>
      <c r="W146" t="s">
        <v>2490</v>
      </c>
      <c r="X146" t="s">
        <v>79</v>
      </c>
    </row>
    <row r="147" spans="1:24">
      <c r="A147">
        <v>14312</v>
      </c>
      <c r="B147" t="s">
        <v>2491</v>
      </c>
      <c r="C147" t="s">
        <v>2097</v>
      </c>
      <c r="D147" t="s">
        <v>2097</v>
      </c>
      <c r="G147">
        <v>10000</v>
      </c>
      <c r="H147">
        <v>400000</v>
      </c>
      <c r="I147" t="s">
        <v>2492</v>
      </c>
      <c r="J147" t="s">
        <v>2097</v>
      </c>
      <c r="K147">
        <v>78.03</v>
      </c>
      <c r="L147">
        <v>1.54</v>
      </c>
      <c r="M147">
        <v>8523</v>
      </c>
      <c r="N147" t="s">
        <v>125</v>
      </c>
      <c r="O147">
        <v>1</v>
      </c>
      <c r="P147" t="s">
        <v>2493</v>
      </c>
      <c r="Q147" t="s">
        <v>2484</v>
      </c>
      <c r="R147" t="s">
        <v>2102</v>
      </c>
      <c r="S147">
        <v>131</v>
      </c>
      <c r="T147">
        <v>174</v>
      </c>
      <c r="U147">
        <v>143</v>
      </c>
      <c r="V147" t="s">
        <v>2480</v>
      </c>
      <c r="W147" t="s">
        <v>2494</v>
      </c>
      <c r="X147" t="s">
        <v>79</v>
      </c>
    </row>
    <row r="148" spans="1:24">
      <c r="A148">
        <v>14313</v>
      </c>
      <c r="B148" t="s">
        <v>2495</v>
      </c>
      <c r="C148" t="s">
        <v>10</v>
      </c>
      <c r="D148" t="s">
        <v>10</v>
      </c>
      <c r="G148">
        <v>2400</v>
      </c>
      <c r="H148">
        <v>41000</v>
      </c>
      <c r="I148" t="s">
        <v>2202</v>
      </c>
      <c r="J148" t="s">
        <v>10</v>
      </c>
      <c r="K148">
        <v>349.8</v>
      </c>
      <c r="L148">
        <v>0.67</v>
      </c>
      <c r="M148">
        <v>1459</v>
      </c>
      <c r="N148" t="s">
        <v>125</v>
      </c>
      <c r="O148">
        <v>3</v>
      </c>
      <c r="P148" t="s">
        <v>2493</v>
      </c>
      <c r="Q148" t="s">
        <v>2484</v>
      </c>
      <c r="R148" t="s">
        <v>159</v>
      </c>
      <c r="S148">
        <v>25</v>
      </c>
      <c r="T148">
        <v>30</v>
      </c>
      <c r="U148">
        <v>143</v>
      </c>
      <c r="V148" t="s">
        <v>2480</v>
      </c>
      <c r="W148" t="s">
        <v>2496</v>
      </c>
      <c r="X148" t="s">
        <v>79</v>
      </c>
    </row>
    <row r="149" spans="1:24">
      <c r="A149">
        <v>14315</v>
      </c>
      <c r="B149" t="s">
        <v>2497</v>
      </c>
      <c r="C149" t="s">
        <v>10</v>
      </c>
      <c r="D149" t="s">
        <v>10</v>
      </c>
      <c r="G149">
        <v>1500</v>
      </c>
      <c r="H149">
        <v>37000</v>
      </c>
      <c r="I149" t="s">
        <v>2498</v>
      </c>
      <c r="J149" t="s">
        <v>10</v>
      </c>
      <c r="K149">
        <v>609.26</v>
      </c>
      <c r="L149">
        <v>2.82</v>
      </c>
      <c r="M149">
        <v>1731</v>
      </c>
      <c r="N149" t="s">
        <v>125</v>
      </c>
      <c r="O149">
        <v>2</v>
      </c>
      <c r="P149" t="s">
        <v>2499</v>
      </c>
      <c r="Q149" t="s">
        <v>2500</v>
      </c>
      <c r="R149" t="s">
        <v>2199</v>
      </c>
      <c r="S149">
        <v>38</v>
      </c>
      <c r="T149">
        <v>42</v>
      </c>
      <c r="U149">
        <v>143</v>
      </c>
      <c r="V149" t="s">
        <v>2480</v>
      </c>
      <c r="W149" t="s">
        <v>2501</v>
      </c>
      <c r="X149" t="s">
        <v>79</v>
      </c>
    </row>
    <row r="150" spans="1:24">
      <c r="A150">
        <v>14317</v>
      </c>
      <c r="B150" t="s">
        <v>2502</v>
      </c>
      <c r="C150" t="s">
        <v>10</v>
      </c>
      <c r="D150" t="s">
        <v>10</v>
      </c>
      <c r="G150">
        <v>5800</v>
      </c>
      <c r="H150">
        <v>190000</v>
      </c>
      <c r="I150" t="s">
        <v>2196</v>
      </c>
      <c r="J150" t="s">
        <v>10</v>
      </c>
      <c r="K150">
        <v>599</v>
      </c>
      <c r="L150">
        <v>3.77</v>
      </c>
      <c r="M150">
        <v>1444</v>
      </c>
      <c r="N150" t="s">
        <v>125</v>
      </c>
      <c r="O150">
        <v>3</v>
      </c>
      <c r="P150" t="s">
        <v>2446</v>
      </c>
      <c r="Q150" t="s">
        <v>2244</v>
      </c>
      <c r="R150" t="s">
        <v>2199</v>
      </c>
      <c r="S150">
        <v>12</v>
      </c>
      <c r="T150">
        <v>13</v>
      </c>
      <c r="U150">
        <v>143</v>
      </c>
      <c r="V150" t="s">
        <v>2480</v>
      </c>
      <c r="W150" t="s">
        <v>2503</v>
      </c>
      <c r="X150" t="s">
        <v>79</v>
      </c>
    </row>
    <row r="151" spans="1:24">
      <c r="A151">
        <v>14320</v>
      </c>
      <c r="B151" t="s">
        <v>2504</v>
      </c>
      <c r="C151" t="s">
        <v>10</v>
      </c>
      <c r="D151" t="s">
        <v>10</v>
      </c>
      <c r="G151">
        <v>5800</v>
      </c>
      <c r="H151">
        <v>190000</v>
      </c>
      <c r="I151" t="s">
        <v>2196</v>
      </c>
      <c r="J151" t="s">
        <v>10</v>
      </c>
      <c r="K151">
        <v>599</v>
      </c>
      <c r="L151">
        <v>3.77</v>
      </c>
      <c r="M151">
        <v>1444</v>
      </c>
      <c r="N151" t="s">
        <v>125</v>
      </c>
      <c r="O151">
        <v>1</v>
      </c>
      <c r="P151" t="s">
        <v>2505</v>
      </c>
      <c r="Q151" t="s">
        <v>2154</v>
      </c>
      <c r="R151" t="s">
        <v>2199</v>
      </c>
      <c r="S151">
        <v>166</v>
      </c>
      <c r="T151">
        <v>187</v>
      </c>
      <c r="U151">
        <v>143</v>
      </c>
      <c r="V151" t="s">
        <v>2480</v>
      </c>
      <c r="W151" t="s">
        <v>2506</v>
      </c>
      <c r="X151" t="s">
        <v>79</v>
      </c>
    </row>
    <row r="152" spans="1:24">
      <c r="A152">
        <v>14321</v>
      </c>
      <c r="B152" t="s">
        <v>2507</v>
      </c>
      <c r="C152" t="s">
        <v>10</v>
      </c>
      <c r="D152" t="s">
        <v>10</v>
      </c>
      <c r="G152">
        <v>4800</v>
      </c>
      <c r="H152">
        <v>120000</v>
      </c>
      <c r="I152" t="s">
        <v>2508</v>
      </c>
      <c r="J152" t="s">
        <v>10</v>
      </c>
      <c r="K152">
        <v>355.07</v>
      </c>
      <c r="L152">
        <v>3.27</v>
      </c>
      <c r="M152">
        <v>1443</v>
      </c>
      <c r="N152" t="s">
        <v>125</v>
      </c>
      <c r="P152" t="s">
        <v>2509</v>
      </c>
      <c r="Q152" t="s">
        <v>2154</v>
      </c>
      <c r="R152" t="s">
        <v>2199</v>
      </c>
      <c r="S152">
        <v>24</v>
      </c>
      <c r="T152">
        <v>24</v>
      </c>
      <c r="U152">
        <v>143</v>
      </c>
      <c r="V152" t="s">
        <v>2480</v>
      </c>
      <c r="W152" t="s">
        <v>2510</v>
      </c>
      <c r="X152" t="s">
        <v>79</v>
      </c>
    </row>
    <row r="153" spans="1:24">
      <c r="A153">
        <v>14322</v>
      </c>
      <c r="B153" t="s">
        <v>2511</v>
      </c>
      <c r="C153" t="s">
        <v>10</v>
      </c>
      <c r="D153" t="s">
        <v>10</v>
      </c>
      <c r="G153">
        <v>5800</v>
      </c>
      <c r="H153">
        <v>190000</v>
      </c>
      <c r="I153" t="s">
        <v>2196</v>
      </c>
      <c r="J153" t="s">
        <v>10</v>
      </c>
      <c r="K153">
        <v>599</v>
      </c>
      <c r="L153">
        <v>3.77</v>
      </c>
      <c r="M153">
        <v>1444</v>
      </c>
      <c r="N153" t="s">
        <v>125</v>
      </c>
      <c r="O153">
        <v>1</v>
      </c>
      <c r="P153" t="s">
        <v>2153</v>
      </c>
      <c r="Q153" t="s">
        <v>2154</v>
      </c>
      <c r="R153" t="s">
        <v>2199</v>
      </c>
      <c r="S153">
        <v>32</v>
      </c>
      <c r="T153">
        <v>38</v>
      </c>
      <c r="U153">
        <v>143</v>
      </c>
      <c r="V153" t="s">
        <v>2480</v>
      </c>
      <c r="W153" t="s">
        <v>2512</v>
      </c>
      <c r="X153" t="s">
        <v>79</v>
      </c>
    </row>
    <row r="154" spans="1:24">
      <c r="A154">
        <v>14323</v>
      </c>
      <c r="B154" t="s">
        <v>2513</v>
      </c>
      <c r="C154" t="s">
        <v>10</v>
      </c>
      <c r="D154" t="s">
        <v>10</v>
      </c>
      <c r="G154">
        <v>5800</v>
      </c>
      <c r="H154">
        <v>190000</v>
      </c>
      <c r="I154" t="s">
        <v>2196</v>
      </c>
      <c r="J154" t="s">
        <v>10</v>
      </c>
      <c r="K154">
        <v>599</v>
      </c>
      <c r="L154">
        <v>3.77</v>
      </c>
      <c r="M154">
        <v>1444</v>
      </c>
      <c r="N154" t="s">
        <v>125</v>
      </c>
      <c r="O154">
        <v>1</v>
      </c>
      <c r="P154" t="s">
        <v>2483</v>
      </c>
      <c r="Q154" t="s">
        <v>2484</v>
      </c>
      <c r="R154" t="s">
        <v>2199</v>
      </c>
      <c r="S154">
        <v>69</v>
      </c>
      <c r="T154">
        <v>78</v>
      </c>
      <c r="U154">
        <v>143</v>
      </c>
      <c r="V154" t="s">
        <v>2480</v>
      </c>
      <c r="W154" t="s">
        <v>2514</v>
      </c>
      <c r="X154" t="s">
        <v>79</v>
      </c>
    </row>
    <row r="155" spans="1:24">
      <c r="A155">
        <v>14324</v>
      </c>
      <c r="B155" t="s">
        <v>2515</v>
      </c>
      <c r="C155" t="s">
        <v>10</v>
      </c>
      <c r="D155" t="s">
        <v>10</v>
      </c>
      <c r="G155">
        <v>5800</v>
      </c>
      <c r="H155">
        <v>190000</v>
      </c>
      <c r="I155" t="s">
        <v>2196</v>
      </c>
      <c r="J155" t="s">
        <v>10</v>
      </c>
      <c r="K155">
        <v>599</v>
      </c>
      <c r="L155">
        <v>3.77</v>
      </c>
      <c r="M155">
        <v>1444</v>
      </c>
      <c r="N155" t="s">
        <v>125</v>
      </c>
      <c r="O155">
        <v>1</v>
      </c>
      <c r="P155" t="s">
        <v>2153</v>
      </c>
      <c r="Q155" t="s">
        <v>2154</v>
      </c>
      <c r="R155" t="s">
        <v>2199</v>
      </c>
      <c r="S155">
        <v>30</v>
      </c>
      <c r="T155">
        <v>36</v>
      </c>
      <c r="U155">
        <v>143</v>
      </c>
      <c r="V155" t="s">
        <v>2480</v>
      </c>
      <c r="W155" t="s">
        <v>2516</v>
      </c>
      <c r="X155" t="s">
        <v>79</v>
      </c>
    </row>
    <row r="156" spans="1:24">
      <c r="A156">
        <v>14325</v>
      </c>
      <c r="B156" t="s">
        <v>2517</v>
      </c>
      <c r="C156" t="s">
        <v>10</v>
      </c>
      <c r="D156" t="s">
        <v>10</v>
      </c>
      <c r="G156">
        <v>5800</v>
      </c>
      <c r="H156">
        <v>190000</v>
      </c>
      <c r="I156" t="s">
        <v>2196</v>
      </c>
      <c r="J156" t="s">
        <v>10</v>
      </c>
      <c r="K156">
        <v>599</v>
      </c>
      <c r="L156">
        <v>3.77</v>
      </c>
      <c r="M156">
        <v>1444</v>
      </c>
      <c r="N156" t="s">
        <v>125</v>
      </c>
      <c r="O156">
        <v>3</v>
      </c>
      <c r="P156" t="s">
        <v>2518</v>
      </c>
      <c r="Q156" t="s">
        <v>2484</v>
      </c>
      <c r="R156" t="s">
        <v>2199</v>
      </c>
      <c r="S156">
        <v>67</v>
      </c>
      <c r="T156">
        <v>82</v>
      </c>
      <c r="U156">
        <v>143</v>
      </c>
      <c r="V156" t="s">
        <v>2480</v>
      </c>
      <c r="W156" t="s">
        <v>2519</v>
      </c>
      <c r="X156" t="s">
        <v>79</v>
      </c>
    </row>
    <row r="157" spans="1:24">
      <c r="A157">
        <v>14326</v>
      </c>
      <c r="B157" t="s">
        <v>2520</v>
      </c>
      <c r="C157" t="s">
        <v>10</v>
      </c>
      <c r="D157" t="s">
        <v>10</v>
      </c>
      <c r="G157">
        <v>5800</v>
      </c>
      <c r="H157">
        <v>190000</v>
      </c>
      <c r="I157" t="s">
        <v>2196</v>
      </c>
      <c r="J157" t="s">
        <v>10</v>
      </c>
      <c r="K157">
        <v>599</v>
      </c>
      <c r="L157">
        <v>3.77</v>
      </c>
      <c r="M157">
        <v>1444</v>
      </c>
      <c r="N157" t="s">
        <v>125</v>
      </c>
      <c r="O157">
        <v>1</v>
      </c>
      <c r="P157" t="s">
        <v>2153</v>
      </c>
      <c r="Q157" t="s">
        <v>2154</v>
      </c>
      <c r="R157" t="s">
        <v>2199</v>
      </c>
      <c r="S157">
        <v>5</v>
      </c>
      <c r="T157">
        <v>10</v>
      </c>
      <c r="U157">
        <v>143</v>
      </c>
      <c r="V157" t="s">
        <v>2480</v>
      </c>
      <c r="W157" t="s">
        <v>2521</v>
      </c>
      <c r="X157" t="s">
        <v>79</v>
      </c>
    </row>
    <row r="158" spans="1:24">
      <c r="A158">
        <v>14335</v>
      </c>
      <c r="B158" t="s">
        <v>2522</v>
      </c>
      <c r="C158" t="s">
        <v>10</v>
      </c>
      <c r="D158" t="s">
        <v>10</v>
      </c>
      <c r="G158">
        <v>5800</v>
      </c>
      <c r="H158">
        <v>190000</v>
      </c>
      <c r="I158" t="s">
        <v>2196</v>
      </c>
      <c r="J158" t="s">
        <v>10</v>
      </c>
      <c r="K158">
        <v>599</v>
      </c>
      <c r="L158">
        <v>3.77</v>
      </c>
      <c r="M158">
        <v>1444</v>
      </c>
      <c r="N158" t="s">
        <v>125</v>
      </c>
      <c r="O158">
        <v>1</v>
      </c>
      <c r="P158" t="s">
        <v>2449</v>
      </c>
      <c r="Q158" t="s">
        <v>2206</v>
      </c>
      <c r="R158" t="s">
        <v>2199</v>
      </c>
      <c r="S158">
        <v>1</v>
      </c>
      <c r="T158">
        <v>2</v>
      </c>
      <c r="U158">
        <v>143</v>
      </c>
      <c r="V158" t="s">
        <v>2480</v>
      </c>
      <c r="W158" t="s">
        <v>2523</v>
      </c>
      <c r="X158" t="s">
        <v>79</v>
      </c>
    </row>
    <row r="159" spans="1:24">
      <c r="A159">
        <v>14341</v>
      </c>
      <c r="B159" t="s">
        <v>2524</v>
      </c>
      <c r="C159" t="s">
        <v>10</v>
      </c>
      <c r="D159" t="s">
        <v>10</v>
      </c>
      <c r="G159">
        <v>9600</v>
      </c>
      <c r="H159">
        <v>58000</v>
      </c>
      <c r="I159" t="s">
        <v>2525</v>
      </c>
      <c r="J159" t="s">
        <v>10</v>
      </c>
      <c r="K159">
        <v>599</v>
      </c>
      <c r="L159">
        <v>4.6500000000000004</v>
      </c>
      <c r="M159">
        <v>1431</v>
      </c>
      <c r="N159" t="s">
        <v>125</v>
      </c>
      <c r="O159">
        <v>3</v>
      </c>
      <c r="P159" t="s">
        <v>2483</v>
      </c>
      <c r="Q159" t="s">
        <v>2484</v>
      </c>
      <c r="R159" t="s">
        <v>2199</v>
      </c>
      <c r="S159">
        <v>81</v>
      </c>
      <c r="T159">
        <v>108</v>
      </c>
      <c r="U159">
        <v>143</v>
      </c>
      <c r="V159" t="s">
        <v>2480</v>
      </c>
      <c r="W159" t="s">
        <v>2526</v>
      </c>
      <c r="X159" t="s">
        <v>79</v>
      </c>
    </row>
    <row r="160" spans="1:24">
      <c r="A160">
        <v>14345</v>
      </c>
      <c r="B160" t="s">
        <v>2527</v>
      </c>
      <c r="C160" t="s">
        <v>10</v>
      </c>
      <c r="D160" t="s">
        <v>10</v>
      </c>
      <c r="G160">
        <v>2100</v>
      </c>
      <c r="H160">
        <v>31000</v>
      </c>
      <c r="I160" t="s">
        <v>2528</v>
      </c>
      <c r="J160" t="s">
        <v>10</v>
      </c>
      <c r="K160">
        <v>413.37</v>
      </c>
      <c r="L160">
        <v>3.82</v>
      </c>
      <c r="M160">
        <v>4427</v>
      </c>
      <c r="N160" t="s">
        <v>125</v>
      </c>
      <c r="O160">
        <v>1</v>
      </c>
      <c r="P160" t="s">
        <v>2505</v>
      </c>
      <c r="Q160" t="s">
        <v>2154</v>
      </c>
      <c r="R160" t="s">
        <v>2199</v>
      </c>
      <c r="S160">
        <v>296</v>
      </c>
      <c r="T160">
        <v>566</v>
      </c>
      <c r="U160">
        <v>143</v>
      </c>
      <c r="V160" t="s">
        <v>2480</v>
      </c>
      <c r="W160" t="s">
        <v>2529</v>
      </c>
      <c r="X160" t="s">
        <v>79</v>
      </c>
    </row>
    <row r="161" spans="1:24">
      <c r="A161">
        <v>14346</v>
      </c>
      <c r="B161" t="s">
        <v>2530</v>
      </c>
      <c r="C161" t="s">
        <v>10</v>
      </c>
      <c r="D161" t="s">
        <v>10</v>
      </c>
      <c r="G161">
        <v>13000</v>
      </c>
      <c r="H161">
        <v>79000</v>
      </c>
      <c r="I161" t="s">
        <v>2531</v>
      </c>
      <c r="J161" t="s">
        <v>10</v>
      </c>
      <c r="K161">
        <v>518.13</v>
      </c>
      <c r="L161">
        <v>4.37</v>
      </c>
      <c r="M161">
        <v>1446</v>
      </c>
      <c r="N161" t="s">
        <v>125</v>
      </c>
      <c r="O161">
        <v>1</v>
      </c>
      <c r="P161" t="s">
        <v>2449</v>
      </c>
      <c r="Q161" t="s">
        <v>2206</v>
      </c>
      <c r="R161" t="s">
        <v>2199</v>
      </c>
      <c r="S161">
        <v>7</v>
      </c>
      <c r="T161">
        <v>11</v>
      </c>
      <c r="U161">
        <v>143</v>
      </c>
      <c r="V161" t="s">
        <v>2480</v>
      </c>
      <c r="W161" t="s">
        <v>2532</v>
      </c>
      <c r="X161" t="s">
        <v>79</v>
      </c>
    </row>
    <row r="162" spans="1:24">
      <c r="A162">
        <v>14347</v>
      </c>
      <c r="B162" t="s">
        <v>2533</v>
      </c>
      <c r="C162" t="s">
        <v>10</v>
      </c>
      <c r="D162" t="s">
        <v>10</v>
      </c>
      <c r="G162">
        <v>13000</v>
      </c>
      <c r="H162">
        <v>79000</v>
      </c>
      <c r="I162" t="s">
        <v>2531</v>
      </c>
      <c r="J162" t="s">
        <v>10</v>
      </c>
      <c r="K162">
        <v>518.13</v>
      </c>
      <c r="L162">
        <v>4.37</v>
      </c>
      <c r="M162">
        <v>1446</v>
      </c>
      <c r="N162" t="s">
        <v>125</v>
      </c>
      <c r="O162">
        <v>1</v>
      </c>
      <c r="P162" t="s">
        <v>2293</v>
      </c>
      <c r="Q162" t="s">
        <v>2206</v>
      </c>
      <c r="R162" t="s">
        <v>2199</v>
      </c>
      <c r="S162">
        <v>39</v>
      </c>
      <c r="T162">
        <v>45</v>
      </c>
      <c r="U162">
        <v>143</v>
      </c>
      <c r="V162" t="s">
        <v>2480</v>
      </c>
      <c r="W162" t="s">
        <v>2534</v>
      </c>
      <c r="X162" t="s">
        <v>79</v>
      </c>
    </row>
    <row r="163" spans="1:24">
      <c r="A163">
        <v>14355</v>
      </c>
      <c r="B163" t="s">
        <v>2535</v>
      </c>
      <c r="C163" t="s">
        <v>10</v>
      </c>
      <c r="D163" t="s">
        <v>10</v>
      </c>
      <c r="G163">
        <v>5500</v>
      </c>
      <c r="H163">
        <v>400000</v>
      </c>
      <c r="I163" t="s">
        <v>2536</v>
      </c>
      <c r="J163" t="s">
        <v>10</v>
      </c>
      <c r="K163">
        <v>195.5</v>
      </c>
      <c r="L163">
        <v>1.49</v>
      </c>
      <c r="M163">
        <v>4422</v>
      </c>
      <c r="N163" t="s">
        <v>125</v>
      </c>
      <c r="O163">
        <v>1</v>
      </c>
      <c r="P163" t="s">
        <v>2414</v>
      </c>
      <c r="Q163" t="s">
        <v>2184</v>
      </c>
      <c r="R163" t="s">
        <v>159</v>
      </c>
      <c r="S163">
        <v>11</v>
      </c>
      <c r="T163">
        <v>12</v>
      </c>
      <c r="U163">
        <v>143</v>
      </c>
      <c r="V163" t="s">
        <v>2480</v>
      </c>
      <c r="W163" t="s">
        <v>2537</v>
      </c>
      <c r="X163" t="s">
        <v>79</v>
      </c>
    </row>
    <row r="164" spans="1:24">
      <c r="A164">
        <v>14360</v>
      </c>
      <c r="B164" t="s">
        <v>2538</v>
      </c>
      <c r="C164" t="s">
        <v>10</v>
      </c>
      <c r="D164" t="s">
        <v>10</v>
      </c>
      <c r="G164">
        <v>9600</v>
      </c>
      <c r="H164">
        <v>58000</v>
      </c>
      <c r="I164" t="s">
        <v>2525</v>
      </c>
      <c r="J164" t="s">
        <v>10</v>
      </c>
      <c r="K164">
        <v>599</v>
      </c>
      <c r="L164">
        <v>4.6500000000000004</v>
      </c>
      <c r="M164">
        <v>1431</v>
      </c>
      <c r="N164" t="s">
        <v>125</v>
      </c>
      <c r="O164">
        <v>2</v>
      </c>
      <c r="P164" t="s">
        <v>2153</v>
      </c>
      <c r="Q164" t="s">
        <v>2154</v>
      </c>
      <c r="R164" t="s">
        <v>2199</v>
      </c>
      <c r="S164">
        <v>24</v>
      </c>
      <c r="T164">
        <v>24</v>
      </c>
      <c r="U164">
        <v>143</v>
      </c>
      <c r="V164" t="s">
        <v>2480</v>
      </c>
      <c r="W164" t="s">
        <v>2539</v>
      </c>
      <c r="X164" t="s">
        <v>79</v>
      </c>
    </row>
    <row r="165" spans="1:24">
      <c r="A165">
        <v>14365</v>
      </c>
      <c r="B165" t="s">
        <v>2540</v>
      </c>
      <c r="C165" t="s">
        <v>10</v>
      </c>
      <c r="D165" t="s">
        <v>10</v>
      </c>
      <c r="G165">
        <v>9600</v>
      </c>
      <c r="H165">
        <v>58000</v>
      </c>
      <c r="I165" t="s">
        <v>2525</v>
      </c>
      <c r="J165" t="s">
        <v>10</v>
      </c>
      <c r="K165">
        <v>599</v>
      </c>
      <c r="L165">
        <v>4.6500000000000004</v>
      </c>
      <c r="M165">
        <v>1431</v>
      </c>
      <c r="N165" t="s">
        <v>125</v>
      </c>
      <c r="O165">
        <v>2</v>
      </c>
      <c r="P165" t="s">
        <v>2541</v>
      </c>
      <c r="Q165" t="s">
        <v>2244</v>
      </c>
      <c r="R165" t="s">
        <v>2199</v>
      </c>
      <c r="S165">
        <v>53</v>
      </c>
      <c r="T165">
        <v>158</v>
      </c>
      <c r="U165">
        <v>143</v>
      </c>
      <c r="V165" t="s">
        <v>2480</v>
      </c>
      <c r="W165" t="s">
        <v>2542</v>
      </c>
      <c r="X165" t="s">
        <v>79</v>
      </c>
    </row>
    <row r="166" spans="1:24">
      <c r="A166">
        <v>14370</v>
      </c>
      <c r="B166" t="s">
        <v>2543</v>
      </c>
      <c r="C166" t="s">
        <v>10</v>
      </c>
      <c r="D166" t="s">
        <v>10</v>
      </c>
      <c r="G166">
        <v>8200</v>
      </c>
      <c r="H166">
        <v>130000</v>
      </c>
      <c r="I166" t="s">
        <v>2544</v>
      </c>
      <c r="J166" t="s">
        <v>10</v>
      </c>
      <c r="K166">
        <v>465.76</v>
      </c>
      <c r="L166">
        <v>4.84</v>
      </c>
      <c r="M166">
        <v>1442</v>
      </c>
      <c r="N166" t="s">
        <v>125</v>
      </c>
      <c r="O166">
        <v>2</v>
      </c>
      <c r="P166" t="s">
        <v>2545</v>
      </c>
      <c r="Q166" t="s">
        <v>2460</v>
      </c>
      <c r="R166" t="s">
        <v>2199</v>
      </c>
      <c r="S166">
        <v>10</v>
      </c>
      <c r="T166">
        <v>27</v>
      </c>
      <c r="U166">
        <v>143</v>
      </c>
      <c r="V166" t="s">
        <v>2480</v>
      </c>
      <c r="W166" t="s">
        <v>2546</v>
      </c>
      <c r="X166" t="s">
        <v>79</v>
      </c>
    </row>
    <row r="167" spans="1:24">
      <c r="A167">
        <v>14375</v>
      </c>
      <c r="B167" t="s">
        <v>2547</v>
      </c>
      <c r="C167" t="s">
        <v>10</v>
      </c>
      <c r="D167" t="s">
        <v>10</v>
      </c>
      <c r="G167">
        <v>8200</v>
      </c>
      <c r="H167">
        <v>130000</v>
      </c>
      <c r="I167" t="s">
        <v>2544</v>
      </c>
      <c r="J167" t="s">
        <v>10</v>
      </c>
      <c r="K167">
        <v>465.76</v>
      </c>
      <c r="L167">
        <v>4.84</v>
      </c>
      <c r="M167">
        <v>1442</v>
      </c>
      <c r="N167" t="s">
        <v>125</v>
      </c>
      <c r="O167">
        <v>1</v>
      </c>
      <c r="P167" t="s">
        <v>2168</v>
      </c>
      <c r="Q167" t="s">
        <v>2169</v>
      </c>
      <c r="R167" t="s">
        <v>2199</v>
      </c>
      <c r="S167">
        <v>141</v>
      </c>
      <c r="T167">
        <v>160</v>
      </c>
      <c r="U167">
        <v>143</v>
      </c>
      <c r="V167" t="s">
        <v>2480</v>
      </c>
      <c r="W167" t="s">
        <v>2548</v>
      </c>
      <c r="X167" t="s">
        <v>79</v>
      </c>
    </row>
    <row r="168" spans="1:24">
      <c r="A168">
        <v>14377</v>
      </c>
      <c r="B168" t="s">
        <v>2549</v>
      </c>
      <c r="C168" t="s">
        <v>10</v>
      </c>
      <c r="D168" t="s">
        <v>10</v>
      </c>
      <c r="G168">
        <v>4800</v>
      </c>
      <c r="H168">
        <v>120000</v>
      </c>
      <c r="I168" t="s">
        <v>2508</v>
      </c>
      <c r="J168" t="s">
        <v>10</v>
      </c>
      <c r="K168">
        <v>355.07</v>
      </c>
      <c r="L168">
        <v>3.27</v>
      </c>
      <c r="M168">
        <v>1443</v>
      </c>
      <c r="N168" t="s">
        <v>125</v>
      </c>
      <c r="O168">
        <v>2</v>
      </c>
      <c r="P168" t="s">
        <v>2550</v>
      </c>
      <c r="Q168" t="s">
        <v>2169</v>
      </c>
      <c r="R168" t="s">
        <v>2199</v>
      </c>
      <c r="S168">
        <v>1057</v>
      </c>
      <c r="T168">
        <v>1374</v>
      </c>
      <c r="U168">
        <v>143</v>
      </c>
      <c r="V168" t="s">
        <v>2480</v>
      </c>
      <c r="W168" t="s">
        <v>2551</v>
      </c>
      <c r="X168" t="s">
        <v>79</v>
      </c>
    </row>
    <row r="169" spans="1:24">
      <c r="A169">
        <v>14378</v>
      </c>
      <c r="B169" t="s">
        <v>2552</v>
      </c>
      <c r="C169" t="s">
        <v>10</v>
      </c>
      <c r="D169" t="s">
        <v>10</v>
      </c>
      <c r="G169">
        <v>4800</v>
      </c>
      <c r="H169">
        <v>120000</v>
      </c>
      <c r="I169" t="s">
        <v>2508</v>
      </c>
      <c r="J169" t="s">
        <v>10</v>
      </c>
      <c r="K169">
        <v>355.07</v>
      </c>
      <c r="L169">
        <v>3.27</v>
      </c>
      <c r="M169">
        <v>1443</v>
      </c>
      <c r="N169" t="s">
        <v>125</v>
      </c>
      <c r="O169">
        <v>3</v>
      </c>
      <c r="P169" t="s">
        <v>2550</v>
      </c>
      <c r="Q169" t="s">
        <v>2169</v>
      </c>
      <c r="R169" t="s">
        <v>2199</v>
      </c>
      <c r="S169">
        <v>821</v>
      </c>
      <c r="T169">
        <v>878</v>
      </c>
      <c r="U169">
        <v>143</v>
      </c>
      <c r="V169" t="s">
        <v>2480</v>
      </c>
      <c r="W169" t="s">
        <v>2553</v>
      </c>
      <c r="X169" t="s">
        <v>79</v>
      </c>
    </row>
    <row r="170" spans="1:24">
      <c r="A170">
        <v>14380</v>
      </c>
      <c r="B170" t="s">
        <v>2554</v>
      </c>
      <c r="C170" t="s">
        <v>10</v>
      </c>
      <c r="D170" t="s">
        <v>10</v>
      </c>
      <c r="G170">
        <v>18000</v>
      </c>
      <c r="H170">
        <v>100000</v>
      </c>
      <c r="I170" t="s">
        <v>2555</v>
      </c>
      <c r="J170" t="s">
        <v>10</v>
      </c>
      <c r="K170">
        <v>677.7</v>
      </c>
      <c r="L170">
        <v>6.25</v>
      </c>
      <c r="M170">
        <v>1404</v>
      </c>
      <c r="N170" t="s">
        <v>125</v>
      </c>
      <c r="O170">
        <v>3</v>
      </c>
      <c r="P170" t="s">
        <v>2541</v>
      </c>
      <c r="Q170" t="s">
        <v>2244</v>
      </c>
      <c r="R170" t="s">
        <v>2199</v>
      </c>
      <c r="S170">
        <v>92</v>
      </c>
      <c r="T170">
        <v>164</v>
      </c>
      <c r="U170">
        <v>143</v>
      </c>
      <c r="V170" t="s">
        <v>2480</v>
      </c>
      <c r="W170" t="s">
        <v>2556</v>
      </c>
      <c r="X170" t="s">
        <v>79</v>
      </c>
    </row>
    <row r="171" spans="1:24">
      <c r="A171">
        <v>14381</v>
      </c>
      <c r="B171" t="s">
        <v>2557</v>
      </c>
      <c r="C171" t="s">
        <v>10</v>
      </c>
      <c r="D171" t="s">
        <v>10</v>
      </c>
      <c r="G171">
        <v>9000</v>
      </c>
      <c r="H171">
        <v>55000</v>
      </c>
      <c r="I171" t="s">
        <v>2558</v>
      </c>
      <c r="J171" t="s">
        <v>10</v>
      </c>
      <c r="K171">
        <v>655.16999999999996</v>
      </c>
      <c r="M171">
        <v>1405</v>
      </c>
      <c r="N171" t="s">
        <v>125</v>
      </c>
      <c r="P171" t="s">
        <v>2446</v>
      </c>
      <c r="Q171" t="s">
        <v>2244</v>
      </c>
      <c r="R171" t="s">
        <v>2199</v>
      </c>
      <c r="S171">
        <v>0</v>
      </c>
      <c r="T171">
        <v>0</v>
      </c>
      <c r="U171">
        <v>140</v>
      </c>
      <c r="V171" t="s">
        <v>2559</v>
      </c>
      <c r="W171" t="s">
        <v>2560</v>
      </c>
      <c r="X171" t="s">
        <v>79</v>
      </c>
    </row>
    <row r="172" spans="1:24">
      <c r="A172">
        <v>14385</v>
      </c>
      <c r="B172" t="s">
        <v>2561</v>
      </c>
      <c r="C172" t="s">
        <v>10</v>
      </c>
      <c r="D172" t="s">
        <v>10</v>
      </c>
      <c r="G172">
        <v>2300</v>
      </c>
      <c r="H172">
        <v>90000</v>
      </c>
      <c r="I172" t="s">
        <v>2242</v>
      </c>
      <c r="J172" t="s">
        <v>10</v>
      </c>
      <c r="K172">
        <v>659</v>
      </c>
      <c r="L172">
        <v>9.0299999999999994</v>
      </c>
      <c r="M172">
        <v>1311</v>
      </c>
      <c r="N172" t="s">
        <v>125</v>
      </c>
      <c r="O172">
        <v>1</v>
      </c>
      <c r="P172" t="s">
        <v>2541</v>
      </c>
      <c r="Q172" t="s">
        <v>2244</v>
      </c>
      <c r="R172" t="s">
        <v>2199</v>
      </c>
      <c r="S172">
        <v>4</v>
      </c>
      <c r="T172">
        <v>14</v>
      </c>
      <c r="U172">
        <v>143</v>
      </c>
      <c r="V172" t="s">
        <v>2480</v>
      </c>
      <c r="W172" t="s">
        <v>2562</v>
      </c>
      <c r="X172" t="s">
        <v>79</v>
      </c>
    </row>
    <row r="173" spans="1:24">
      <c r="A173">
        <v>14440</v>
      </c>
      <c r="B173" t="s">
        <v>2563</v>
      </c>
      <c r="C173" t="s">
        <v>10</v>
      </c>
      <c r="D173" t="s">
        <v>10</v>
      </c>
      <c r="G173">
        <v>5800</v>
      </c>
      <c r="H173">
        <v>190000</v>
      </c>
      <c r="I173" t="s">
        <v>2196</v>
      </c>
      <c r="J173" t="s">
        <v>10</v>
      </c>
      <c r="K173">
        <v>599</v>
      </c>
      <c r="L173">
        <v>3.77</v>
      </c>
      <c r="M173">
        <v>1444</v>
      </c>
      <c r="N173" t="s">
        <v>125</v>
      </c>
      <c r="P173" t="s">
        <v>2153</v>
      </c>
      <c r="Q173" t="s">
        <v>2154</v>
      </c>
      <c r="R173" t="s">
        <v>2199</v>
      </c>
      <c r="S173">
        <v>8</v>
      </c>
      <c r="T173">
        <v>8</v>
      </c>
      <c r="U173">
        <v>144</v>
      </c>
      <c r="V173" t="s">
        <v>2564</v>
      </c>
      <c r="W173" t="s">
        <v>2565</v>
      </c>
      <c r="X173" t="s">
        <v>79</v>
      </c>
    </row>
    <row r="174" spans="1:24">
      <c r="A174">
        <v>14441</v>
      </c>
      <c r="B174" t="s">
        <v>2566</v>
      </c>
      <c r="C174" t="s">
        <v>10</v>
      </c>
      <c r="D174" t="s">
        <v>10</v>
      </c>
      <c r="G174">
        <v>5800</v>
      </c>
      <c r="H174">
        <v>190000</v>
      </c>
      <c r="I174" t="s">
        <v>2196</v>
      </c>
      <c r="J174" t="s">
        <v>10</v>
      </c>
      <c r="K174">
        <v>599</v>
      </c>
      <c r="L174">
        <v>3.77</v>
      </c>
      <c r="M174">
        <v>1444</v>
      </c>
      <c r="N174" t="s">
        <v>79</v>
      </c>
      <c r="O174">
        <v>4</v>
      </c>
      <c r="P174" t="s">
        <v>2567</v>
      </c>
      <c r="Q174" t="s">
        <v>2484</v>
      </c>
      <c r="R174" t="s">
        <v>2199</v>
      </c>
      <c r="S174">
        <v>4</v>
      </c>
      <c r="T174">
        <v>4</v>
      </c>
      <c r="U174">
        <v>144</v>
      </c>
      <c r="V174" t="s">
        <v>2564</v>
      </c>
      <c r="W174" t="s">
        <v>2568</v>
      </c>
      <c r="X174" t="s">
        <v>79</v>
      </c>
    </row>
    <row r="175" spans="1:24">
      <c r="A175">
        <v>14810</v>
      </c>
      <c r="B175" t="s">
        <v>2569</v>
      </c>
      <c r="C175" t="s">
        <v>2162</v>
      </c>
      <c r="F175" t="s">
        <v>2162</v>
      </c>
      <c r="G175">
        <v>1</v>
      </c>
      <c r="H175">
        <v>1</v>
      </c>
      <c r="I175" t="s">
        <v>2570</v>
      </c>
      <c r="J175" t="s">
        <v>2162</v>
      </c>
      <c r="K175">
        <v>265800.59000000003</v>
      </c>
      <c r="L175">
        <v>2517.87</v>
      </c>
      <c r="M175">
        <v>1481</v>
      </c>
      <c r="N175" t="s">
        <v>125</v>
      </c>
      <c r="O175">
        <v>3</v>
      </c>
      <c r="P175" t="s">
        <v>2479</v>
      </c>
      <c r="Q175" t="s">
        <v>2460</v>
      </c>
      <c r="R175" t="s">
        <v>159</v>
      </c>
      <c r="S175">
        <v>0</v>
      </c>
      <c r="T175">
        <v>0</v>
      </c>
      <c r="U175">
        <v>148</v>
      </c>
      <c r="V175" t="s">
        <v>2571</v>
      </c>
      <c r="W175" t="s">
        <v>2572</v>
      </c>
      <c r="X175" t="s">
        <v>79</v>
      </c>
    </row>
    <row r="176" spans="1:24">
      <c r="A176">
        <v>14815</v>
      </c>
      <c r="B176" t="s">
        <v>2573</v>
      </c>
      <c r="C176" t="s">
        <v>2162</v>
      </c>
      <c r="F176" t="s">
        <v>2162</v>
      </c>
      <c r="G176">
        <v>1</v>
      </c>
      <c r="H176">
        <v>1</v>
      </c>
      <c r="I176" t="s">
        <v>2574</v>
      </c>
      <c r="J176" t="s">
        <v>2162</v>
      </c>
      <c r="K176">
        <v>1559634.59</v>
      </c>
      <c r="L176">
        <v>2593.64</v>
      </c>
      <c r="M176">
        <v>1491</v>
      </c>
      <c r="N176" t="s">
        <v>125</v>
      </c>
      <c r="O176">
        <v>3</v>
      </c>
      <c r="P176" t="s">
        <v>2153</v>
      </c>
      <c r="Q176" t="s">
        <v>2154</v>
      </c>
      <c r="R176" t="s">
        <v>159</v>
      </c>
      <c r="S176">
        <v>0</v>
      </c>
      <c r="T176">
        <v>0</v>
      </c>
      <c r="U176">
        <v>148</v>
      </c>
      <c r="V176" t="s">
        <v>2571</v>
      </c>
      <c r="W176" t="s">
        <v>2575</v>
      </c>
      <c r="X176" t="s">
        <v>79</v>
      </c>
    </row>
    <row r="177" spans="1:24">
      <c r="A177">
        <v>14817</v>
      </c>
      <c r="B177" t="s">
        <v>2576</v>
      </c>
      <c r="C177" t="s">
        <v>2162</v>
      </c>
      <c r="F177" t="s">
        <v>2162</v>
      </c>
      <c r="G177">
        <v>1</v>
      </c>
      <c r="H177">
        <v>1</v>
      </c>
      <c r="I177" t="s">
        <v>2577</v>
      </c>
      <c r="J177" t="s">
        <v>2162</v>
      </c>
      <c r="K177">
        <v>1282284.68</v>
      </c>
      <c r="L177">
        <v>10864</v>
      </c>
      <c r="M177">
        <v>1456</v>
      </c>
      <c r="N177" t="s">
        <v>79</v>
      </c>
      <c r="O177">
        <v>3</v>
      </c>
      <c r="P177" t="s">
        <v>2446</v>
      </c>
      <c r="Q177" t="s">
        <v>2244</v>
      </c>
      <c r="R177" t="s">
        <v>159</v>
      </c>
      <c r="S177">
        <v>21</v>
      </c>
      <c r="T177">
        <v>21</v>
      </c>
      <c r="U177">
        <v>148</v>
      </c>
      <c r="V177" t="s">
        <v>2571</v>
      </c>
      <c r="W177" t="s">
        <v>2578</v>
      </c>
      <c r="X177" t="s">
        <v>79</v>
      </c>
    </row>
    <row r="178" spans="1:24">
      <c r="A178">
        <v>14820</v>
      </c>
      <c r="B178" t="s">
        <v>2579</v>
      </c>
      <c r="C178" t="s">
        <v>2162</v>
      </c>
      <c r="F178" t="s">
        <v>2162</v>
      </c>
      <c r="G178">
        <v>3</v>
      </c>
      <c r="H178">
        <v>16</v>
      </c>
      <c r="I178" t="s">
        <v>2580</v>
      </c>
      <c r="J178" t="s">
        <v>2162</v>
      </c>
      <c r="K178">
        <v>148789.75</v>
      </c>
      <c r="L178">
        <v>4390.04</v>
      </c>
      <c r="M178">
        <v>1783</v>
      </c>
      <c r="N178" t="s">
        <v>79</v>
      </c>
      <c r="O178">
        <v>2</v>
      </c>
      <c r="P178" t="s">
        <v>2153</v>
      </c>
      <c r="Q178" t="s">
        <v>2154</v>
      </c>
      <c r="R178" t="s">
        <v>159</v>
      </c>
      <c r="S178">
        <v>17</v>
      </c>
      <c r="T178">
        <v>17</v>
      </c>
      <c r="U178">
        <v>148</v>
      </c>
      <c r="V178" t="s">
        <v>2571</v>
      </c>
      <c r="W178" t="s">
        <v>2581</v>
      </c>
      <c r="X178" t="s">
        <v>79</v>
      </c>
    </row>
    <row r="179" spans="1:24">
      <c r="A179">
        <v>14825</v>
      </c>
      <c r="B179" t="s">
        <v>2582</v>
      </c>
      <c r="C179" t="s">
        <v>2162</v>
      </c>
      <c r="D179" t="s">
        <v>2097</v>
      </c>
      <c r="F179" t="s">
        <v>2162</v>
      </c>
      <c r="G179">
        <v>530</v>
      </c>
      <c r="H179">
        <v>160000</v>
      </c>
      <c r="I179" t="s">
        <v>2583</v>
      </c>
      <c r="J179" t="s">
        <v>2097</v>
      </c>
      <c r="K179">
        <v>76.33</v>
      </c>
      <c r="L179">
        <v>1.8</v>
      </c>
      <c r="M179">
        <v>8526</v>
      </c>
      <c r="N179" t="s">
        <v>125</v>
      </c>
      <c r="O179">
        <v>3</v>
      </c>
      <c r="P179" t="s">
        <v>2153</v>
      </c>
      <c r="Q179" t="s">
        <v>2154</v>
      </c>
      <c r="R179" t="s">
        <v>2102</v>
      </c>
      <c r="S179">
        <v>59</v>
      </c>
      <c r="T179">
        <v>59</v>
      </c>
      <c r="U179">
        <v>148</v>
      </c>
      <c r="V179" t="s">
        <v>2571</v>
      </c>
      <c r="W179" t="s">
        <v>2584</v>
      </c>
      <c r="X179" t="s">
        <v>79</v>
      </c>
    </row>
    <row r="180" spans="1:24">
      <c r="A180">
        <v>14830</v>
      </c>
      <c r="B180" t="s">
        <v>2585</v>
      </c>
      <c r="C180" t="s">
        <v>2162</v>
      </c>
      <c r="E180" t="s">
        <v>2098</v>
      </c>
      <c r="F180" t="s">
        <v>2162</v>
      </c>
      <c r="G180">
        <v>1</v>
      </c>
      <c r="H180">
        <v>1</v>
      </c>
      <c r="I180" t="s">
        <v>2586</v>
      </c>
      <c r="J180" t="s">
        <v>2162</v>
      </c>
      <c r="K180">
        <v>601785.1</v>
      </c>
      <c r="L180">
        <v>8841.73</v>
      </c>
      <c r="M180">
        <v>1493</v>
      </c>
      <c r="N180" t="s">
        <v>125</v>
      </c>
      <c r="O180">
        <v>3</v>
      </c>
      <c r="P180" t="s">
        <v>2153</v>
      </c>
      <c r="Q180" t="s">
        <v>2154</v>
      </c>
      <c r="R180" t="s">
        <v>159</v>
      </c>
      <c r="S180">
        <v>174</v>
      </c>
      <c r="T180">
        <v>176</v>
      </c>
      <c r="U180">
        <v>148</v>
      </c>
      <c r="V180" t="s">
        <v>2571</v>
      </c>
      <c r="W180" t="s">
        <v>2587</v>
      </c>
      <c r="X180" t="s">
        <v>79</v>
      </c>
    </row>
    <row r="181" spans="1:24">
      <c r="A181">
        <v>14835</v>
      </c>
      <c r="B181" t="s">
        <v>2588</v>
      </c>
      <c r="C181" t="s">
        <v>2162</v>
      </c>
      <c r="D181" t="s">
        <v>2097</v>
      </c>
      <c r="F181" t="s">
        <v>2162</v>
      </c>
      <c r="G181">
        <v>530</v>
      </c>
      <c r="H181">
        <v>160000</v>
      </c>
      <c r="I181" t="s">
        <v>2583</v>
      </c>
      <c r="J181" t="s">
        <v>2097</v>
      </c>
      <c r="K181">
        <v>76.33</v>
      </c>
      <c r="L181">
        <v>1.8</v>
      </c>
      <c r="M181">
        <v>8526</v>
      </c>
      <c r="N181" t="s">
        <v>125</v>
      </c>
      <c r="O181">
        <v>1</v>
      </c>
      <c r="P181" t="s">
        <v>2153</v>
      </c>
      <c r="Q181" t="s">
        <v>2154</v>
      </c>
      <c r="R181" t="s">
        <v>2102</v>
      </c>
      <c r="S181">
        <v>30</v>
      </c>
      <c r="T181">
        <v>30</v>
      </c>
      <c r="U181">
        <v>148</v>
      </c>
      <c r="V181" t="s">
        <v>2571</v>
      </c>
      <c r="W181" t="s">
        <v>2589</v>
      </c>
      <c r="X181" t="s">
        <v>79</v>
      </c>
    </row>
    <row r="182" spans="1:24">
      <c r="A182">
        <v>14840</v>
      </c>
      <c r="B182" t="s">
        <v>2590</v>
      </c>
      <c r="C182" t="s">
        <v>2162</v>
      </c>
      <c r="D182" t="s">
        <v>2097</v>
      </c>
      <c r="F182" t="s">
        <v>2162</v>
      </c>
      <c r="G182">
        <v>530</v>
      </c>
      <c r="H182">
        <v>160000</v>
      </c>
      <c r="I182" t="s">
        <v>2583</v>
      </c>
      <c r="J182" t="s">
        <v>2097</v>
      </c>
      <c r="K182">
        <v>76.33</v>
      </c>
      <c r="L182">
        <v>1.8</v>
      </c>
      <c r="M182">
        <v>8526</v>
      </c>
      <c r="N182" t="s">
        <v>125</v>
      </c>
      <c r="O182">
        <v>1</v>
      </c>
      <c r="P182" t="s">
        <v>2153</v>
      </c>
      <c r="Q182" t="s">
        <v>2154</v>
      </c>
      <c r="R182" t="s">
        <v>2102</v>
      </c>
      <c r="S182">
        <v>0</v>
      </c>
      <c r="T182">
        <v>1</v>
      </c>
      <c r="U182">
        <v>148</v>
      </c>
      <c r="V182" t="s">
        <v>2571</v>
      </c>
      <c r="W182" t="s">
        <v>2591</v>
      </c>
      <c r="X182" t="s">
        <v>79</v>
      </c>
    </row>
    <row r="183" spans="1:24">
      <c r="A183">
        <v>14845</v>
      </c>
      <c r="B183" t="s">
        <v>2592</v>
      </c>
      <c r="C183" t="s">
        <v>2097</v>
      </c>
      <c r="D183" t="s">
        <v>2097</v>
      </c>
      <c r="F183" t="s">
        <v>2162</v>
      </c>
      <c r="G183">
        <v>530</v>
      </c>
      <c r="H183">
        <v>160000</v>
      </c>
      <c r="I183" t="s">
        <v>2583</v>
      </c>
      <c r="J183" t="s">
        <v>2097</v>
      </c>
      <c r="K183">
        <v>76.33</v>
      </c>
      <c r="L183">
        <v>1.8</v>
      </c>
      <c r="M183">
        <v>8526</v>
      </c>
      <c r="N183" t="s">
        <v>125</v>
      </c>
      <c r="O183">
        <v>1</v>
      </c>
      <c r="P183" t="s">
        <v>2153</v>
      </c>
      <c r="Q183" t="s">
        <v>2154</v>
      </c>
      <c r="R183" t="s">
        <v>2102</v>
      </c>
      <c r="S183">
        <v>6</v>
      </c>
      <c r="T183">
        <v>6</v>
      </c>
      <c r="U183">
        <v>148</v>
      </c>
      <c r="V183" t="s">
        <v>2571</v>
      </c>
      <c r="W183" t="s">
        <v>2593</v>
      </c>
      <c r="X183" t="s">
        <v>79</v>
      </c>
    </row>
    <row r="184" spans="1:24">
      <c r="A184">
        <v>14910</v>
      </c>
      <c r="B184" t="s">
        <v>2594</v>
      </c>
      <c r="C184" t="s">
        <v>2162</v>
      </c>
      <c r="F184" t="s">
        <v>2162</v>
      </c>
      <c r="G184">
        <v>13</v>
      </c>
      <c r="H184">
        <v>220</v>
      </c>
      <c r="I184" t="s">
        <v>2595</v>
      </c>
      <c r="J184" t="s">
        <v>2162</v>
      </c>
      <c r="K184">
        <v>44583.68</v>
      </c>
      <c r="L184">
        <v>188.93</v>
      </c>
      <c r="M184">
        <v>1495</v>
      </c>
      <c r="N184" t="s">
        <v>79</v>
      </c>
      <c r="O184">
        <v>2</v>
      </c>
      <c r="P184" t="s">
        <v>2153</v>
      </c>
      <c r="Q184" t="s">
        <v>2154</v>
      </c>
      <c r="R184" t="s">
        <v>159</v>
      </c>
      <c r="S184">
        <v>61</v>
      </c>
      <c r="T184">
        <v>80</v>
      </c>
      <c r="U184">
        <v>149</v>
      </c>
      <c r="V184" t="s">
        <v>2596</v>
      </c>
      <c r="W184" t="s">
        <v>2597</v>
      </c>
      <c r="X184" t="s">
        <v>79</v>
      </c>
    </row>
    <row r="185" spans="1:24">
      <c r="A185">
        <v>14915</v>
      </c>
      <c r="B185" t="s">
        <v>2598</v>
      </c>
      <c r="C185" t="s">
        <v>2162</v>
      </c>
      <c r="E185" t="s">
        <v>2599</v>
      </c>
      <c r="F185" t="s">
        <v>2162</v>
      </c>
      <c r="G185">
        <v>1</v>
      </c>
      <c r="H185">
        <v>1</v>
      </c>
      <c r="I185" t="s">
        <v>2600</v>
      </c>
      <c r="J185" t="s">
        <v>2162</v>
      </c>
      <c r="K185">
        <v>59407.4</v>
      </c>
      <c r="L185">
        <v>12985.24</v>
      </c>
      <c r="M185">
        <v>1467</v>
      </c>
      <c r="N185" t="s">
        <v>125</v>
      </c>
      <c r="O185">
        <v>2</v>
      </c>
      <c r="P185" t="s">
        <v>2601</v>
      </c>
      <c r="Q185" t="s">
        <v>2460</v>
      </c>
      <c r="R185" t="s">
        <v>159</v>
      </c>
      <c r="S185">
        <v>34</v>
      </c>
      <c r="T185">
        <v>41</v>
      </c>
      <c r="U185">
        <v>149</v>
      </c>
      <c r="V185" t="s">
        <v>2596</v>
      </c>
      <c r="W185" t="s">
        <v>2602</v>
      </c>
      <c r="X185" t="s">
        <v>79</v>
      </c>
    </row>
    <row r="186" spans="1:24">
      <c r="A186">
        <v>14930</v>
      </c>
      <c r="B186" t="s">
        <v>2603</v>
      </c>
      <c r="C186" t="s">
        <v>2162</v>
      </c>
      <c r="F186" t="s">
        <v>2162</v>
      </c>
      <c r="G186">
        <v>1</v>
      </c>
      <c r="H186">
        <v>12</v>
      </c>
      <c r="I186" t="s">
        <v>2604</v>
      </c>
      <c r="J186" t="s">
        <v>2162</v>
      </c>
      <c r="K186">
        <v>1193751.03</v>
      </c>
      <c r="L186">
        <v>104215.62</v>
      </c>
      <c r="M186">
        <v>1461</v>
      </c>
      <c r="N186" t="s">
        <v>79</v>
      </c>
      <c r="O186">
        <v>1</v>
      </c>
      <c r="P186" t="s">
        <v>2100</v>
      </c>
      <c r="Q186" t="s">
        <v>2101</v>
      </c>
      <c r="R186" t="s">
        <v>159</v>
      </c>
      <c r="S186">
        <v>102</v>
      </c>
      <c r="T186">
        <v>103</v>
      </c>
      <c r="U186">
        <v>149</v>
      </c>
      <c r="V186" t="s">
        <v>2596</v>
      </c>
      <c r="W186" t="s">
        <v>2605</v>
      </c>
      <c r="X186" t="s">
        <v>79</v>
      </c>
    </row>
    <row r="187" spans="1:24">
      <c r="A187">
        <v>14945</v>
      </c>
      <c r="B187" t="s">
        <v>2606</v>
      </c>
      <c r="C187" t="s">
        <v>2162</v>
      </c>
      <c r="F187" t="s">
        <v>2162</v>
      </c>
      <c r="G187">
        <v>1</v>
      </c>
      <c r="H187">
        <v>1</v>
      </c>
      <c r="I187" t="s">
        <v>2607</v>
      </c>
      <c r="J187" t="s">
        <v>2162</v>
      </c>
      <c r="K187">
        <v>984753.8</v>
      </c>
      <c r="L187">
        <v>1859.21</v>
      </c>
      <c r="M187">
        <v>3901</v>
      </c>
      <c r="N187" t="s">
        <v>79</v>
      </c>
      <c r="O187">
        <v>3</v>
      </c>
      <c r="P187" t="s">
        <v>2608</v>
      </c>
      <c r="Q187" t="s">
        <v>2460</v>
      </c>
      <c r="R187" t="s">
        <v>159</v>
      </c>
      <c r="S187">
        <v>53</v>
      </c>
      <c r="T187">
        <v>53</v>
      </c>
      <c r="U187">
        <v>149</v>
      </c>
      <c r="V187" t="s">
        <v>2596</v>
      </c>
      <c r="W187" t="s">
        <v>2609</v>
      </c>
      <c r="X187" t="s">
        <v>79</v>
      </c>
    </row>
    <row r="188" spans="1:24">
      <c r="A188">
        <v>14950</v>
      </c>
      <c r="B188" t="s">
        <v>2610</v>
      </c>
      <c r="C188" t="s">
        <v>2162</v>
      </c>
      <c r="E188" t="s">
        <v>2098</v>
      </c>
      <c r="F188" t="s">
        <v>2162</v>
      </c>
      <c r="G188">
        <v>130</v>
      </c>
      <c r="H188">
        <v>625</v>
      </c>
      <c r="I188" t="s">
        <v>2611</v>
      </c>
      <c r="J188" t="s">
        <v>2098</v>
      </c>
      <c r="K188">
        <v>21588.52</v>
      </c>
      <c r="L188">
        <v>803.99</v>
      </c>
      <c r="M188">
        <v>1464</v>
      </c>
      <c r="N188" t="s">
        <v>79</v>
      </c>
      <c r="O188">
        <v>2</v>
      </c>
      <c r="P188" t="s">
        <v>2100</v>
      </c>
      <c r="Q188" t="s">
        <v>2101</v>
      </c>
      <c r="R188" t="s">
        <v>159</v>
      </c>
      <c r="S188">
        <v>47</v>
      </c>
      <c r="T188">
        <v>50</v>
      </c>
      <c r="U188">
        <v>149</v>
      </c>
      <c r="V188" t="s">
        <v>2596</v>
      </c>
      <c r="W188" t="s">
        <v>2612</v>
      </c>
      <c r="X188" t="s">
        <v>79</v>
      </c>
    </row>
    <row r="189" spans="1:24">
      <c r="A189">
        <v>14962</v>
      </c>
      <c r="B189" t="s">
        <v>2613</v>
      </c>
      <c r="C189" t="s">
        <v>10</v>
      </c>
      <c r="D189" t="s">
        <v>10</v>
      </c>
      <c r="G189">
        <v>50000</v>
      </c>
      <c r="H189">
        <v>600000</v>
      </c>
      <c r="I189" t="s">
        <v>2613</v>
      </c>
      <c r="J189" t="s">
        <v>10</v>
      </c>
      <c r="K189">
        <v>201.36</v>
      </c>
      <c r="L189">
        <v>2.89</v>
      </c>
      <c r="M189">
        <v>1496</v>
      </c>
      <c r="N189" t="s">
        <v>125</v>
      </c>
      <c r="O189">
        <v>3</v>
      </c>
      <c r="P189" t="s">
        <v>2545</v>
      </c>
      <c r="Q189" t="s">
        <v>2460</v>
      </c>
      <c r="R189" t="s">
        <v>159</v>
      </c>
      <c r="S189">
        <v>0</v>
      </c>
      <c r="T189">
        <v>0</v>
      </c>
      <c r="U189">
        <v>149</v>
      </c>
      <c r="V189" t="s">
        <v>2596</v>
      </c>
      <c r="W189" t="s">
        <v>2614</v>
      </c>
      <c r="X189" t="s">
        <v>79</v>
      </c>
    </row>
    <row r="190" spans="1:24">
      <c r="A190">
        <v>14985</v>
      </c>
      <c r="B190" t="s">
        <v>2615</v>
      </c>
      <c r="C190" t="s">
        <v>2162</v>
      </c>
      <c r="D190" t="s">
        <v>2097</v>
      </c>
      <c r="F190" t="s">
        <v>2162</v>
      </c>
      <c r="G190">
        <v>1</v>
      </c>
      <c r="H190">
        <v>1</v>
      </c>
      <c r="I190" t="s">
        <v>2600</v>
      </c>
      <c r="J190" t="s">
        <v>2162</v>
      </c>
      <c r="K190">
        <v>59407.4</v>
      </c>
      <c r="L190">
        <v>12985.24</v>
      </c>
      <c r="M190">
        <v>1467</v>
      </c>
      <c r="N190" t="s">
        <v>125</v>
      </c>
      <c r="O190">
        <v>1</v>
      </c>
      <c r="P190" t="s">
        <v>2315</v>
      </c>
      <c r="Q190" t="s">
        <v>2101</v>
      </c>
      <c r="R190" t="s">
        <v>159</v>
      </c>
      <c r="S190">
        <v>4</v>
      </c>
      <c r="T190">
        <v>4</v>
      </c>
      <c r="U190">
        <v>149</v>
      </c>
      <c r="V190" t="s">
        <v>2596</v>
      </c>
      <c r="W190" t="s">
        <v>2616</v>
      </c>
      <c r="X190" t="s">
        <v>79</v>
      </c>
    </row>
    <row r="191" spans="1:24">
      <c r="A191">
        <v>14986</v>
      </c>
      <c r="B191" t="s">
        <v>2617</v>
      </c>
      <c r="C191" t="s">
        <v>2162</v>
      </c>
      <c r="D191" t="s">
        <v>10</v>
      </c>
      <c r="F191" t="s">
        <v>2162</v>
      </c>
      <c r="G191">
        <v>5500</v>
      </c>
      <c r="H191">
        <v>400000</v>
      </c>
      <c r="I191" t="s">
        <v>2536</v>
      </c>
      <c r="J191" t="s">
        <v>10</v>
      </c>
      <c r="K191">
        <v>195.5</v>
      </c>
      <c r="L191">
        <v>1.49</v>
      </c>
      <c r="M191">
        <v>4422</v>
      </c>
      <c r="N191" t="s">
        <v>125</v>
      </c>
      <c r="P191" t="s">
        <v>2205</v>
      </c>
      <c r="Q191" t="s">
        <v>2206</v>
      </c>
      <c r="R191" t="s">
        <v>159</v>
      </c>
      <c r="S191">
        <v>191</v>
      </c>
      <c r="T191">
        <v>199</v>
      </c>
      <c r="U191">
        <v>149</v>
      </c>
      <c r="V191" t="s">
        <v>2596</v>
      </c>
      <c r="W191" t="s">
        <v>2618</v>
      </c>
      <c r="X191" t="s">
        <v>79</v>
      </c>
    </row>
    <row r="192" spans="1:24">
      <c r="A192">
        <v>15110</v>
      </c>
      <c r="B192" t="s">
        <v>2619</v>
      </c>
      <c r="C192" t="s">
        <v>2620</v>
      </c>
      <c r="D192" t="s">
        <v>2097</v>
      </c>
      <c r="E192" t="s">
        <v>2621</v>
      </c>
      <c r="F192" t="s">
        <v>2620</v>
      </c>
      <c r="G192">
        <v>5000</v>
      </c>
      <c r="H192">
        <v>40000</v>
      </c>
      <c r="I192" t="s">
        <v>2622</v>
      </c>
      <c r="J192" t="s">
        <v>2097</v>
      </c>
      <c r="K192">
        <v>4668.25</v>
      </c>
      <c r="L192">
        <v>31.2</v>
      </c>
      <c r="M192">
        <v>1511</v>
      </c>
      <c r="N192" t="s">
        <v>125</v>
      </c>
      <c r="O192">
        <v>1</v>
      </c>
      <c r="P192" t="s">
        <v>2153</v>
      </c>
      <c r="Q192" t="s">
        <v>2154</v>
      </c>
      <c r="R192" t="s">
        <v>159</v>
      </c>
      <c r="S192">
        <v>9</v>
      </c>
      <c r="T192">
        <v>10</v>
      </c>
      <c r="U192">
        <v>151</v>
      </c>
      <c r="V192" t="s">
        <v>2623</v>
      </c>
      <c r="W192" t="s">
        <v>2624</v>
      </c>
      <c r="X192" t="s">
        <v>79</v>
      </c>
    </row>
    <row r="193" spans="1:24">
      <c r="A193">
        <v>15120</v>
      </c>
      <c r="B193" t="s">
        <v>2625</v>
      </c>
      <c r="C193" t="s">
        <v>2620</v>
      </c>
      <c r="D193" t="s">
        <v>2097</v>
      </c>
      <c r="E193" t="s">
        <v>2621</v>
      </c>
      <c r="F193" t="s">
        <v>2620</v>
      </c>
      <c r="G193">
        <v>5000</v>
      </c>
      <c r="H193">
        <v>40000</v>
      </c>
      <c r="I193" t="s">
        <v>2622</v>
      </c>
      <c r="J193" t="s">
        <v>2097</v>
      </c>
      <c r="K193">
        <v>4668.25</v>
      </c>
      <c r="L193">
        <v>31.2</v>
      </c>
      <c r="M193">
        <v>1511</v>
      </c>
      <c r="N193" t="s">
        <v>125</v>
      </c>
      <c r="O193">
        <v>1</v>
      </c>
      <c r="P193" t="s">
        <v>2626</v>
      </c>
      <c r="Q193" t="s">
        <v>2184</v>
      </c>
      <c r="R193" t="s">
        <v>159</v>
      </c>
      <c r="S193">
        <v>152</v>
      </c>
      <c r="T193">
        <v>160</v>
      </c>
      <c r="U193">
        <v>151</v>
      </c>
      <c r="V193" t="s">
        <v>2623</v>
      </c>
      <c r="W193" t="s">
        <v>2627</v>
      </c>
      <c r="X193" t="s">
        <v>79</v>
      </c>
    </row>
    <row r="194" spans="1:24">
      <c r="A194">
        <v>15140</v>
      </c>
      <c r="B194" t="s">
        <v>2628</v>
      </c>
      <c r="C194" t="s">
        <v>2620</v>
      </c>
      <c r="D194" t="s">
        <v>2097</v>
      </c>
      <c r="E194" t="s">
        <v>2621</v>
      </c>
      <c r="F194" t="s">
        <v>2620</v>
      </c>
      <c r="G194">
        <v>5000</v>
      </c>
      <c r="H194">
        <v>40000</v>
      </c>
      <c r="I194" t="s">
        <v>2622</v>
      </c>
      <c r="J194" t="s">
        <v>2097</v>
      </c>
      <c r="K194">
        <v>4668.25</v>
      </c>
      <c r="L194">
        <v>31.2</v>
      </c>
      <c r="M194">
        <v>1511</v>
      </c>
      <c r="N194" t="s">
        <v>125</v>
      </c>
      <c r="O194">
        <v>1</v>
      </c>
      <c r="P194" t="s">
        <v>2626</v>
      </c>
      <c r="Q194" t="s">
        <v>2184</v>
      </c>
      <c r="R194" t="s">
        <v>159</v>
      </c>
      <c r="S194">
        <v>25</v>
      </c>
      <c r="T194">
        <v>26</v>
      </c>
      <c r="U194">
        <v>151</v>
      </c>
      <c r="V194" t="s">
        <v>2623</v>
      </c>
      <c r="W194" t="s">
        <v>2629</v>
      </c>
      <c r="X194" t="s">
        <v>79</v>
      </c>
    </row>
    <row r="195" spans="1:24">
      <c r="A195">
        <v>15141</v>
      </c>
      <c r="B195" t="s">
        <v>2630</v>
      </c>
      <c r="C195" t="s">
        <v>2162</v>
      </c>
      <c r="F195" t="s">
        <v>2162</v>
      </c>
      <c r="G195">
        <v>1</v>
      </c>
      <c r="H195">
        <v>1</v>
      </c>
      <c r="I195" t="s">
        <v>2631</v>
      </c>
      <c r="J195" t="s">
        <v>2162</v>
      </c>
      <c r="K195">
        <v>12056.66</v>
      </c>
      <c r="L195">
        <v>701.68</v>
      </c>
      <c r="M195">
        <v>7517</v>
      </c>
      <c r="N195" t="s">
        <v>125</v>
      </c>
      <c r="P195" t="s">
        <v>2483</v>
      </c>
      <c r="Q195" t="s">
        <v>2484</v>
      </c>
      <c r="R195" t="s">
        <v>159</v>
      </c>
      <c r="S195">
        <v>0</v>
      </c>
      <c r="T195">
        <v>0</v>
      </c>
      <c r="U195">
        <v>751</v>
      </c>
      <c r="V195" t="s">
        <v>2632</v>
      </c>
      <c r="W195" t="s">
        <v>2633</v>
      </c>
      <c r="X195" t="s">
        <v>79</v>
      </c>
    </row>
    <row r="196" spans="1:24">
      <c r="A196">
        <v>15150</v>
      </c>
      <c r="B196" t="s">
        <v>2634</v>
      </c>
      <c r="C196" t="s">
        <v>2620</v>
      </c>
      <c r="D196" t="s">
        <v>2097</v>
      </c>
      <c r="E196" t="s">
        <v>2621</v>
      </c>
      <c r="F196" t="s">
        <v>2620</v>
      </c>
      <c r="G196">
        <v>5000</v>
      </c>
      <c r="H196">
        <v>40000</v>
      </c>
      <c r="I196" t="s">
        <v>2622</v>
      </c>
      <c r="J196" t="s">
        <v>2097</v>
      </c>
      <c r="K196">
        <v>4668.25</v>
      </c>
      <c r="L196">
        <v>31.2</v>
      </c>
      <c r="M196">
        <v>1511</v>
      </c>
      <c r="N196" t="s">
        <v>125</v>
      </c>
      <c r="O196">
        <v>1</v>
      </c>
      <c r="P196" t="s">
        <v>2479</v>
      </c>
      <c r="Q196" t="s">
        <v>2460</v>
      </c>
      <c r="R196" t="s">
        <v>159</v>
      </c>
      <c r="S196">
        <v>33</v>
      </c>
      <c r="T196">
        <v>33</v>
      </c>
      <c r="U196">
        <v>151</v>
      </c>
      <c r="V196" t="s">
        <v>2623</v>
      </c>
      <c r="W196" t="s">
        <v>2635</v>
      </c>
      <c r="X196" t="s">
        <v>79</v>
      </c>
    </row>
    <row r="197" spans="1:24">
      <c r="A197">
        <v>15160</v>
      </c>
      <c r="B197" t="s">
        <v>2636</v>
      </c>
      <c r="C197" t="s">
        <v>2620</v>
      </c>
      <c r="D197" t="s">
        <v>2097</v>
      </c>
      <c r="E197" t="s">
        <v>2621</v>
      </c>
      <c r="F197" t="s">
        <v>2620</v>
      </c>
      <c r="G197">
        <v>5000</v>
      </c>
      <c r="H197">
        <v>40000</v>
      </c>
      <c r="I197" t="s">
        <v>2622</v>
      </c>
      <c r="J197" t="s">
        <v>2097</v>
      </c>
      <c r="K197">
        <v>4668.25</v>
      </c>
      <c r="L197">
        <v>31.2</v>
      </c>
      <c r="M197">
        <v>1511</v>
      </c>
      <c r="N197" t="s">
        <v>125</v>
      </c>
      <c r="O197">
        <v>1</v>
      </c>
      <c r="P197" t="s">
        <v>2626</v>
      </c>
      <c r="Q197" t="s">
        <v>2184</v>
      </c>
      <c r="R197" t="s">
        <v>159</v>
      </c>
      <c r="S197">
        <v>6</v>
      </c>
      <c r="T197">
        <v>6</v>
      </c>
      <c r="U197">
        <v>151</v>
      </c>
      <c r="V197" t="s">
        <v>2623</v>
      </c>
      <c r="W197" t="s">
        <v>2637</v>
      </c>
      <c r="X197" t="s">
        <v>79</v>
      </c>
    </row>
    <row r="198" spans="1:24">
      <c r="A198">
        <v>15170</v>
      </c>
      <c r="B198" t="s">
        <v>2638</v>
      </c>
      <c r="C198" t="s">
        <v>2620</v>
      </c>
      <c r="D198" t="s">
        <v>2097</v>
      </c>
      <c r="E198" t="s">
        <v>2621</v>
      </c>
      <c r="F198" t="s">
        <v>2620</v>
      </c>
      <c r="G198">
        <v>5000</v>
      </c>
      <c r="H198">
        <v>40000</v>
      </c>
      <c r="I198" t="s">
        <v>2622</v>
      </c>
      <c r="J198" t="s">
        <v>2097</v>
      </c>
      <c r="K198">
        <v>4668.25</v>
      </c>
      <c r="L198">
        <v>31.2</v>
      </c>
      <c r="M198">
        <v>1511</v>
      </c>
      <c r="N198" t="s">
        <v>125</v>
      </c>
      <c r="O198">
        <v>1</v>
      </c>
      <c r="P198" t="s">
        <v>2153</v>
      </c>
      <c r="Q198" t="s">
        <v>2154</v>
      </c>
      <c r="R198" t="s">
        <v>159</v>
      </c>
      <c r="S198">
        <v>0</v>
      </c>
      <c r="T198">
        <v>0</v>
      </c>
      <c r="U198">
        <v>151</v>
      </c>
      <c r="V198" t="s">
        <v>2623</v>
      </c>
      <c r="W198" t="s">
        <v>2639</v>
      </c>
      <c r="X198" t="s">
        <v>79</v>
      </c>
    </row>
    <row r="199" spans="1:24">
      <c r="A199">
        <v>15171</v>
      </c>
      <c r="B199" t="s">
        <v>2640</v>
      </c>
      <c r="C199" t="s">
        <v>2620</v>
      </c>
      <c r="D199" t="s">
        <v>2097</v>
      </c>
      <c r="E199" t="s">
        <v>2621</v>
      </c>
      <c r="F199" t="s">
        <v>2620</v>
      </c>
      <c r="G199">
        <v>5000</v>
      </c>
      <c r="H199">
        <v>40000</v>
      </c>
      <c r="I199" t="s">
        <v>2622</v>
      </c>
      <c r="J199" t="s">
        <v>2097</v>
      </c>
      <c r="K199">
        <v>4668.25</v>
      </c>
      <c r="L199">
        <v>31.2</v>
      </c>
      <c r="M199">
        <v>1511</v>
      </c>
      <c r="N199" t="s">
        <v>125</v>
      </c>
      <c r="O199">
        <v>1</v>
      </c>
      <c r="P199" t="s">
        <v>2641</v>
      </c>
      <c r="Q199" t="s">
        <v>2184</v>
      </c>
      <c r="R199" t="s">
        <v>159</v>
      </c>
      <c r="S199">
        <v>0</v>
      </c>
      <c r="T199">
        <v>0</v>
      </c>
      <c r="U199">
        <v>151</v>
      </c>
      <c r="V199" t="s">
        <v>2623</v>
      </c>
      <c r="W199" t="s">
        <v>2642</v>
      </c>
      <c r="X199" t="s">
        <v>79</v>
      </c>
    </row>
    <row r="200" spans="1:24">
      <c r="A200">
        <v>15180</v>
      </c>
      <c r="B200" t="s">
        <v>2643</v>
      </c>
      <c r="C200" t="s">
        <v>2620</v>
      </c>
      <c r="D200" t="s">
        <v>2097</v>
      </c>
      <c r="E200" t="s">
        <v>2621</v>
      </c>
      <c r="F200" t="s">
        <v>2620</v>
      </c>
      <c r="G200">
        <v>5000</v>
      </c>
      <c r="H200">
        <v>40000</v>
      </c>
      <c r="I200" t="s">
        <v>2622</v>
      </c>
      <c r="J200" t="s">
        <v>2097</v>
      </c>
      <c r="K200">
        <v>4668.25</v>
      </c>
      <c r="L200">
        <v>31.2</v>
      </c>
      <c r="M200">
        <v>1511</v>
      </c>
      <c r="N200" t="s">
        <v>125</v>
      </c>
      <c r="O200">
        <v>1</v>
      </c>
      <c r="P200" t="s">
        <v>2641</v>
      </c>
      <c r="Q200" t="s">
        <v>2184</v>
      </c>
      <c r="R200" t="s">
        <v>159</v>
      </c>
      <c r="S200">
        <v>5</v>
      </c>
      <c r="T200">
        <v>5</v>
      </c>
      <c r="U200">
        <v>151</v>
      </c>
      <c r="V200" t="s">
        <v>2623</v>
      </c>
      <c r="W200" t="s">
        <v>2642</v>
      </c>
      <c r="X200" t="s">
        <v>79</v>
      </c>
    </row>
    <row r="201" spans="1:24">
      <c r="A201">
        <v>15190</v>
      </c>
      <c r="B201" t="s">
        <v>2644</v>
      </c>
      <c r="C201" t="s">
        <v>2097</v>
      </c>
      <c r="D201" t="s">
        <v>2097</v>
      </c>
      <c r="E201" t="s">
        <v>10</v>
      </c>
      <c r="G201">
        <v>2100</v>
      </c>
      <c r="H201">
        <v>8000</v>
      </c>
      <c r="I201" t="s">
        <v>2645</v>
      </c>
      <c r="J201" t="s">
        <v>2097</v>
      </c>
      <c r="K201">
        <v>1447.66</v>
      </c>
      <c r="L201">
        <v>36.53</v>
      </c>
      <c r="M201">
        <v>1513</v>
      </c>
      <c r="N201" t="s">
        <v>125</v>
      </c>
      <c r="O201">
        <v>2</v>
      </c>
      <c r="P201" t="s">
        <v>2626</v>
      </c>
      <c r="Q201" t="s">
        <v>2184</v>
      </c>
      <c r="R201" t="s">
        <v>159</v>
      </c>
      <c r="S201">
        <v>27</v>
      </c>
      <c r="T201">
        <v>45</v>
      </c>
      <c r="U201">
        <v>151</v>
      </c>
      <c r="V201" t="s">
        <v>2623</v>
      </c>
      <c r="W201" t="s">
        <v>2646</v>
      </c>
      <c r="X201" t="s">
        <v>79</v>
      </c>
    </row>
    <row r="202" spans="1:24">
      <c r="A202">
        <v>15210</v>
      </c>
      <c r="B202" t="s">
        <v>2647</v>
      </c>
      <c r="C202" t="s">
        <v>2620</v>
      </c>
      <c r="D202" t="s">
        <v>2097</v>
      </c>
      <c r="E202" t="s">
        <v>2621</v>
      </c>
      <c r="F202" t="s">
        <v>2620</v>
      </c>
      <c r="G202">
        <v>2700</v>
      </c>
      <c r="H202">
        <v>39000</v>
      </c>
      <c r="I202" t="s">
        <v>2648</v>
      </c>
      <c r="J202" t="s">
        <v>2097</v>
      </c>
      <c r="K202">
        <v>4668.25</v>
      </c>
      <c r="L202">
        <v>22.25</v>
      </c>
      <c r="M202">
        <v>1512</v>
      </c>
      <c r="N202" t="s">
        <v>125</v>
      </c>
      <c r="O202">
        <v>1</v>
      </c>
      <c r="P202" t="s">
        <v>2153</v>
      </c>
      <c r="Q202" t="s">
        <v>2154</v>
      </c>
      <c r="R202" t="s">
        <v>159</v>
      </c>
      <c r="S202">
        <v>18</v>
      </c>
      <c r="T202">
        <v>20</v>
      </c>
      <c r="U202">
        <v>152</v>
      </c>
      <c r="V202" t="s">
        <v>2649</v>
      </c>
      <c r="W202" t="s">
        <v>2650</v>
      </c>
      <c r="X202" t="s">
        <v>79</v>
      </c>
    </row>
    <row r="203" spans="1:24">
      <c r="A203">
        <v>15220</v>
      </c>
      <c r="B203" t="s">
        <v>2651</v>
      </c>
      <c r="C203" t="s">
        <v>2620</v>
      </c>
      <c r="D203" t="s">
        <v>2097</v>
      </c>
      <c r="E203" t="s">
        <v>2621</v>
      </c>
      <c r="F203" t="s">
        <v>2620</v>
      </c>
      <c r="G203">
        <v>2700</v>
      </c>
      <c r="H203">
        <v>39000</v>
      </c>
      <c r="I203" t="s">
        <v>2648</v>
      </c>
      <c r="J203" t="s">
        <v>2097</v>
      </c>
      <c r="K203">
        <v>4668.25</v>
      </c>
      <c r="L203">
        <v>22.25</v>
      </c>
      <c r="M203">
        <v>1512</v>
      </c>
      <c r="N203" t="s">
        <v>125</v>
      </c>
      <c r="O203">
        <v>1</v>
      </c>
      <c r="P203" t="s">
        <v>2652</v>
      </c>
      <c r="Q203" t="s">
        <v>2184</v>
      </c>
      <c r="R203" t="s">
        <v>159</v>
      </c>
      <c r="S203">
        <v>134</v>
      </c>
      <c r="T203">
        <v>143</v>
      </c>
      <c r="U203">
        <v>152</v>
      </c>
      <c r="V203" t="s">
        <v>2649</v>
      </c>
      <c r="W203" t="s">
        <v>2653</v>
      </c>
      <c r="X203" t="s">
        <v>79</v>
      </c>
    </row>
    <row r="204" spans="1:24">
      <c r="A204">
        <v>15230</v>
      </c>
      <c r="B204" t="s">
        <v>2654</v>
      </c>
      <c r="C204" t="s">
        <v>2620</v>
      </c>
      <c r="D204" t="s">
        <v>2097</v>
      </c>
      <c r="E204" t="s">
        <v>2621</v>
      </c>
      <c r="F204" t="s">
        <v>2620</v>
      </c>
      <c r="G204">
        <v>2700</v>
      </c>
      <c r="H204">
        <v>39000</v>
      </c>
      <c r="I204" t="s">
        <v>2648</v>
      </c>
      <c r="J204" t="s">
        <v>2097</v>
      </c>
      <c r="K204">
        <v>4668.25</v>
      </c>
      <c r="L204">
        <v>22.25</v>
      </c>
      <c r="M204">
        <v>1512</v>
      </c>
      <c r="N204" t="s">
        <v>125</v>
      </c>
      <c r="O204">
        <v>1</v>
      </c>
      <c r="P204" t="s">
        <v>2479</v>
      </c>
      <c r="Q204" t="s">
        <v>2460</v>
      </c>
      <c r="R204" t="s">
        <v>159</v>
      </c>
      <c r="S204">
        <v>1</v>
      </c>
      <c r="T204">
        <v>1</v>
      </c>
      <c r="U204">
        <v>152</v>
      </c>
      <c r="V204" t="s">
        <v>2649</v>
      </c>
      <c r="W204" t="s">
        <v>2655</v>
      </c>
      <c r="X204" t="s">
        <v>79</v>
      </c>
    </row>
    <row r="205" spans="1:24">
      <c r="A205">
        <v>15240</v>
      </c>
      <c r="B205" t="s">
        <v>2656</v>
      </c>
      <c r="C205" t="s">
        <v>2620</v>
      </c>
      <c r="D205" t="s">
        <v>2097</v>
      </c>
      <c r="E205" t="s">
        <v>2621</v>
      </c>
      <c r="F205" t="s">
        <v>2620</v>
      </c>
      <c r="G205">
        <v>2700</v>
      </c>
      <c r="H205">
        <v>39000</v>
      </c>
      <c r="I205" t="s">
        <v>2648</v>
      </c>
      <c r="J205" t="s">
        <v>2097</v>
      </c>
      <c r="K205">
        <v>4668.25</v>
      </c>
      <c r="L205">
        <v>22.25</v>
      </c>
      <c r="M205">
        <v>1512</v>
      </c>
      <c r="N205" t="s">
        <v>125</v>
      </c>
      <c r="O205">
        <v>1</v>
      </c>
      <c r="P205" t="s">
        <v>2652</v>
      </c>
      <c r="Q205" t="s">
        <v>2184</v>
      </c>
      <c r="R205" t="s">
        <v>159</v>
      </c>
      <c r="S205">
        <v>20</v>
      </c>
      <c r="T205">
        <v>21</v>
      </c>
      <c r="U205">
        <v>152</v>
      </c>
      <c r="V205" t="s">
        <v>2649</v>
      </c>
      <c r="W205" t="s">
        <v>2657</v>
      </c>
      <c r="X205" t="s">
        <v>79</v>
      </c>
    </row>
    <row r="206" spans="1:24">
      <c r="A206">
        <v>15250</v>
      </c>
      <c r="B206" t="s">
        <v>2658</v>
      </c>
      <c r="C206" t="s">
        <v>2620</v>
      </c>
      <c r="D206" t="s">
        <v>2097</v>
      </c>
      <c r="E206" t="s">
        <v>2621</v>
      </c>
      <c r="F206" t="s">
        <v>2620</v>
      </c>
      <c r="G206">
        <v>2700</v>
      </c>
      <c r="H206">
        <v>39000</v>
      </c>
      <c r="I206" t="s">
        <v>2648</v>
      </c>
      <c r="J206" t="s">
        <v>2097</v>
      </c>
      <c r="K206">
        <v>4668.25</v>
      </c>
      <c r="L206">
        <v>22.25</v>
      </c>
      <c r="M206">
        <v>1512</v>
      </c>
      <c r="N206" t="s">
        <v>125</v>
      </c>
      <c r="O206">
        <v>1</v>
      </c>
      <c r="P206" t="s">
        <v>2479</v>
      </c>
      <c r="Q206" t="s">
        <v>2460</v>
      </c>
      <c r="R206" t="s">
        <v>159</v>
      </c>
      <c r="S206">
        <v>37</v>
      </c>
      <c r="T206">
        <v>37</v>
      </c>
      <c r="U206">
        <v>152</v>
      </c>
      <c r="V206" t="s">
        <v>2649</v>
      </c>
      <c r="W206" t="s">
        <v>2659</v>
      </c>
      <c r="X206" t="s">
        <v>79</v>
      </c>
    </row>
    <row r="207" spans="1:24">
      <c r="A207">
        <v>15260</v>
      </c>
      <c r="B207" t="s">
        <v>2660</v>
      </c>
      <c r="C207" t="s">
        <v>2620</v>
      </c>
      <c r="D207" t="s">
        <v>2097</v>
      </c>
      <c r="E207" t="s">
        <v>2621</v>
      </c>
      <c r="F207" t="s">
        <v>2620</v>
      </c>
      <c r="G207">
        <v>2700</v>
      </c>
      <c r="H207">
        <v>39000</v>
      </c>
      <c r="I207" t="s">
        <v>2648</v>
      </c>
      <c r="J207" t="s">
        <v>2097</v>
      </c>
      <c r="K207">
        <v>4668.25</v>
      </c>
      <c r="L207">
        <v>22.25</v>
      </c>
      <c r="M207">
        <v>1512</v>
      </c>
      <c r="N207" t="s">
        <v>125</v>
      </c>
      <c r="O207">
        <v>1</v>
      </c>
      <c r="P207" t="s">
        <v>2652</v>
      </c>
      <c r="Q207" t="s">
        <v>2184</v>
      </c>
      <c r="R207" t="s">
        <v>159</v>
      </c>
      <c r="S207">
        <v>16</v>
      </c>
      <c r="T207">
        <v>17</v>
      </c>
      <c r="U207">
        <v>152</v>
      </c>
      <c r="V207" t="s">
        <v>2649</v>
      </c>
      <c r="W207" t="s">
        <v>2661</v>
      </c>
      <c r="X207" t="s">
        <v>79</v>
      </c>
    </row>
    <row r="208" spans="1:24">
      <c r="A208">
        <v>15270</v>
      </c>
      <c r="B208" t="s">
        <v>2662</v>
      </c>
      <c r="C208" t="s">
        <v>2620</v>
      </c>
      <c r="D208" t="s">
        <v>2097</v>
      </c>
      <c r="E208" t="s">
        <v>2621</v>
      </c>
      <c r="F208" t="s">
        <v>2620</v>
      </c>
      <c r="G208">
        <v>2700</v>
      </c>
      <c r="H208">
        <v>39000</v>
      </c>
      <c r="I208" t="s">
        <v>2648</v>
      </c>
      <c r="J208" t="s">
        <v>2097</v>
      </c>
      <c r="K208">
        <v>4668.25</v>
      </c>
      <c r="L208">
        <v>22.25</v>
      </c>
      <c r="M208">
        <v>1512</v>
      </c>
      <c r="N208" t="s">
        <v>125</v>
      </c>
      <c r="O208">
        <v>1</v>
      </c>
      <c r="P208" t="s">
        <v>2153</v>
      </c>
      <c r="Q208" t="s">
        <v>2154</v>
      </c>
      <c r="R208" t="s">
        <v>159</v>
      </c>
      <c r="S208">
        <v>2</v>
      </c>
      <c r="T208">
        <v>2</v>
      </c>
      <c r="U208">
        <v>152</v>
      </c>
      <c r="V208" t="s">
        <v>2649</v>
      </c>
      <c r="W208" t="s">
        <v>2663</v>
      </c>
      <c r="X208" t="s">
        <v>79</v>
      </c>
    </row>
    <row r="209" spans="1:24">
      <c r="A209">
        <v>15271</v>
      </c>
      <c r="B209" t="s">
        <v>2664</v>
      </c>
      <c r="C209" t="s">
        <v>2620</v>
      </c>
      <c r="D209" t="s">
        <v>2097</v>
      </c>
      <c r="E209" t="s">
        <v>2621</v>
      </c>
      <c r="F209" t="s">
        <v>2620</v>
      </c>
      <c r="G209">
        <v>2700</v>
      </c>
      <c r="H209">
        <v>39000</v>
      </c>
      <c r="I209" t="s">
        <v>2648</v>
      </c>
      <c r="J209" t="s">
        <v>2097</v>
      </c>
      <c r="K209">
        <v>4668.25</v>
      </c>
      <c r="L209">
        <v>22.25</v>
      </c>
      <c r="M209">
        <v>1512</v>
      </c>
      <c r="N209" t="s">
        <v>125</v>
      </c>
      <c r="O209">
        <v>1</v>
      </c>
      <c r="P209" t="s">
        <v>2641</v>
      </c>
      <c r="Q209" t="s">
        <v>2184</v>
      </c>
      <c r="R209" t="s">
        <v>159</v>
      </c>
      <c r="S209">
        <v>0</v>
      </c>
      <c r="T209">
        <v>0</v>
      </c>
      <c r="U209">
        <v>152</v>
      </c>
      <c r="V209" t="s">
        <v>2649</v>
      </c>
      <c r="W209" t="s">
        <v>2665</v>
      </c>
      <c r="X209" t="s">
        <v>79</v>
      </c>
    </row>
    <row r="210" spans="1:24">
      <c r="A210">
        <v>15280</v>
      </c>
      <c r="B210" t="s">
        <v>2666</v>
      </c>
      <c r="C210" t="s">
        <v>2620</v>
      </c>
      <c r="D210" t="s">
        <v>2097</v>
      </c>
      <c r="E210" t="s">
        <v>2621</v>
      </c>
      <c r="F210" t="s">
        <v>2620</v>
      </c>
      <c r="G210">
        <v>2700</v>
      </c>
      <c r="H210">
        <v>39000</v>
      </c>
      <c r="I210" t="s">
        <v>2648</v>
      </c>
      <c r="J210" t="s">
        <v>2097</v>
      </c>
      <c r="K210">
        <v>4668.25</v>
      </c>
      <c r="L210">
        <v>22.25</v>
      </c>
      <c r="M210">
        <v>1512</v>
      </c>
      <c r="N210" t="s">
        <v>125</v>
      </c>
      <c r="O210">
        <v>1</v>
      </c>
      <c r="P210" t="s">
        <v>2641</v>
      </c>
      <c r="Q210" t="s">
        <v>2184</v>
      </c>
      <c r="R210" t="s">
        <v>159</v>
      </c>
      <c r="S210">
        <v>0</v>
      </c>
      <c r="T210">
        <v>0</v>
      </c>
      <c r="U210">
        <v>152</v>
      </c>
      <c r="V210" t="s">
        <v>2649</v>
      </c>
      <c r="W210" t="s">
        <v>2665</v>
      </c>
      <c r="X210" t="s">
        <v>79</v>
      </c>
    </row>
    <row r="211" spans="1:24">
      <c r="A211">
        <v>15310</v>
      </c>
      <c r="B211" t="s">
        <v>2667</v>
      </c>
      <c r="C211" t="s">
        <v>2097</v>
      </c>
      <c r="F211" t="s">
        <v>2097</v>
      </c>
      <c r="G211">
        <v>530</v>
      </c>
      <c r="H211">
        <v>160000</v>
      </c>
      <c r="I211" t="s">
        <v>2583</v>
      </c>
      <c r="J211" t="s">
        <v>2097</v>
      </c>
      <c r="K211">
        <v>76.33</v>
      </c>
      <c r="L211">
        <v>1.8</v>
      </c>
      <c r="M211">
        <v>8526</v>
      </c>
      <c r="N211" t="s">
        <v>125</v>
      </c>
      <c r="O211">
        <v>2</v>
      </c>
      <c r="P211" t="s">
        <v>2668</v>
      </c>
      <c r="Q211" t="s">
        <v>2484</v>
      </c>
      <c r="R211" t="s">
        <v>2102</v>
      </c>
      <c r="S211">
        <v>32</v>
      </c>
      <c r="T211">
        <v>32</v>
      </c>
      <c r="U211">
        <v>153</v>
      </c>
      <c r="V211" t="s">
        <v>2669</v>
      </c>
      <c r="W211" t="s">
        <v>2670</v>
      </c>
      <c r="X211" t="s">
        <v>79</v>
      </c>
    </row>
    <row r="212" spans="1:24">
      <c r="A212">
        <v>15410</v>
      </c>
      <c r="B212" t="s">
        <v>2671</v>
      </c>
      <c r="C212" t="s">
        <v>2098</v>
      </c>
      <c r="F212" t="s">
        <v>2098</v>
      </c>
      <c r="G212">
        <v>1900</v>
      </c>
      <c r="H212">
        <v>34000</v>
      </c>
      <c r="I212" t="s">
        <v>2672</v>
      </c>
      <c r="J212" t="s">
        <v>2098</v>
      </c>
      <c r="K212">
        <v>709.24</v>
      </c>
      <c r="L212">
        <v>15.66</v>
      </c>
      <c r="M212">
        <v>1541</v>
      </c>
      <c r="N212" t="s">
        <v>79</v>
      </c>
      <c r="O212">
        <v>2</v>
      </c>
      <c r="P212" t="s">
        <v>2183</v>
      </c>
      <c r="Q212" t="s">
        <v>2184</v>
      </c>
      <c r="R212" t="s">
        <v>159</v>
      </c>
      <c r="S212">
        <v>86</v>
      </c>
      <c r="T212">
        <v>91</v>
      </c>
      <c r="U212">
        <v>154</v>
      </c>
      <c r="V212" t="s">
        <v>2673</v>
      </c>
      <c r="W212" t="s">
        <v>2674</v>
      </c>
      <c r="X212" t="s">
        <v>79</v>
      </c>
    </row>
    <row r="213" spans="1:24">
      <c r="A213">
        <v>15420</v>
      </c>
      <c r="B213" t="s">
        <v>2675</v>
      </c>
      <c r="C213" t="s">
        <v>2098</v>
      </c>
      <c r="D213" t="s">
        <v>2097</v>
      </c>
      <c r="F213" t="s">
        <v>2098</v>
      </c>
      <c r="G213">
        <v>2700</v>
      </c>
      <c r="H213">
        <v>39000</v>
      </c>
      <c r="I213" t="s">
        <v>2648</v>
      </c>
      <c r="J213" t="s">
        <v>2097</v>
      </c>
      <c r="K213">
        <v>4668.25</v>
      </c>
      <c r="L213">
        <v>22.25</v>
      </c>
      <c r="M213">
        <v>1512</v>
      </c>
      <c r="N213" t="s">
        <v>125</v>
      </c>
      <c r="O213">
        <v>2</v>
      </c>
      <c r="P213" t="s">
        <v>2652</v>
      </c>
      <c r="Q213" t="s">
        <v>2184</v>
      </c>
      <c r="R213" t="s">
        <v>159</v>
      </c>
      <c r="S213">
        <v>76</v>
      </c>
      <c r="T213">
        <v>76</v>
      </c>
      <c r="U213">
        <v>154</v>
      </c>
      <c r="V213" t="s">
        <v>2673</v>
      </c>
      <c r="W213" t="s">
        <v>2676</v>
      </c>
      <c r="X213" t="s">
        <v>79</v>
      </c>
    </row>
    <row r="214" spans="1:24">
      <c r="A214">
        <v>15430</v>
      </c>
      <c r="B214" t="s">
        <v>2677</v>
      </c>
      <c r="C214" t="s">
        <v>2098</v>
      </c>
      <c r="F214" t="s">
        <v>2098</v>
      </c>
      <c r="G214">
        <v>1900</v>
      </c>
      <c r="H214">
        <v>34000</v>
      </c>
      <c r="I214" t="s">
        <v>2672</v>
      </c>
      <c r="J214" t="s">
        <v>2098</v>
      </c>
      <c r="K214">
        <v>709.24</v>
      </c>
      <c r="L214">
        <v>15.66</v>
      </c>
      <c r="M214">
        <v>1541</v>
      </c>
      <c r="N214" t="s">
        <v>79</v>
      </c>
      <c r="O214">
        <v>2</v>
      </c>
      <c r="P214" t="s">
        <v>2652</v>
      </c>
      <c r="Q214" t="s">
        <v>2184</v>
      </c>
      <c r="R214" t="s">
        <v>159</v>
      </c>
      <c r="S214">
        <v>224</v>
      </c>
      <c r="T214">
        <v>233</v>
      </c>
      <c r="U214">
        <v>154</v>
      </c>
      <c r="V214" t="s">
        <v>2673</v>
      </c>
      <c r="W214" t="s">
        <v>2678</v>
      </c>
      <c r="X214" t="s">
        <v>79</v>
      </c>
    </row>
    <row r="215" spans="1:24">
      <c r="A215">
        <v>15510</v>
      </c>
      <c r="B215" t="s">
        <v>2679</v>
      </c>
      <c r="C215" t="s">
        <v>2620</v>
      </c>
      <c r="F215" t="s">
        <v>2620</v>
      </c>
      <c r="G215">
        <v>310</v>
      </c>
      <c r="H215">
        <v>1300</v>
      </c>
      <c r="I215" t="s">
        <v>2183</v>
      </c>
      <c r="J215" t="s">
        <v>2620</v>
      </c>
      <c r="K215">
        <v>3185.95</v>
      </c>
      <c r="L215">
        <v>23.02</v>
      </c>
      <c r="M215">
        <v>1551</v>
      </c>
      <c r="N215" t="s">
        <v>125</v>
      </c>
      <c r="O215">
        <v>2</v>
      </c>
      <c r="P215" t="s">
        <v>2183</v>
      </c>
      <c r="Q215" t="s">
        <v>2184</v>
      </c>
      <c r="R215" t="s">
        <v>159</v>
      </c>
      <c r="S215">
        <v>18</v>
      </c>
      <c r="T215">
        <v>20</v>
      </c>
      <c r="U215">
        <v>155</v>
      </c>
      <c r="V215" t="s">
        <v>2183</v>
      </c>
      <c r="W215" t="s">
        <v>2680</v>
      </c>
      <c r="X215" t="s">
        <v>79</v>
      </c>
    </row>
    <row r="216" spans="1:24">
      <c r="A216">
        <v>15511</v>
      </c>
      <c r="B216" t="s">
        <v>2681</v>
      </c>
      <c r="C216" t="s">
        <v>10</v>
      </c>
      <c r="D216" t="s">
        <v>10</v>
      </c>
      <c r="G216">
        <v>4600</v>
      </c>
      <c r="H216">
        <v>19000</v>
      </c>
      <c r="I216" t="s">
        <v>2682</v>
      </c>
      <c r="J216" t="s">
        <v>10</v>
      </c>
      <c r="K216">
        <v>50.94</v>
      </c>
      <c r="L216">
        <v>2.0299999999999998</v>
      </c>
      <c r="M216">
        <v>1552</v>
      </c>
      <c r="N216" t="s">
        <v>125</v>
      </c>
      <c r="O216">
        <v>2</v>
      </c>
      <c r="P216" t="s">
        <v>2183</v>
      </c>
      <c r="Q216" t="s">
        <v>2184</v>
      </c>
      <c r="R216" t="s">
        <v>2199</v>
      </c>
      <c r="S216">
        <v>4</v>
      </c>
      <c r="T216">
        <v>4</v>
      </c>
      <c r="U216">
        <v>155</v>
      </c>
      <c r="V216" t="s">
        <v>2183</v>
      </c>
      <c r="W216" t="s">
        <v>2683</v>
      </c>
      <c r="X216" t="s">
        <v>79</v>
      </c>
    </row>
    <row r="217" spans="1:24">
      <c r="A217">
        <v>15520</v>
      </c>
      <c r="B217" t="s">
        <v>2183</v>
      </c>
      <c r="C217" t="s">
        <v>2620</v>
      </c>
      <c r="F217" t="s">
        <v>2620</v>
      </c>
      <c r="G217">
        <v>310</v>
      </c>
      <c r="H217">
        <v>1300</v>
      </c>
      <c r="I217" t="s">
        <v>2183</v>
      </c>
      <c r="J217" t="s">
        <v>2620</v>
      </c>
      <c r="K217">
        <v>3185.95</v>
      </c>
      <c r="L217">
        <v>23.02</v>
      </c>
      <c r="M217">
        <v>1551</v>
      </c>
      <c r="N217" t="s">
        <v>125</v>
      </c>
      <c r="O217">
        <v>2</v>
      </c>
      <c r="P217" t="s">
        <v>2183</v>
      </c>
      <c r="Q217" t="s">
        <v>2184</v>
      </c>
      <c r="R217" t="s">
        <v>159</v>
      </c>
      <c r="S217">
        <v>271</v>
      </c>
      <c r="T217">
        <v>308</v>
      </c>
      <c r="U217">
        <v>155</v>
      </c>
      <c r="V217" t="s">
        <v>2183</v>
      </c>
      <c r="W217" t="s">
        <v>2684</v>
      </c>
      <c r="X217" t="s">
        <v>79</v>
      </c>
    </row>
    <row r="218" spans="1:24">
      <c r="A218">
        <v>15521</v>
      </c>
      <c r="B218" t="s">
        <v>2685</v>
      </c>
      <c r="C218" t="s">
        <v>10</v>
      </c>
      <c r="D218" t="s">
        <v>10</v>
      </c>
      <c r="G218">
        <v>4600</v>
      </c>
      <c r="H218">
        <v>19000</v>
      </c>
      <c r="I218" t="s">
        <v>2682</v>
      </c>
      <c r="J218" t="s">
        <v>10</v>
      </c>
      <c r="K218">
        <v>50.94</v>
      </c>
      <c r="L218">
        <v>2.0299999999999998</v>
      </c>
      <c r="M218">
        <v>1552</v>
      </c>
      <c r="N218" t="s">
        <v>125</v>
      </c>
      <c r="O218">
        <v>1</v>
      </c>
      <c r="P218" t="s">
        <v>2183</v>
      </c>
      <c r="Q218" t="s">
        <v>2184</v>
      </c>
      <c r="R218" t="s">
        <v>2199</v>
      </c>
      <c r="S218">
        <v>23</v>
      </c>
      <c r="T218">
        <v>23</v>
      </c>
      <c r="U218">
        <v>155</v>
      </c>
      <c r="V218" t="s">
        <v>2183</v>
      </c>
      <c r="W218" t="s">
        <v>2686</v>
      </c>
      <c r="X218" t="s">
        <v>79</v>
      </c>
    </row>
    <row r="219" spans="1:24">
      <c r="A219">
        <v>15522</v>
      </c>
      <c r="B219" t="s">
        <v>2687</v>
      </c>
      <c r="C219" t="s">
        <v>2162</v>
      </c>
      <c r="D219" t="s">
        <v>2097</v>
      </c>
      <c r="F219" t="s">
        <v>2162</v>
      </c>
      <c r="G219">
        <v>780</v>
      </c>
      <c r="H219">
        <v>3900</v>
      </c>
      <c r="I219" t="s">
        <v>2688</v>
      </c>
      <c r="J219" t="s">
        <v>2097</v>
      </c>
      <c r="K219">
        <v>223.9</v>
      </c>
      <c r="L219">
        <v>1.94</v>
      </c>
      <c r="M219">
        <v>1593</v>
      </c>
      <c r="N219" t="s">
        <v>125</v>
      </c>
      <c r="O219">
        <v>1</v>
      </c>
      <c r="P219" t="s">
        <v>2183</v>
      </c>
      <c r="Q219" t="s">
        <v>2184</v>
      </c>
      <c r="R219" t="s">
        <v>159</v>
      </c>
      <c r="S219">
        <v>56</v>
      </c>
      <c r="T219">
        <v>67</v>
      </c>
      <c r="U219">
        <v>155</v>
      </c>
      <c r="V219" t="s">
        <v>2183</v>
      </c>
      <c r="W219" t="s">
        <v>2689</v>
      </c>
      <c r="X219" t="s">
        <v>79</v>
      </c>
    </row>
    <row r="220" spans="1:24">
      <c r="A220">
        <v>15610</v>
      </c>
      <c r="B220" t="s">
        <v>2690</v>
      </c>
      <c r="C220" t="s">
        <v>10</v>
      </c>
      <c r="D220" t="s">
        <v>10</v>
      </c>
      <c r="G220">
        <v>5500</v>
      </c>
      <c r="H220">
        <v>400000</v>
      </c>
      <c r="I220" t="s">
        <v>2536</v>
      </c>
      <c r="J220" t="s">
        <v>10</v>
      </c>
      <c r="K220">
        <v>195.5</v>
      </c>
      <c r="L220">
        <v>1.49</v>
      </c>
      <c r="M220">
        <v>4422</v>
      </c>
      <c r="N220" t="s">
        <v>125</v>
      </c>
      <c r="O220">
        <v>2</v>
      </c>
      <c r="P220" t="s">
        <v>2414</v>
      </c>
      <c r="Q220" t="s">
        <v>2184</v>
      </c>
      <c r="R220" t="s">
        <v>159</v>
      </c>
      <c r="S220">
        <v>17</v>
      </c>
      <c r="T220">
        <v>20</v>
      </c>
      <c r="U220">
        <v>156</v>
      </c>
      <c r="V220" t="s">
        <v>2691</v>
      </c>
      <c r="W220" t="s">
        <v>2692</v>
      </c>
      <c r="X220" t="s">
        <v>79</v>
      </c>
    </row>
    <row r="221" spans="1:24">
      <c r="A221">
        <v>15620</v>
      </c>
      <c r="B221" t="s">
        <v>2693</v>
      </c>
      <c r="C221" t="s">
        <v>10</v>
      </c>
      <c r="D221" t="s">
        <v>10</v>
      </c>
      <c r="G221">
        <v>4800</v>
      </c>
      <c r="H221">
        <v>120000</v>
      </c>
      <c r="I221" t="s">
        <v>2508</v>
      </c>
      <c r="J221" t="s">
        <v>10</v>
      </c>
      <c r="K221">
        <v>355.07</v>
      </c>
      <c r="L221">
        <v>3.27</v>
      </c>
      <c r="M221">
        <v>1443</v>
      </c>
      <c r="N221" t="s">
        <v>125</v>
      </c>
      <c r="O221">
        <v>2</v>
      </c>
      <c r="P221" t="s">
        <v>2414</v>
      </c>
      <c r="Q221" t="s">
        <v>2184</v>
      </c>
      <c r="R221" t="s">
        <v>2199</v>
      </c>
      <c r="S221">
        <v>6</v>
      </c>
      <c r="T221">
        <v>7</v>
      </c>
      <c r="U221">
        <v>156</v>
      </c>
      <c r="V221" t="s">
        <v>2691</v>
      </c>
      <c r="W221" t="s">
        <v>2694</v>
      </c>
      <c r="X221" t="s">
        <v>79</v>
      </c>
    </row>
    <row r="222" spans="1:24">
      <c r="A222">
        <v>15910</v>
      </c>
      <c r="B222" t="s">
        <v>2695</v>
      </c>
      <c r="C222" t="s">
        <v>2162</v>
      </c>
      <c r="D222" t="s">
        <v>2097</v>
      </c>
      <c r="F222" t="s">
        <v>2162</v>
      </c>
      <c r="G222">
        <v>780</v>
      </c>
      <c r="H222">
        <v>3900</v>
      </c>
      <c r="I222" t="s">
        <v>2688</v>
      </c>
      <c r="J222" t="s">
        <v>2097</v>
      </c>
      <c r="K222">
        <v>223.9</v>
      </c>
      <c r="L222">
        <v>1.94</v>
      </c>
      <c r="M222">
        <v>1593</v>
      </c>
      <c r="N222" t="s">
        <v>79</v>
      </c>
      <c r="O222">
        <v>4</v>
      </c>
      <c r="P222" t="s">
        <v>2205</v>
      </c>
      <c r="Q222" t="s">
        <v>2206</v>
      </c>
      <c r="R222" t="s">
        <v>159</v>
      </c>
      <c r="S222">
        <v>20</v>
      </c>
      <c r="T222">
        <v>20</v>
      </c>
      <c r="U222">
        <v>159</v>
      </c>
      <c r="V222" t="s">
        <v>2696</v>
      </c>
      <c r="W222" t="s">
        <v>2697</v>
      </c>
      <c r="X222" t="s">
        <v>79</v>
      </c>
    </row>
    <row r="223" spans="1:24">
      <c r="A223">
        <v>15920</v>
      </c>
      <c r="B223" t="s">
        <v>2698</v>
      </c>
      <c r="C223" t="s">
        <v>2162</v>
      </c>
      <c r="D223" t="s">
        <v>10</v>
      </c>
      <c r="F223" t="s">
        <v>2162</v>
      </c>
      <c r="G223">
        <v>9600</v>
      </c>
      <c r="H223">
        <v>58000</v>
      </c>
      <c r="I223" t="s">
        <v>2525</v>
      </c>
      <c r="J223" t="s">
        <v>10</v>
      </c>
      <c r="K223">
        <v>599</v>
      </c>
      <c r="L223">
        <v>4.6500000000000004</v>
      </c>
      <c r="M223">
        <v>1431</v>
      </c>
      <c r="N223" t="s">
        <v>125</v>
      </c>
      <c r="O223">
        <v>1</v>
      </c>
      <c r="P223" t="s">
        <v>2641</v>
      </c>
      <c r="Q223" t="s">
        <v>2184</v>
      </c>
      <c r="R223" t="s">
        <v>2199</v>
      </c>
      <c r="S223">
        <v>6</v>
      </c>
      <c r="T223">
        <v>8</v>
      </c>
      <c r="U223">
        <v>159</v>
      </c>
      <c r="V223" t="s">
        <v>2696</v>
      </c>
      <c r="W223" t="s">
        <v>2699</v>
      </c>
      <c r="X223" t="s">
        <v>79</v>
      </c>
    </row>
    <row r="224" spans="1:24">
      <c r="A224">
        <v>15921</v>
      </c>
      <c r="B224" t="s">
        <v>2700</v>
      </c>
      <c r="C224" t="s">
        <v>2162</v>
      </c>
      <c r="F224" t="s">
        <v>2162</v>
      </c>
      <c r="G224">
        <v>1</v>
      </c>
      <c r="H224">
        <v>1</v>
      </c>
      <c r="I224" t="s">
        <v>2701</v>
      </c>
      <c r="J224" t="s">
        <v>2162</v>
      </c>
      <c r="K224">
        <v>1384841.47</v>
      </c>
      <c r="L224">
        <v>41633.56</v>
      </c>
      <c r="M224">
        <v>1592</v>
      </c>
      <c r="N224" t="s">
        <v>79</v>
      </c>
      <c r="P224" t="s">
        <v>2641</v>
      </c>
      <c r="Q224" t="s">
        <v>2184</v>
      </c>
      <c r="R224" t="s">
        <v>159</v>
      </c>
      <c r="S224">
        <v>5</v>
      </c>
      <c r="T224">
        <v>5</v>
      </c>
      <c r="U224">
        <v>159</v>
      </c>
      <c r="V224" t="s">
        <v>2696</v>
      </c>
      <c r="W224" t="s">
        <v>2702</v>
      </c>
      <c r="X224" t="s">
        <v>79</v>
      </c>
    </row>
    <row r="225" spans="1:24">
      <c r="A225">
        <v>15930</v>
      </c>
      <c r="B225" t="s">
        <v>2703</v>
      </c>
      <c r="C225" t="s">
        <v>2162</v>
      </c>
      <c r="D225" t="s">
        <v>10</v>
      </c>
      <c r="F225" t="s">
        <v>2162</v>
      </c>
      <c r="G225">
        <v>9600</v>
      </c>
      <c r="H225">
        <v>58000</v>
      </c>
      <c r="I225" t="s">
        <v>2525</v>
      </c>
      <c r="J225" t="s">
        <v>10</v>
      </c>
      <c r="K225">
        <v>599</v>
      </c>
      <c r="L225">
        <v>4.6500000000000004</v>
      </c>
      <c r="M225">
        <v>1431</v>
      </c>
      <c r="N225" t="s">
        <v>125</v>
      </c>
      <c r="O225">
        <v>1</v>
      </c>
      <c r="P225" t="s">
        <v>2641</v>
      </c>
      <c r="Q225" t="s">
        <v>2184</v>
      </c>
      <c r="R225" t="s">
        <v>2199</v>
      </c>
      <c r="S225">
        <v>14</v>
      </c>
      <c r="T225">
        <v>14</v>
      </c>
      <c r="U225">
        <v>159</v>
      </c>
      <c r="V225" t="s">
        <v>2696</v>
      </c>
      <c r="W225" t="s">
        <v>2704</v>
      </c>
      <c r="X225" t="s">
        <v>79</v>
      </c>
    </row>
    <row r="226" spans="1:24">
      <c r="A226">
        <v>15950</v>
      </c>
      <c r="B226" t="s">
        <v>2705</v>
      </c>
      <c r="C226" t="s">
        <v>2620</v>
      </c>
      <c r="F226" t="s">
        <v>2620</v>
      </c>
      <c r="G226">
        <v>310</v>
      </c>
      <c r="H226">
        <v>1300</v>
      </c>
      <c r="I226" t="s">
        <v>2183</v>
      </c>
      <c r="J226" t="s">
        <v>2620</v>
      </c>
      <c r="K226">
        <v>3185.95</v>
      </c>
      <c r="L226">
        <v>23.02</v>
      </c>
      <c r="M226">
        <v>1551</v>
      </c>
      <c r="N226" t="s">
        <v>79</v>
      </c>
      <c r="O226">
        <v>2</v>
      </c>
      <c r="P226" t="s">
        <v>2183</v>
      </c>
      <c r="Q226" t="s">
        <v>2184</v>
      </c>
      <c r="R226" t="s">
        <v>159</v>
      </c>
      <c r="S226">
        <v>7</v>
      </c>
      <c r="T226">
        <v>7</v>
      </c>
      <c r="U226">
        <v>159</v>
      </c>
      <c r="V226" t="s">
        <v>2696</v>
      </c>
      <c r="W226" t="s">
        <v>2706</v>
      </c>
      <c r="X226" t="s">
        <v>79</v>
      </c>
    </row>
    <row r="227" spans="1:24">
      <c r="A227">
        <v>15964</v>
      </c>
      <c r="B227" t="s">
        <v>2707</v>
      </c>
      <c r="C227" t="s">
        <v>10</v>
      </c>
      <c r="D227" t="s">
        <v>10</v>
      </c>
      <c r="F227" t="s">
        <v>2162</v>
      </c>
      <c r="G227">
        <v>9600</v>
      </c>
      <c r="H227">
        <v>58000</v>
      </c>
      <c r="I227" t="s">
        <v>2525</v>
      </c>
      <c r="J227" t="s">
        <v>10</v>
      </c>
      <c r="K227">
        <v>599</v>
      </c>
      <c r="L227">
        <v>4.6500000000000004</v>
      </c>
      <c r="M227">
        <v>1431</v>
      </c>
      <c r="N227" t="s">
        <v>125</v>
      </c>
      <c r="O227">
        <v>2</v>
      </c>
      <c r="P227" t="s">
        <v>2414</v>
      </c>
      <c r="Q227" t="s">
        <v>2184</v>
      </c>
      <c r="R227" t="s">
        <v>2199</v>
      </c>
      <c r="S227">
        <v>145</v>
      </c>
      <c r="T227">
        <v>178</v>
      </c>
      <c r="U227">
        <v>159</v>
      </c>
      <c r="V227" t="s">
        <v>2696</v>
      </c>
      <c r="W227" t="s">
        <v>2708</v>
      </c>
      <c r="X227" t="s">
        <v>79</v>
      </c>
    </row>
    <row r="228" spans="1:24">
      <c r="A228">
        <v>15966</v>
      </c>
      <c r="B228" t="s">
        <v>2709</v>
      </c>
      <c r="C228" t="s">
        <v>2162</v>
      </c>
      <c r="D228" t="s">
        <v>2097</v>
      </c>
      <c r="F228" t="s">
        <v>2162</v>
      </c>
      <c r="G228">
        <v>780</v>
      </c>
      <c r="H228">
        <v>3900</v>
      </c>
      <c r="I228" t="s">
        <v>2688</v>
      </c>
      <c r="J228" t="s">
        <v>2097</v>
      </c>
      <c r="K228">
        <v>223.9</v>
      </c>
      <c r="L228">
        <v>1.94</v>
      </c>
      <c r="M228">
        <v>1593</v>
      </c>
      <c r="N228" t="s">
        <v>125</v>
      </c>
      <c r="O228">
        <v>1</v>
      </c>
      <c r="P228" t="s">
        <v>2183</v>
      </c>
      <c r="Q228" t="s">
        <v>2184</v>
      </c>
      <c r="R228" t="s">
        <v>159</v>
      </c>
      <c r="S228">
        <v>100</v>
      </c>
      <c r="T228">
        <v>101</v>
      </c>
      <c r="U228">
        <v>159</v>
      </c>
      <c r="V228" t="s">
        <v>2696</v>
      </c>
      <c r="W228" t="s">
        <v>2710</v>
      </c>
      <c r="X228" t="s">
        <v>79</v>
      </c>
    </row>
    <row r="229" spans="1:24">
      <c r="A229">
        <v>16120</v>
      </c>
      <c r="B229" t="s">
        <v>2711</v>
      </c>
      <c r="C229" t="s">
        <v>2162</v>
      </c>
      <c r="F229" t="s">
        <v>2162</v>
      </c>
      <c r="G229">
        <v>1</v>
      </c>
      <c r="H229">
        <v>1</v>
      </c>
      <c r="I229" t="s">
        <v>2712</v>
      </c>
      <c r="J229" t="s">
        <v>2162</v>
      </c>
      <c r="K229">
        <v>933713.09</v>
      </c>
      <c r="L229">
        <v>1482.94</v>
      </c>
      <c r="M229">
        <v>1611</v>
      </c>
      <c r="N229" t="s">
        <v>79</v>
      </c>
      <c r="O229">
        <v>3</v>
      </c>
      <c r="P229" t="s">
        <v>2713</v>
      </c>
      <c r="Q229" t="s">
        <v>2184</v>
      </c>
      <c r="R229" t="s">
        <v>159</v>
      </c>
      <c r="S229">
        <v>10</v>
      </c>
      <c r="T229">
        <v>10</v>
      </c>
      <c r="U229">
        <v>161</v>
      </c>
      <c r="V229" t="s">
        <v>2714</v>
      </c>
      <c r="W229" t="s">
        <v>2715</v>
      </c>
      <c r="X229" t="s">
        <v>79</v>
      </c>
    </row>
    <row r="230" spans="1:24">
      <c r="A230">
        <v>16130</v>
      </c>
      <c r="B230" t="s">
        <v>2716</v>
      </c>
      <c r="C230" t="s">
        <v>2162</v>
      </c>
      <c r="D230" t="s">
        <v>10</v>
      </c>
      <c r="F230" t="s">
        <v>2162</v>
      </c>
      <c r="G230">
        <v>1</v>
      </c>
      <c r="H230">
        <v>1</v>
      </c>
      <c r="I230" t="s">
        <v>2712</v>
      </c>
      <c r="J230" t="s">
        <v>2162</v>
      </c>
      <c r="K230">
        <v>933713.09</v>
      </c>
      <c r="L230">
        <v>1482.94</v>
      </c>
      <c r="M230">
        <v>1611</v>
      </c>
      <c r="N230" t="s">
        <v>79</v>
      </c>
      <c r="O230">
        <v>3</v>
      </c>
      <c r="P230" t="s">
        <v>2713</v>
      </c>
      <c r="Q230" t="s">
        <v>2184</v>
      </c>
      <c r="R230" t="s">
        <v>159</v>
      </c>
      <c r="S230">
        <v>71</v>
      </c>
      <c r="T230">
        <v>73</v>
      </c>
      <c r="U230">
        <v>161</v>
      </c>
      <c r="V230" t="s">
        <v>2714</v>
      </c>
      <c r="W230" t="s">
        <v>2717</v>
      </c>
      <c r="X230" t="s">
        <v>79</v>
      </c>
    </row>
    <row r="231" spans="1:24">
      <c r="A231">
        <v>16210</v>
      </c>
      <c r="B231" t="s">
        <v>2718</v>
      </c>
      <c r="C231" t="s">
        <v>2162</v>
      </c>
      <c r="F231" t="s">
        <v>2162</v>
      </c>
      <c r="G231">
        <v>1</v>
      </c>
      <c r="H231">
        <v>35</v>
      </c>
      <c r="I231" t="s">
        <v>2719</v>
      </c>
      <c r="J231" t="s">
        <v>2162</v>
      </c>
      <c r="K231">
        <v>207179.49</v>
      </c>
      <c r="L231">
        <v>233.85</v>
      </c>
      <c r="M231">
        <v>1499</v>
      </c>
      <c r="N231" t="s">
        <v>79</v>
      </c>
      <c r="O231">
        <v>3</v>
      </c>
      <c r="P231" t="s">
        <v>2713</v>
      </c>
      <c r="Q231" t="s">
        <v>2184</v>
      </c>
      <c r="R231" t="s">
        <v>159</v>
      </c>
      <c r="S231">
        <v>9</v>
      </c>
      <c r="T231">
        <v>9</v>
      </c>
      <c r="U231">
        <v>162</v>
      </c>
      <c r="V231" t="s">
        <v>2720</v>
      </c>
      <c r="W231" t="s">
        <v>2721</v>
      </c>
      <c r="X231" t="s">
        <v>79</v>
      </c>
    </row>
    <row r="232" spans="1:24">
      <c r="A232">
        <v>16310</v>
      </c>
      <c r="B232" t="s">
        <v>2722</v>
      </c>
      <c r="C232" t="s">
        <v>2162</v>
      </c>
      <c r="F232" t="s">
        <v>2162</v>
      </c>
      <c r="G232">
        <v>1</v>
      </c>
      <c r="H232">
        <v>200</v>
      </c>
      <c r="I232" t="s">
        <v>2723</v>
      </c>
      <c r="J232" t="s">
        <v>2162</v>
      </c>
      <c r="K232">
        <v>19877.16</v>
      </c>
      <c r="L232">
        <v>1145.3599999999999</v>
      </c>
      <c r="M232">
        <v>1631</v>
      </c>
      <c r="N232" t="s">
        <v>79</v>
      </c>
      <c r="O232">
        <v>2</v>
      </c>
      <c r="P232" t="s">
        <v>2626</v>
      </c>
      <c r="Q232" t="s">
        <v>2184</v>
      </c>
      <c r="R232" t="s">
        <v>159</v>
      </c>
      <c r="S232">
        <v>63</v>
      </c>
      <c r="T232">
        <v>70</v>
      </c>
      <c r="U232">
        <v>163</v>
      </c>
      <c r="V232" t="s">
        <v>2724</v>
      </c>
      <c r="W232" t="s">
        <v>2725</v>
      </c>
      <c r="X232" t="s">
        <v>79</v>
      </c>
    </row>
    <row r="233" spans="1:24">
      <c r="A233">
        <v>16320</v>
      </c>
      <c r="B233" t="s">
        <v>2726</v>
      </c>
      <c r="C233" t="s">
        <v>2162</v>
      </c>
      <c r="F233" t="s">
        <v>2162</v>
      </c>
      <c r="G233">
        <v>1</v>
      </c>
      <c r="H233">
        <v>200</v>
      </c>
      <c r="I233" t="s">
        <v>2723</v>
      </c>
      <c r="J233" t="s">
        <v>2162</v>
      </c>
      <c r="K233">
        <v>19877.16</v>
      </c>
      <c r="L233">
        <v>1145.3599999999999</v>
      </c>
      <c r="M233">
        <v>1631</v>
      </c>
      <c r="N233" t="s">
        <v>79</v>
      </c>
      <c r="O233">
        <v>2</v>
      </c>
      <c r="P233" t="s">
        <v>2626</v>
      </c>
      <c r="Q233" t="s">
        <v>2184</v>
      </c>
      <c r="R233" t="s">
        <v>159</v>
      </c>
      <c r="S233">
        <v>34</v>
      </c>
      <c r="T233">
        <v>38</v>
      </c>
      <c r="U233">
        <v>163</v>
      </c>
      <c r="V233" t="s">
        <v>2724</v>
      </c>
      <c r="W233" t="s">
        <v>2727</v>
      </c>
      <c r="X233" t="s">
        <v>79</v>
      </c>
    </row>
    <row r="234" spans="1:24">
      <c r="A234">
        <v>16330</v>
      </c>
      <c r="B234" t="s">
        <v>2728</v>
      </c>
      <c r="C234" t="s">
        <v>2162</v>
      </c>
      <c r="F234" t="s">
        <v>2162</v>
      </c>
      <c r="G234">
        <v>1</v>
      </c>
      <c r="H234">
        <v>200</v>
      </c>
      <c r="I234" t="s">
        <v>2723</v>
      </c>
      <c r="J234" t="s">
        <v>2162</v>
      </c>
      <c r="K234">
        <v>19877.16</v>
      </c>
      <c r="L234">
        <v>1145.3599999999999</v>
      </c>
      <c r="M234">
        <v>1631</v>
      </c>
      <c r="N234" t="s">
        <v>79</v>
      </c>
      <c r="O234">
        <v>2</v>
      </c>
      <c r="P234" t="s">
        <v>2626</v>
      </c>
      <c r="Q234" t="s">
        <v>2184</v>
      </c>
      <c r="R234" t="s">
        <v>159</v>
      </c>
      <c r="S234">
        <v>3</v>
      </c>
      <c r="T234">
        <v>3</v>
      </c>
      <c r="U234">
        <v>163</v>
      </c>
      <c r="V234" t="s">
        <v>2724</v>
      </c>
      <c r="W234" t="s">
        <v>2729</v>
      </c>
      <c r="X234" t="s">
        <v>79</v>
      </c>
    </row>
    <row r="235" spans="1:24">
      <c r="A235">
        <v>16410</v>
      </c>
      <c r="B235" t="s">
        <v>2730</v>
      </c>
      <c r="C235" t="s">
        <v>2098</v>
      </c>
      <c r="E235" t="s">
        <v>2162</v>
      </c>
      <c r="F235" t="s">
        <v>2098</v>
      </c>
      <c r="G235">
        <v>550</v>
      </c>
      <c r="H235">
        <v>4000</v>
      </c>
      <c r="I235" t="s">
        <v>2731</v>
      </c>
      <c r="J235" t="s">
        <v>2098</v>
      </c>
      <c r="K235">
        <v>672.55</v>
      </c>
      <c r="L235">
        <v>15.66</v>
      </c>
      <c r="M235">
        <v>1641</v>
      </c>
      <c r="N235" t="s">
        <v>79</v>
      </c>
      <c r="O235">
        <v>2</v>
      </c>
      <c r="P235" t="s">
        <v>2414</v>
      </c>
      <c r="Q235" t="s">
        <v>2184</v>
      </c>
      <c r="R235" t="s">
        <v>159</v>
      </c>
      <c r="S235">
        <v>37</v>
      </c>
      <c r="T235">
        <v>38</v>
      </c>
      <c r="U235">
        <v>164</v>
      </c>
      <c r="V235" t="s">
        <v>2732</v>
      </c>
      <c r="W235" t="s">
        <v>2733</v>
      </c>
      <c r="X235" t="s">
        <v>79</v>
      </c>
    </row>
    <row r="236" spans="1:24">
      <c r="A236">
        <v>16420</v>
      </c>
      <c r="B236" t="s">
        <v>2734</v>
      </c>
      <c r="C236" t="s">
        <v>2098</v>
      </c>
      <c r="E236" t="s">
        <v>2162</v>
      </c>
      <c r="F236" t="s">
        <v>2098</v>
      </c>
      <c r="G236">
        <v>550</v>
      </c>
      <c r="H236">
        <v>4000</v>
      </c>
      <c r="I236" t="s">
        <v>2731</v>
      </c>
      <c r="J236" t="s">
        <v>2098</v>
      </c>
      <c r="K236">
        <v>672.55</v>
      </c>
      <c r="L236">
        <v>15.66</v>
      </c>
      <c r="M236">
        <v>1641</v>
      </c>
      <c r="N236" t="s">
        <v>79</v>
      </c>
      <c r="O236">
        <v>2</v>
      </c>
      <c r="P236" t="s">
        <v>2414</v>
      </c>
      <c r="Q236" t="s">
        <v>2184</v>
      </c>
      <c r="R236" t="s">
        <v>159</v>
      </c>
      <c r="S236">
        <v>45</v>
      </c>
      <c r="T236">
        <v>45</v>
      </c>
      <c r="U236">
        <v>164</v>
      </c>
      <c r="V236" t="s">
        <v>2732</v>
      </c>
      <c r="W236" t="s">
        <v>2735</v>
      </c>
      <c r="X236" t="s">
        <v>79</v>
      </c>
    </row>
    <row r="237" spans="1:24">
      <c r="A237">
        <v>16910</v>
      </c>
      <c r="B237" t="s">
        <v>2736</v>
      </c>
      <c r="C237" t="s">
        <v>2162</v>
      </c>
      <c r="F237" t="s">
        <v>2162</v>
      </c>
      <c r="G237">
        <v>1</v>
      </c>
      <c r="H237">
        <v>1</v>
      </c>
      <c r="I237" t="s">
        <v>2712</v>
      </c>
      <c r="J237" t="s">
        <v>2162</v>
      </c>
      <c r="K237">
        <v>933713.09</v>
      </c>
      <c r="L237">
        <v>1482.94</v>
      </c>
      <c r="M237">
        <v>1611</v>
      </c>
      <c r="N237" t="s">
        <v>79</v>
      </c>
      <c r="O237">
        <v>3</v>
      </c>
      <c r="P237" t="s">
        <v>2713</v>
      </c>
      <c r="Q237" t="s">
        <v>2184</v>
      </c>
      <c r="R237" t="s">
        <v>159</v>
      </c>
      <c r="S237">
        <v>4</v>
      </c>
      <c r="T237">
        <v>4</v>
      </c>
      <c r="U237">
        <v>169</v>
      </c>
      <c r="V237" t="s">
        <v>2737</v>
      </c>
      <c r="W237" t="s">
        <v>2738</v>
      </c>
      <c r="X237" t="s">
        <v>79</v>
      </c>
    </row>
    <row r="238" spans="1:24">
      <c r="A238">
        <v>17110</v>
      </c>
      <c r="B238" t="s">
        <v>2739</v>
      </c>
      <c r="C238" t="s">
        <v>10</v>
      </c>
      <c r="D238" t="s">
        <v>10</v>
      </c>
      <c r="E238" t="s">
        <v>2740</v>
      </c>
      <c r="G238">
        <v>12000</v>
      </c>
      <c r="H238">
        <v>210000</v>
      </c>
      <c r="I238" t="s">
        <v>2741</v>
      </c>
      <c r="J238" t="s">
        <v>10</v>
      </c>
      <c r="K238">
        <v>532</v>
      </c>
      <c r="L238">
        <v>6</v>
      </c>
      <c r="M238">
        <v>1711</v>
      </c>
      <c r="N238" t="s">
        <v>125</v>
      </c>
      <c r="O238">
        <v>1</v>
      </c>
      <c r="P238" t="s">
        <v>2742</v>
      </c>
      <c r="Q238" t="s">
        <v>2500</v>
      </c>
      <c r="R238" t="s">
        <v>2199</v>
      </c>
      <c r="S238">
        <v>415</v>
      </c>
      <c r="T238">
        <v>1027</v>
      </c>
      <c r="U238">
        <v>171</v>
      </c>
      <c r="V238" t="s">
        <v>2743</v>
      </c>
      <c r="W238" t="s">
        <v>2744</v>
      </c>
      <c r="X238" t="s">
        <v>79</v>
      </c>
    </row>
    <row r="239" spans="1:24">
      <c r="A239">
        <v>17115</v>
      </c>
      <c r="B239" t="s">
        <v>2745</v>
      </c>
      <c r="C239" t="s">
        <v>10</v>
      </c>
      <c r="D239" t="s">
        <v>10</v>
      </c>
      <c r="E239" t="s">
        <v>2740</v>
      </c>
      <c r="G239">
        <v>26000</v>
      </c>
      <c r="H239">
        <v>210000</v>
      </c>
      <c r="I239" t="s">
        <v>2746</v>
      </c>
      <c r="J239" t="s">
        <v>10</v>
      </c>
      <c r="K239">
        <v>498</v>
      </c>
      <c r="L239">
        <v>7.26</v>
      </c>
      <c r="M239">
        <v>1714</v>
      </c>
      <c r="N239" t="s">
        <v>125</v>
      </c>
      <c r="O239">
        <v>1</v>
      </c>
      <c r="P239" t="s">
        <v>2747</v>
      </c>
      <c r="Q239" t="s">
        <v>2500</v>
      </c>
      <c r="R239" t="s">
        <v>2199</v>
      </c>
      <c r="S239">
        <v>404</v>
      </c>
      <c r="T239">
        <v>509</v>
      </c>
      <c r="U239">
        <v>171</v>
      </c>
      <c r="V239" t="s">
        <v>2743</v>
      </c>
      <c r="W239" t="s">
        <v>2748</v>
      </c>
      <c r="X239" t="s">
        <v>79</v>
      </c>
    </row>
    <row r="240" spans="1:24">
      <c r="A240">
        <v>17117</v>
      </c>
      <c r="B240" t="s">
        <v>2749</v>
      </c>
      <c r="C240" t="s">
        <v>10</v>
      </c>
      <c r="D240" t="s">
        <v>10</v>
      </c>
      <c r="G240">
        <v>3900</v>
      </c>
      <c r="H240">
        <v>18000</v>
      </c>
      <c r="I240" t="s">
        <v>2448</v>
      </c>
      <c r="J240" t="s">
        <v>10</v>
      </c>
      <c r="K240">
        <v>411.57</v>
      </c>
      <c r="L240">
        <v>6.31</v>
      </c>
      <c r="M240">
        <v>1441</v>
      </c>
      <c r="N240" t="s">
        <v>125</v>
      </c>
      <c r="O240">
        <v>2</v>
      </c>
      <c r="P240" t="s">
        <v>2742</v>
      </c>
      <c r="Q240" t="s">
        <v>2500</v>
      </c>
      <c r="R240" t="s">
        <v>2199</v>
      </c>
      <c r="S240">
        <v>1</v>
      </c>
      <c r="T240">
        <v>6</v>
      </c>
      <c r="U240">
        <v>171</v>
      </c>
      <c r="V240" t="s">
        <v>2743</v>
      </c>
      <c r="W240" t="s">
        <v>2750</v>
      </c>
      <c r="X240" t="s">
        <v>79</v>
      </c>
    </row>
    <row r="241" spans="1:24">
      <c r="A241">
        <v>17120</v>
      </c>
      <c r="B241" t="s">
        <v>2751</v>
      </c>
      <c r="C241" t="s">
        <v>10</v>
      </c>
      <c r="D241" t="s">
        <v>10</v>
      </c>
      <c r="E241" t="s">
        <v>2740</v>
      </c>
      <c r="G241">
        <v>13000</v>
      </c>
      <c r="H241">
        <v>220000</v>
      </c>
      <c r="I241" t="s">
        <v>2751</v>
      </c>
      <c r="J241" t="s">
        <v>10</v>
      </c>
      <c r="K241">
        <v>1001</v>
      </c>
      <c r="L241">
        <v>4.3499999999999996</v>
      </c>
      <c r="M241">
        <v>1712</v>
      </c>
      <c r="N241" t="s">
        <v>125</v>
      </c>
      <c r="O241">
        <v>1</v>
      </c>
      <c r="P241" t="s">
        <v>2752</v>
      </c>
      <c r="Q241" t="s">
        <v>2500</v>
      </c>
      <c r="R241" t="s">
        <v>2199</v>
      </c>
      <c r="S241">
        <v>650</v>
      </c>
      <c r="T241">
        <v>1089</v>
      </c>
      <c r="U241">
        <v>171</v>
      </c>
      <c r="V241" t="s">
        <v>2743</v>
      </c>
      <c r="W241" t="s">
        <v>2753</v>
      </c>
      <c r="X241" t="s">
        <v>79</v>
      </c>
    </row>
    <row r="242" spans="1:24">
      <c r="A242">
        <v>17125</v>
      </c>
      <c r="B242" t="s">
        <v>2754</v>
      </c>
      <c r="C242" t="s">
        <v>10</v>
      </c>
      <c r="D242" t="s">
        <v>10</v>
      </c>
      <c r="E242" t="s">
        <v>2755</v>
      </c>
      <c r="G242">
        <v>6700</v>
      </c>
      <c r="H242">
        <v>39000</v>
      </c>
      <c r="I242" t="s">
        <v>2756</v>
      </c>
      <c r="J242" t="s">
        <v>10</v>
      </c>
      <c r="K242">
        <v>269.02</v>
      </c>
      <c r="L242">
        <v>2.84</v>
      </c>
      <c r="M242">
        <v>7431</v>
      </c>
      <c r="N242" t="s">
        <v>125</v>
      </c>
      <c r="O242">
        <v>1</v>
      </c>
      <c r="P242" t="s">
        <v>2754</v>
      </c>
      <c r="Q242" t="s">
        <v>2500</v>
      </c>
      <c r="R242" t="s">
        <v>2199</v>
      </c>
      <c r="S242">
        <v>44</v>
      </c>
      <c r="T242">
        <v>188</v>
      </c>
      <c r="U242">
        <v>171</v>
      </c>
      <c r="V242" t="s">
        <v>2743</v>
      </c>
      <c r="W242" t="s">
        <v>2757</v>
      </c>
      <c r="X242" t="s">
        <v>79</v>
      </c>
    </row>
    <row r="243" spans="1:24">
      <c r="A243">
        <v>17130</v>
      </c>
      <c r="B243" t="s">
        <v>2758</v>
      </c>
      <c r="C243" t="s">
        <v>10</v>
      </c>
      <c r="D243" t="s">
        <v>10</v>
      </c>
      <c r="G243">
        <v>40000</v>
      </c>
      <c r="H243">
        <v>120000</v>
      </c>
      <c r="I243" t="s">
        <v>2759</v>
      </c>
      <c r="J243" t="s">
        <v>10</v>
      </c>
      <c r="K243">
        <v>459.84</v>
      </c>
      <c r="L243">
        <v>2.96</v>
      </c>
      <c r="M243">
        <v>1715</v>
      </c>
      <c r="N243" t="s">
        <v>125</v>
      </c>
      <c r="O243">
        <v>1</v>
      </c>
      <c r="P243" t="s">
        <v>2499</v>
      </c>
      <c r="Q243" t="s">
        <v>2500</v>
      </c>
      <c r="R243" t="s">
        <v>2199</v>
      </c>
      <c r="S243">
        <v>14</v>
      </c>
      <c r="T243">
        <v>18</v>
      </c>
      <c r="U243">
        <v>171</v>
      </c>
      <c r="V243" t="s">
        <v>2743</v>
      </c>
      <c r="W243" t="s">
        <v>2760</v>
      </c>
      <c r="X243" t="s">
        <v>79</v>
      </c>
    </row>
    <row r="244" spans="1:24">
      <c r="A244">
        <v>17135</v>
      </c>
      <c r="B244" t="s">
        <v>2761</v>
      </c>
      <c r="C244" t="s">
        <v>10</v>
      </c>
      <c r="D244" t="s">
        <v>10</v>
      </c>
      <c r="G244">
        <v>12000</v>
      </c>
      <c r="H244">
        <v>170000</v>
      </c>
      <c r="I244" t="s">
        <v>2762</v>
      </c>
      <c r="J244" t="s">
        <v>10</v>
      </c>
      <c r="K244">
        <v>876</v>
      </c>
      <c r="L244">
        <v>7.19</v>
      </c>
      <c r="M244">
        <v>1721</v>
      </c>
      <c r="N244" t="s">
        <v>125</v>
      </c>
      <c r="O244">
        <v>1</v>
      </c>
      <c r="P244" t="s">
        <v>2763</v>
      </c>
      <c r="Q244" t="s">
        <v>2500</v>
      </c>
      <c r="R244" t="s">
        <v>2199</v>
      </c>
      <c r="S244">
        <v>249</v>
      </c>
      <c r="T244">
        <v>428</v>
      </c>
      <c r="U244">
        <v>171</v>
      </c>
      <c r="V244" t="s">
        <v>2743</v>
      </c>
      <c r="W244" t="s">
        <v>2764</v>
      </c>
      <c r="X244" t="s">
        <v>79</v>
      </c>
    </row>
    <row r="245" spans="1:24">
      <c r="A245">
        <v>17136</v>
      </c>
      <c r="B245" t="s">
        <v>2765</v>
      </c>
      <c r="C245" t="s">
        <v>10</v>
      </c>
      <c r="D245" t="s">
        <v>10</v>
      </c>
      <c r="G245">
        <v>10000</v>
      </c>
      <c r="H245">
        <v>120000</v>
      </c>
      <c r="I245" t="s">
        <v>2766</v>
      </c>
      <c r="J245" t="s">
        <v>10</v>
      </c>
      <c r="K245">
        <v>876</v>
      </c>
      <c r="L245">
        <v>5.4</v>
      </c>
      <c r="M245">
        <v>1724</v>
      </c>
      <c r="N245" t="s">
        <v>125</v>
      </c>
      <c r="O245">
        <v>2</v>
      </c>
      <c r="P245" t="s">
        <v>2499</v>
      </c>
      <c r="Q245" t="s">
        <v>2500</v>
      </c>
      <c r="R245" t="s">
        <v>2199</v>
      </c>
      <c r="S245">
        <v>2</v>
      </c>
      <c r="T245">
        <v>3</v>
      </c>
      <c r="U245">
        <v>171</v>
      </c>
      <c r="V245" t="s">
        <v>2743</v>
      </c>
      <c r="W245" t="s">
        <v>2767</v>
      </c>
      <c r="X245" t="s">
        <v>79</v>
      </c>
    </row>
    <row r="246" spans="1:24">
      <c r="A246">
        <v>17140</v>
      </c>
      <c r="B246" t="s">
        <v>2768</v>
      </c>
      <c r="C246" t="s">
        <v>10</v>
      </c>
      <c r="D246" t="s">
        <v>10</v>
      </c>
      <c r="G246">
        <v>26000</v>
      </c>
      <c r="H246">
        <v>210000</v>
      </c>
      <c r="I246" t="s">
        <v>2746</v>
      </c>
      <c r="J246" t="s">
        <v>10</v>
      </c>
      <c r="K246">
        <v>498</v>
      </c>
      <c r="L246">
        <v>7.26</v>
      </c>
      <c r="M246">
        <v>1714</v>
      </c>
      <c r="N246" t="s">
        <v>125</v>
      </c>
      <c r="O246">
        <v>3</v>
      </c>
      <c r="P246" t="s">
        <v>2769</v>
      </c>
      <c r="Q246" t="s">
        <v>2500</v>
      </c>
      <c r="R246" t="s">
        <v>2199</v>
      </c>
      <c r="S246">
        <v>11</v>
      </c>
      <c r="T246">
        <v>12</v>
      </c>
      <c r="U246">
        <v>171</v>
      </c>
      <c r="V246" t="s">
        <v>2743</v>
      </c>
      <c r="W246" t="s">
        <v>2770</v>
      </c>
      <c r="X246" t="s">
        <v>79</v>
      </c>
    </row>
    <row r="247" spans="1:24">
      <c r="A247">
        <v>17145</v>
      </c>
      <c r="B247" t="s">
        <v>2771</v>
      </c>
      <c r="C247" t="s">
        <v>10</v>
      </c>
      <c r="D247" t="s">
        <v>10</v>
      </c>
      <c r="G247">
        <v>8500</v>
      </c>
      <c r="H247">
        <v>120000</v>
      </c>
      <c r="I247" t="s">
        <v>2772</v>
      </c>
      <c r="J247" t="s">
        <v>10</v>
      </c>
      <c r="K247">
        <v>349.32</v>
      </c>
      <c r="L247">
        <v>2.2799999999999998</v>
      </c>
      <c r="M247">
        <v>1732</v>
      </c>
      <c r="N247" t="s">
        <v>125</v>
      </c>
      <c r="O247">
        <v>2</v>
      </c>
      <c r="P247" t="s">
        <v>2499</v>
      </c>
      <c r="Q247" t="s">
        <v>2500</v>
      </c>
      <c r="R247" t="s">
        <v>2199</v>
      </c>
      <c r="S247">
        <v>18</v>
      </c>
      <c r="T247">
        <v>24</v>
      </c>
      <c r="U247">
        <v>171</v>
      </c>
      <c r="V247" t="s">
        <v>2743</v>
      </c>
      <c r="W247" t="s">
        <v>2773</v>
      </c>
      <c r="X247" t="s">
        <v>79</v>
      </c>
    </row>
    <row r="248" spans="1:24">
      <c r="A248">
        <v>17150</v>
      </c>
      <c r="B248" t="s">
        <v>2774</v>
      </c>
      <c r="C248" t="s">
        <v>10</v>
      </c>
      <c r="D248" t="s">
        <v>10</v>
      </c>
      <c r="E248" t="s">
        <v>2775</v>
      </c>
      <c r="G248">
        <v>6000</v>
      </c>
      <c r="H248">
        <v>39000</v>
      </c>
      <c r="I248" t="s">
        <v>2776</v>
      </c>
      <c r="J248" t="s">
        <v>10</v>
      </c>
      <c r="K248">
        <v>505.61</v>
      </c>
      <c r="L248">
        <v>5.62</v>
      </c>
      <c r="M248">
        <v>1718</v>
      </c>
      <c r="N248" t="s">
        <v>125</v>
      </c>
      <c r="O248">
        <v>1</v>
      </c>
      <c r="P248" t="s">
        <v>2777</v>
      </c>
      <c r="Q248" t="s">
        <v>2500</v>
      </c>
      <c r="R248" t="s">
        <v>2199</v>
      </c>
      <c r="S248">
        <v>50</v>
      </c>
      <c r="T248">
        <v>59</v>
      </c>
      <c r="U248">
        <v>171</v>
      </c>
      <c r="V248" t="s">
        <v>2743</v>
      </c>
      <c r="W248" t="s">
        <v>2778</v>
      </c>
      <c r="X248" t="s">
        <v>79</v>
      </c>
    </row>
    <row r="249" spans="1:24">
      <c r="A249">
        <v>17160</v>
      </c>
      <c r="B249" t="s">
        <v>2779</v>
      </c>
      <c r="C249" t="s">
        <v>10</v>
      </c>
      <c r="D249" t="s">
        <v>10</v>
      </c>
      <c r="E249" t="s">
        <v>2740</v>
      </c>
      <c r="G249">
        <v>8400</v>
      </c>
      <c r="H249">
        <v>1000000</v>
      </c>
      <c r="I249" t="s">
        <v>2780</v>
      </c>
      <c r="J249" t="s">
        <v>10</v>
      </c>
      <c r="K249">
        <v>587</v>
      </c>
      <c r="L249">
        <v>4.5999999999999996</v>
      </c>
      <c r="M249">
        <v>6100</v>
      </c>
      <c r="N249" t="s">
        <v>125</v>
      </c>
      <c r="O249">
        <v>3</v>
      </c>
      <c r="P249" t="s">
        <v>2781</v>
      </c>
      <c r="Q249" t="s">
        <v>2500</v>
      </c>
      <c r="R249" t="s">
        <v>2199</v>
      </c>
      <c r="S249">
        <v>15</v>
      </c>
      <c r="T249">
        <v>18</v>
      </c>
      <c r="U249">
        <v>171</v>
      </c>
      <c r="V249" t="s">
        <v>2743</v>
      </c>
      <c r="W249" t="s">
        <v>2782</v>
      </c>
      <c r="X249" t="s">
        <v>79</v>
      </c>
    </row>
    <row r="250" spans="1:24">
      <c r="A250">
        <v>17177</v>
      </c>
      <c r="B250" t="s">
        <v>2783</v>
      </c>
      <c r="C250" t="s">
        <v>10</v>
      </c>
      <c r="D250" t="s">
        <v>10</v>
      </c>
      <c r="G250">
        <v>8500</v>
      </c>
      <c r="H250">
        <v>120000</v>
      </c>
      <c r="I250" t="s">
        <v>2772</v>
      </c>
      <c r="J250" t="s">
        <v>10</v>
      </c>
      <c r="K250">
        <v>349.32</v>
      </c>
      <c r="L250">
        <v>2.2799999999999998</v>
      </c>
      <c r="M250">
        <v>1732</v>
      </c>
      <c r="N250" t="s">
        <v>125</v>
      </c>
      <c r="O250">
        <v>2</v>
      </c>
      <c r="P250" t="s">
        <v>2499</v>
      </c>
      <c r="Q250" t="s">
        <v>2500</v>
      </c>
      <c r="R250" t="s">
        <v>2199</v>
      </c>
      <c r="S250">
        <v>208</v>
      </c>
      <c r="T250">
        <v>278</v>
      </c>
      <c r="U250">
        <v>171</v>
      </c>
      <c r="V250" t="s">
        <v>2743</v>
      </c>
      <c r="W250" t="s">
        <v>2784</v>
      </c>
      <c r="X250" t="s">
        <v>79</v>
      </c>
    </row>
    <row r="251" spans="1:24">
      <c r="A251">
        <v>17230</v>
      </c>
      <c r="B251" t="s">
        <v>2785</v>
      </c>
      <c r="C251" t="s">
        <v>10</v>
      </c>
      <c r="D251" t="s">
        <v>10</v>
      </c>
      <c r="G251">
        <v>1000</v>
      </c>
      <c r="H251">
        <v>3800</v>
      </c>
      <c r="I251" t="s">
        <v>2786</v>
      </c>
      <c r="J251" t="s">
        <v>10</v>
      </c>
      <c r="K251">
        <v>379.71</v>
      </c>
      <c r="L251">
        <v>3.35</v>
      </c>
      <c r="M251">
        <v>1723</v>
      </c>
      <c r="N251" t="s">
        <v>125</v>
      </c>
      <c r="O251">
        <v>2</v>
      </c>
      <c r="P251" t="s">
        <v>2499</v>
      </c>
      <c r="Q251" t="s">
        <v>2500</v>
      </c>
      <c r="R251" t="s">
        <v>2199</v>
      </c>
      <c r="S251">
        <v>25</v>
      </c>
      <c r="T251">
        <v>29</v>
      </c>
      <c r="U251">
        <v>172</v>
      </c>
      <c r="V251" t="s">
        <v>2787</v>
      </c>
      <c r="W251" t="s">
        <v>2788</v>
      </c>
      <c r="X251" t="s">
        <v>79</v>
      </c>
    </row>
    <row r="252" spans="1:24">
      <c r="A252">
        <v>17310</v>
      </c>
      <c r="B252" t="s">
        <v>2789</v>
      </c>
      <c r="C252" t="s">
        <v>10</v>
      </c>
      <c r="D252" t="s">
        <v>10</v>
      </c>
      <c r="G252">
        <v>1500</v>
      </c>
      <c r="H252">
        <v>37000</v>
      </c>
      <c r="I252" t="s">
        <v>2498</v>
      </c>
      <c r="J252" t="s">
        <v>10</v>
      </c>
      <c r="K252">
        <v>609.26</v>
      </c>
      <c r="L252">
        <v>2.82</v>
      </c>
      <c r="M252">
        <v>1731</v>
      </c>
      <c r="N252" t="s">
        <v>125</v>
      </c>
      <c r="O252">
        <v>2</v>
      </c>
      <c r="P252" t="s">
        <v>2499</v>
      </c>
      <c r="Q252" t="s">
        <v>2500</v>
      </c>
      <c r="R252" t="s">
        <v>2199</v>
      </c>
      <c r="S252">
        <v>252</v>
      </c>
      <c r="T252">
        <v>265</v>
      </c>
      <c r="U252">
        <v>173</v>
      </c>
      <c r="V252" t="s">
        <v>2790</v>
      </c>
      <c r="W252" t="s">
        <v>2791</v>
      </c>
      <c r="X252" t="s">
        <v>79</v>
      </c>
    </row>
    <row r="253" spans="1:24">
      <c r="A253">
        <v>17311</v>
      </c>
      <c r="B253" t="s">
        <v>2498</v>
      </c>
      <c r="C253" t="s">
        <v>10</v>
      </c>
      <c r="D253" t="s">
        <v>10</v>
      </c>
      <c r="G253">
        <v>1500</v>
      </c>
      <c r="H253">
        <v>37000</v>
      </c>
      <c r="I253" t="s">
        <v>2498</v>
      </c>
      <c r="J253" t="s">
        <v>10</v>
      </c>
      <c r="K253">
        <v>609.26</v>
      </c>
      <c r="L253">
        <v>2.82</v>
      </c>
      <c r="M253">
        <v>1731</v>
      </c>
      <c r="N253" t="s">
        <v>125</v>
      </c>
      <c r="O253">
        <v>2</v>
      </c>
      <c r="P253" t="s">
        <v>2499</v>
      </c>
      <c r="Q253" t="s">
        <v>2500</v>
      </c>
      <c r="R253" t="s">
        <v>2199</v>
      </c>
      <c r="S253">
        <v>529</v>
      </c>
      <c r="T253">
        <v>538</v>
      </c>
      <c r="U253">
        <v>173</v>
      </c>
      <c r="V253" t="s">
        <v>2790</v>
      </c>
      <c r="W253" t="s">
        <v>2792</v>
      </c>
      <c r="X253" t="s">
        <v>79</v>
      </c>
    </row>
    <row r="254" spans="1:24">
      <c r="A254">
        <v>17320</v>
      </c>
      <c r="B254" t="s">
        <v>2793</v>
      </c>
      <c r="C254" t="s">
        <v>10</v>
      </c>
      <c r="D254" t="s">
        <v>10</v>
      </c>
      <c r="G254">
        <v>8500</v>
      </c>
      <c r="H254">
        <v>120000</v>
      </c>
      <c r="I254" t="s">
        <v>2772</v>
      </c>
      <c r="J254" t="s">
        <v>10</v>
      </c>
      <c r="K254">
        <v>349.32</v>
      </c>
      <c r="L254">
        <v>2.2799999999999998</v>
      </c>
      <c r="M254">
        <v>1732</v>
      </c>
      <c r="N254" t="s">
        <v>125</v>
      </c>
      <c r="O254">
        <v>2</v>
      </c>
      <c r="P254" t="s">
        <v>2499</v>
      </c>
      <c r="Q254" t="s">
        <v>2500</v>
      </c>
      <c r="R254" t="s">
        <v>2199</v>
      </c>
      <c r="S254">
        <v>13</v>
      </c>
      <c r="T254">
        <v>20</v>
      </c>
      <c r="U254">
        <v>173</v>
      </c>
      <c r="V254" t="s">
        <v>2790</v>
      </c>
      <c r="W254" t="s">
        <v>2794</v>
      </c>
      <c r="X254" t="s">
        <v>79</v>
      </c>
    </row>
    <row r="255" spans="1:24">
      <c r="A255">
        <v>17330</v>
      </c>
      <c r="B255" t="s">
        <v>2795</v>
      </c>
      <c r="C255" t="s">
        <v>10</v>
      </c>
      <c r="D255" t="s">
        <v>10</v>
      </c>
      <c r="G255">
        <v>1700</v>
      </c>
      <c r="H255">
        <v>52000</v>
      </c>
      <c r="I255" t="s">
        <v>2796</v>
      </c>
      <c r="J255" t="s">
        <v>10</v>
      </c>
      <c r="K255">
        <v>308.68</v>
      </c>
      <c r="L255">
        <v>0.48</v>
      </c>
      <c r="M255">
        <v>1733</v>
      </c>
      <c r="N255" t="s">
        <v>125</v>
      </c>
      <c r="O255">
        <v>2</v>
      </c>
      <c r="P255" t="s">
        <v>2499</v>
      </c>
      <c r="Q255" t="s">
        <v>2500</v>
      </c>
      <c r="R255" t="s">
        <v>159</v>
      </c>
      <c r="S255">
        <v>487</v>
      </c>
      <c r="T255">
        <v>488</v>
      </c>
      <c r="U255">
        <v>173</v>
      </c>
      <c r="V255" t="s">
        <v>2790</v>
      </c>
      <c r="W255" t="s">
        <v>2797</v>
      </c>
      <c r="X255" t="s">
        <v>79</v>
      </c>
    </row>
    <row r="256" spans="1:24">
      <c r="A256">
        <v>17340</v>
      </c>
      <c r="B256" t="s">
        <v>2798</v>
      </c>
      <c r="C256" t="s">
        <v>2162</v>
      </c>
      <c r="D256" t="s">
        <v>10</v>
      </c>
      <c r="F256" t="s">
        <v>2162</v>
      </c>
      <c r="G256">
        <v>110</v>
      </c>
      <c r="H256">
        <v>750</v>
      </c>
      <c r="I256" t="s">
        <v>2799</v>
      </c>
      <c r="J256" t="s">
        <v>10</v>
      </c>
      <c r="K256">
        <v>532.76</v>
      </c>
      <c r="M256">
        <v>1735</v>
      </c>
      <c r="N256" t="s">
        <v>125</v>
      </c>
      <c r="P256" t="s">
        <v>2499</v>
      </c>
      <c r="Q256" t="s">
        <v>2500</v>
      </c>
      <c r="R256" t="s">
        <v>159</v>
      </c>
      <c r="S256">
        <v>7</v>
      </c>
      <c r="T256">
        <v>7</v>
      </c>
      <c r="U256">
        <v>173</v>
      </c>
      <c r="V256" t="s">
        <v>2790</v>
      </c>
      <c r="W256" t="s">
        <v>2800</v>
      </c>
      <c r="X256" t="s">
        <v>79</v>
      </c>
    </row>
    <row r="257" spans="1:24">
      <c r="A257">
        <v>17410</v>
      </c>
      <c r="B257" t="s">
        <v>2801</v>
      </c>
      <c r="C257" t="s">
        <v>2802</v>
      </c>
      <c r="D257" t="s">
        <v>2802</v>
      </c>
      <c r="G257">
        <v>1840</v>
      </c>
      <c r="H257">
        <v>360000</v>
      </c>
      <c r="I257" t="s">
        <v>2803</v>
      </c>
      <c r="J257" t="s">
        <v>2802</v>
      </c>
      <c r="K257">
        <v>0</v>
      </c>
      <c r="L257">
        <v>2.23</v>
      </c>
      <c r="M257">
        <v>1741</v>
      </c>
      <c r="N257" t="s">
        <v>79</v>
      </c>
      <c r="O257">
        <v>2</v>
      </c>
      <c r="P257" t="s">
        <v>2499</v>
      </c>
      <c r="Q257" t="s">
        <v>2500</v>
      </c>
      <c r="R257" t="s">
        <v>159</v>
      </c>
      <c r="S257">
        <v>172</v>
      </c>
      <c r="T257">
        <v>177</v>
      </c>
      <c r="U257">
        <v>174</v>
      </c>
      <c r="V257" t="s">
        <v>2804</v>
      </c>
      <c r="W257" t="s">
        <v>2805</v>
      </c>
      <c r="X257" t="s">
        <v>79</v>
      </c>
    </row>
    <row r="258" spans="1:24">
      <c r="A258">
        <v>17411</v>
      </c>
      <c r="B258" t="s">
        <v>2806</v>
      </c>
      <c r="C258" t="s">
        <v>2802</v>
      </c>
      <c r="D258" t="s">
        <v>2802</v>
      </c>
      <c r="G258">
        <v>1840</v>
      </c>
      <c r="H258">
        <v>360000</v>
      </c>
      <c r="I258" t="s">
        <v>2803</v>
      </c>
      <c r="J258" t="s">
        <v>2802</v>
      </c>
      <c r="K258">
        <v>0</v>
      </c>
      <c r="L258">
        <v>2.23</v>
      </c>
      <c r="M258">
        <v>1741</v>
      </c>
      <c r="N258" t="s">
        <v>79</v>
      </c>
      <c r="O258">
        <v>2</v>
      </c>
      <c r="P258" t="s">
        <v>2499</v>
      </c>
      <c r="Q258" t="s">
        <v>2500</v>
      </c>
      <c r="R258" t="s">
        <v>159</v>
      </c>
      <c r="S258">
        <v>38</v>
      </c>
      <c r="T258">
        <v>40</v>
      </c>
      <c r="U258">
        <v>174</v>
      </c>
      <c r="V258" t="s">
        <v>2804</v>
      </c>
      <c r="W258" t="s">
        <v>2807</v>
      </c>
      <c r="X258" t="s">
        <v>79</v>
      </c>
    </row>
    <row r="259" spans="1:24">
      <c r="A259">
        <v>17412</v>
      </c>
      <c r="B259" t="s">
        <v>2808</v>
      </c>
      <c r="C259" t="s">
        <v>2802</v>
      </c>
      <c r="D259" t="s">
        <v>2802</v>
      </c>
      <c r="F259" t="s">
        <v>2162</v>
      </c>
      <c r="G259">
        <v>1840</v>
      </c>
      <c r="H259">
        <v>360000</v>
      </c>
      <c r="I259" t="s">
        <v>2803</v>
      </c>
      <c r="J259" t="s">
        <v>2802</v>
      </c>
      <c r="K259">
        <v>0</v>
      </c>
      <c r="L259">
        <v>2.23</v>
      </c>
      <c r="M259">
        <v>1741</v>
      </c>
      <c r="N259" t="s">
        <v>79</v>
      </c>
      <c r="O259">
        <v>2</v>
      </c>
      <c r="P259" t="s">
        <v>2499</v>
      </c>
      <c r="Q259" t="s">
        <v>2500</v>
      </c>
      <c r="R259" t="s">
        <v>159</v>
      </c>
      <c r="S259">
        <v>8</v>
      </c>
      <c r="T259">
        <v>14</v>
      </c>
      <c r="U259">
        <v>174</v>
      </c>
      <c r="V259" t="s">
        <v>2804</v>
      </c>
      <c r="W259" t="s">
        <v>2809</v>
      </c>
      <c r="X259" t="s">
        <v>79</v>
      </c>
    </row>
    <row r="260" spans="1:24">
      <c r="A260">
        <v>17413</v>
      </c>
      <c r="B260" t="s">
        <v>2810</v>
      </c>
      <c r="C260" t="s">
        <v>2802</v>
      </c>
      <c r="D260" t="s">
        <v>2802</v>
      </c>
      <c r="F260" t="s">
        <v>2162</v>
      </c>
      <c r="G260">
        <v>1840</v>
      </c>
      <c r="H260">
        <v>360000</v>
      </c>
      <c r="I260" t="s">
        <v>2803</v>
      </c>
      <c r="J260" t="s">
        <v>2802</v>
      </c>
      <c r="K260">
        <v>0</v>
      </c>
      <c r="L260">
        <v>2.23</v>
      </c>
      <c r="M260">
        <v>1741</v>
      </c>
      <c r="N260" t="s">
        <v>79</v>
      </c>
      <c r="O260">
        <v>2</v>
      </c>
      <c r="P260" t="s">
        <v>2499</v>
      </c>
      <c r="Q260" t="s">
        <v>2500</v>
      </c>
      <c r="R260" t="s">
        <v>159</v>
      </c>
      <c r="S260">
        <v>63</v>
      </c>
      <c r="T260">
        <v>63</v>
      </c>
      <c r="U260">
        <v>174</v>
      </c>
      <c r="V260" t="s">
        <v>2804</v>
      </c>
      <c r="W260" t="s">
        <v>2811</v>
      </c>
      <c r="X260" t="s">
        <v>79</v>
      </c>
    </row>
    <row r="261" spans="1:24">
      <c r="A261">
        <v>17420</v>
      </c>
      <c r="B261" t="s">
        <v>2812</v>
      </c>
      <c r="C261" t="s">
        <v>2802</v>
      </c>
      <c r="D261" t="s">
        <v>2802</v>
      </c>
      <c r="G261">
        <v>2000</v>
      </c>
      <c r="H261">
        <v>66000</v>
      </c>
      <c r="I261" t="s">
        <v>2813</v>
      </c>
      <c r="J261" t="s">
        <v>2802</v>
      </c>
      <c r="K261">
        <v>0</v>
      </c>
      <c r="L261">
        <v>3.19</v>
      </c>
      <c r="M261">
        <v>1742</v>
      </c>
      <c r="N261" t="s">
        <v>79</v>
      </c>
      <c r="O261">
        <v>2</v>
      </c>
      <c r="P261" t="s">
        <v>2499</v>
      </c>
      <c r="Q261" t="s">
        <v>2500</v>
      </c>
      <c r="R261" t="s">
        <v>159</v>
      </c>
      <c r="S261">
        <v>22</v>
      </c>
      <c r="T261">
        <v>22</v>
      </c>
      <c r="U261">
        <v>174</v>
      </c>
      <c r="V261" t="s">
        <v>2804</v>
      </c>
      <c r="W261" t="s">
        <v>2814</v>
      </c>
      <c r="X261" t="s">
        <v>79</v>
      </c>
    </row>
    <row r="262" spans="1:24">
      <c r="A262">
        <v>17430</v>
      </c>
      <c r="B262" t="s">
        <v>2815</v>
      </c>
      <c r="C262" t="s">
        <v>2802</v>
      </c>
      <c r="D262" t="s">
        <v>2802</v>
      </c>
      <c r="G262">
        <v>1900</v>
      </c>
      <c r="H262">
        <v>50000</v>
      </c>
      <c r="I262" t="s">
        <v>2816</v>
      </c>
      <c r="J262" t="s">
        <v>2802</v>
      </c>
      <c r="K262">
        <v>0</v>
      </c>
      <c r="L262">
        <v>0</v>
      </c>
      <c r="M262">
        <v>1743</v>
      </c>
      <c r="N262" t="s">
        <v>79</v>
      </c>
      <c r="O262">
        <v>2</v>
      </c>
      <c r="P262" t="s">
        <v>2499</v>
      </c>
      <c r="Q262" t="s">
        <v>2500</v>
      </c>
      <c r="R262" t="s">
        <v>159</v>
      </c>
      <c r="S262">
        <v>29</v>
      </c>
      <c r="T262">
        <v>30</v>
      </c>
      <c r="U262">
        <v>174</v>
      </c>
      <c r="V262" t="s">
        <v>2804</v>
      </c>
      <c r="W262" t="s">
        <v>2817</v>
      </c>
      <c r="X262" t="s">
        <v>79</v>
      </c>
    </row>
    <row r="263" spans="1:24">
      <c r="A263">
        <v>17431</v>
      </c>
      <c r="B263" t="s">
        <v>2818</v>
      </c>
      <c r="C263" t="s">
        <v>2802</v>
      </c>
      <c r="D263" t="s">
        <v>2802</v>
      </c>
      <c r="G263">
        <v>1900</v>
      </c>
      <c r="H263">
        <v>50000</v>
      </c>
      <c r="I263" t="s">
        <v>2816</v>
      </c>
      <c r="J263" t="s">
        <v>2802</v>
      </c>
      <c r="K263">
        <v>0</v>
      </c>
      <c r="L263">
        <v>0</v>
      </c>
      <c r="M263">
        <v>1743</v>
      </c>
      <c r="N263" t="s">
        <v>79</v>
      </c>
      <c r="O263">
        <v>2</v>
      </c>
      <c r="P263" t="s">
        <v>2499</v>
      </c>
      <c r="Q263" t="s">
        <v>2500</v>
      </c>
      <c r="R263" t="s">
        <v>159</v>
      </c>
      <c r="S263">
        <v>9</v>
      </c>
      <c r="T263">
        <v>9</v>
      </c>
      <c r="U263">
        <v>174</v>
      </c>
      <c r="V263" t="s">
        <v>2804</v>
      </c>
      <c r="W263" t="s">
        <v>2819</v>
      </c>
      <c r="X263" t="s">
        <v>79</v>
      </c>
    </row>
    <row r="264" spans="1:24">
      <c r="A264">
        <v>17440</v>
      </c>
      <c r="B264" t="s">
        <v>2820</v>
      </c>
      <c r="C264" t="s">
        <v>2802</v>
      </c>
      <c r="D264" t="s">
        <v>2802</v>
      </c>
      <c r="F264" t="s">
        <v>2162</v>
      </c>
      <c r="G264">
        <v>300</v>
      </c>
      <c r="H264">
        <v>2800</v>
      </c>
      <c r="I264" t="s">
        <v>2821</v>
      </c>
      <c r="J264" t="s">
        <v>2802</v>
      </c>
      <c r="K264">
        <v>0</v>
      </c>
      <c r="L264">
        <v>2.23</v>
      </c>
      <c r="M264">
        <v>1744</v>
      </c>
      <c r="N264" t="s">
        <v>79</v>
      </c>
      <c r="O264">
        <v>2</v>
      </c>
      <c r="P264" t="s">
        <v>2499</v>
      </c>
      <c r="Q264" t="s">
        <v>2500</v>
      </c>
      <c r="R264" t="s">
        <v>159</v>
      </c>
      <c r="S264">
        <v>14</v>
      </c>
      <c r="T264">
        <v>56</v>
      </c>
      <c r="U264">
        <v>174</v>
      </c>
      <c r="V264" t="s">
        <v>2804</v>
      </c>
      <c r="W264" t="s">
        <v>2822</v>
      </c>
      <c r="X264" t="s">
        <v>79</v>
      </c>
    </row>
    <row r="265" spans="1:24">
      <c r="A265">
        <v>17501</v>
      </c>
      <c r="B265" t="s">
        <v>2823</v>
      </c>
      <c r="C265" t="s">
        <v>2775</v>
      </c>
      <c r="D265" t="s">
        <v>2802</v>
      </c>
      <c r="E265" t="s">
        <v>2775</v>
      </c>
      <c r="G265">
        <v>20</v>
      </c>
      <c r="H265">
        <v>90</v>
      </c>
      <c r="I265" t="s">
        <v>2824</v>
      </c>
      <c r="J265" t="s">
        <v>2775</v>
      </c>
      <c r="K265">
        <v>96206.88</v>
      </c>
      <c r="L265">
        <v>407.88</v>
      </c>
      <c r="M265">
        <v>1750</v>
      </c>
      <c r="N265" t="s">
        <v>125</v>
      </c>
      <c r="O265">
        <v>2</v>
      </c>
      <c r="P265" t="s">
        <v>2499</v>
      </c>
      <c r="Q265" t="s">
        <v>2500</v>
      </c>
      <c r="R265" t="s">
        <v>159</v>
      </c>
      <c r="S265">
        <v>7</v>
      </c>
      <c r="T265">
        <v>7</v>
      </c>
      <c r="U265">
        <v>175</v>
      </c>
      <c r="V265" t="s">
        <v>2825</v>
      </c>
      <c r="W265" t="s">
        <v>2826</v>
      </c>
      <c r="X265" t="s">
        <v>79</v>
      </c>
    </row>
    <row r="266" spans="1:24">
      <c r="A266">
        <v>17502</v>
      </c>
      <c r="B266" t="s">
        <v>2827</v>
      </c>
      <c r="C266" t="s">
        <v>2775</v>
      </c>
      <c r="D266" t="s">
        <v>2802</v>
      </c>
      <c r="E266" t="s">
        <v>2775</v>
      </c>
      <c r="G266">
        <v>20</v>
      </c>
      <c r="H266">
        <v>90</v>
      </c>
      <c r="I266" t="s">
        <v>2824</v>
      </c>
      <c r="J266" t="s">
        <v>2775</v>
      </c>
      <c r="K266">
        <v>96206.88</v>
      </c>
      <c r="L266">
        <v>407.88</v>
      </c>
      <c r="M266">
        <v>1750</v>
      </c>
      <c r="N266" t="s">
        <v>125</v>
      </c>
      <c r="O266">
        <v>2</v>
      </c>
      <c r="P266" t="s">
        <v>2499</v>
      </c>
      <c r="Q266" t="s">
        <v>2500</v>
      </c>
      <c r="R266" t="s">
        <v>159</v>
      </c>
      <c r="S266">
        <v>22</v>
      </c>
      <c r="T266">
        <v>33</v>
      </c>
      <c r="U266">
        <v>175</v>
      </c>
      <c r="V266" t="s">
        <v>2825</v>
      </c>
      <c r="W266" t="s">
        <v>2828</v>
      </c>
      <c r="X266" t="s">
        <v>79</v>
      </c>
    </row>
    <row r="267" spans="1:24">
      <c r="A267">
        <v>17510</v>
      </c>
      <c r="B267" t="s">
        <v>2829</v>
      </c>
      <c r="C267" t="s">
        <v>2775</v>
      </c>
      <c r="D267" t="s">
        <v>2802</v>
      </c>
      <c r="E267" t="s">
        <v>2775</v>
      </c>
      <c r="G267">
        <v>27</v>
      </c>
      <c r="H267">
        <v>100</v>
      </c>
      <c r="I267" t="s">
        <v>2830</v>
      </c>
      <c r="J267" t="s">
        <v>2775</v>
      </c>
      <c r="K267">
        <v>9225.2000000000007</v>
      </c>
      <c r="L267">
        <v>78.67</v>
      </c>
      <c r="M267">
        <v>1751</v>
      </c>
      <c r="N267" t="s">
        <v>125</v>
      </c>
      <c r="O267">
        <v>2</v>
      </c>
      <c r="P267" t="s">
        <v>2499</v>
      </c>
      <c r="Q267" t="s">
        <v>2500</v>
      </c>
      <c r="R267" t="s">
        <v>159</v>
      </c>
      <c r="S267">
        <v>10</v>
      </c>
      <c r="T267">
        <v>15</v>
      </c>
      <c r="U267">
        <v>175</v>
      </c>
      <c r="V267" t="s">
        <v>2825</v>
      </c>
      <c r="W267" t="s">
        <v>2831</v>
      </c>
      <c r="X267" t="s">
        <v>79</v>
      </c>
    </row>
    <row r="268" spans="1:24">
      <c r="A268">
        <v>17520</v>
      </c>
      <c r="B268" t="s">
        <v>2832</v>
      </c>
      <c r="C268" t="s">
        <v>2775</v>
      </c>
      <c r="D268" t="s">
        <v>2802</v>
      </c>
      <c r="E268" t="s">
        <v>2775</v>
      </c>
      <c r="G268">
        <v>12</v>
      </c>
      <c r="H268">
        <v>35</v>
      </c>
      <c r="I268" t="s">
        <v>2833</v>
      </c>
      <c r="J268" t="s">
        <v>2775</v>
      </c>
      <c r="K268">
        <v>88440.4</v>
      </c>
      <c r="L268">
        <v>279.64999999999998</v>
      </c>
      <c r="M268">
        <v>1752</v>
      </c>
      <c r="N268" t="s">
        <v>125</v>
      </c>
      <c r="O268">
        <v>2</v>
      </c>
      <c r="P268" t="s">
        <v>2499</v>
      </c>
      <c r="Q268" t="s">
        <v>2500</v>
      </c>
      <c r="R268" t="s">
        <v>159</v>
      </c>
      <c r="S268">
        <v>3</v>
      </c>
      <c r="T268">
        <v>5</v>
      </c>
      <c r="U268">
        <v>175</v>
      </c>
      <c r="V268" t="s">
        <v>2825</v>
      </c>
      <c r="W268" t="s">
        <v>2834</v>
      </c>
      <c r="X268" t="s">
        <v>79</v>
      </c>
    </row>
    <row r="269" spans="1:24">
      <c r="A269">
        <v>17530</v>
      </c>
      <c r="B269" t="s">
        <v>2835</v>
      </c>
      <c r="C269" t="s">
        <v>2775</v>
      </c>
      <c r="D269" t="s">
        <v>2802</v>
      </c>
      <c r="E269" t="s">
        <v>2775</v>
      </c>
      <c r="G269">
        <v>14</v>
      </c>
      <c r="H269">
        <v>30</v>
      </c>
      <c r="I269" t="s">
        <v>2836</v>
      </c>
      <c r="J269" t="s">
        <v>2775</v>
      </c>
      <c r="K269">
        <v>135826.94</v>
      </c>
      <c r="L269">
        <v>435.57</v>
      </c>
      <c r="M269">
        <v>1753</v>
      </c>
      <c r="N269" t="s">
        <v>125</v>
      </c>
      <c r="O269">
        <v>2</v>
      </c>
      <c r="P269" t="s">
        <v>2499</v>
      </c>
      <c r="Q269" t="s">
        <v>2500</v>
      </c>
      <c r="R269" t="s">
        <v>159</v>
      </c>
      <c r="S269">
        <v>2</v>
      </c>
      <c r="T269">
        <v>3</v>
      </c>
      <c r="U269">
        <v>175</v>
      </c>
      <c r="V269" t="s">
        <v>2825</v>
      </c>
      <c r="W269" t="s">
        <v>2837</v>
      </c>
      <c r="X269" t="s">
        <v>79</v>
      </c>
    </row>
    <row r="270" spans="1:24">
      <c r="A270">
        <v>17531</v>
      </c>
      <c r="B270" t="s">
        <v>2838</v>
      </c>
      <c r="C270" t="s">
        <v>2775</v>
      </c>
      <c r="D270" t="s">
        <v>2802</v>
      </c>
      <c r="E270" t="s">
        <v>2775</v>
      </c>
      <c r="G270">
        <v>14</v>
      </c>
      <c r="H270">
        <v>30</v>
      </c>
      <c r="I270" t="s">
        <v>2836</v>
      </c>
      <c r="J270" t="s">
        <v>2775</v>
      </c>
      <c r="K270">
        <v>135826.94</v>
      </c>
      <c r="L270">
        <v>435.57</v>
      </c>
      <c r="M270">
        <v>1753</v>
      </c>
      <c r="N270" t="s">
        <v>125</v>
      </c>
      <c r="O270">
        <v>2</v>
      </c>
      <c r="P270" t="s">
        <v>2499</v>
      </c>
      <c r="Q270" t="s">
        <v>2500</v>
      </c>
      <c r="R270" t="s">
        <v>159</v>
      </c>
      <c r="S270">
        <v>1</v>
      </c>
      <c r="T270">
        <v>2</v>
      </c>
      <c r="U270">
        <v>175</v>
      </c>
      <c r="V270" t="s">
        <v>2825</v>
      </c>
      <c r="W270" t="s">
        <v>2839</v>
      </c>
      <c r="X270" t="s">
        <v>79</v>
      </c>
    </row>
    <row r="271" spans="1:24">
      <c r="A271">
        <v>17532</v>
      </c>
      <c r="B271" t="s">
        <v>2840</v>
      </c>
      <c r="C271" t="s">
        <v>2775</v>
      </c>
      <c r="D271" t="s">
        <v>2802</v>
      </c>
      <c r="E271" t="s">
        <v>2775</v>
      </c>
      <c r="G271">
        <v>14</v>
      </c>
      <c r="H271">
        <v>30</v>
      </c>
      <c r="I271" t="s">
        <v>2836</v>
      </c>
      <c r="J271" t="s">
        <v>2775</v>
      </c>
      <c r="K271">
        <v>135826.94</v>
      </c>
      <c r="L271">
        <v>435.57</v>
      </c>
      <c r="M271">
        <v>1753</v>
      </c>
      <c r="N271" t="s">
        <v>125</v>
      </c>
      <c r="O271">
        <v>2</v>
      </c>
      <c r="P271" t="s">
        <v>2499</v>
      </c>
      <c r="Q271" t="s">
        <v>2500</v>
      </c>
      <c r="R271" t="s">
        <v>159</v>
      </c>
      <c r="S271">
        <v>2</v>
      </c>
      <c r="T271">
        <v>2</v>
      </c>
      <c r="U271">
        <v>175</v>
      </c>
      <c r="V271" t="s">
        <v>2825</v>
      </c>
      <c r="W271" t="s">
        <v>2841</v>
      </c>
      <c r="X271" t="s">
        <v>79</v>
      </c>
    </row>
    <row r="272" spans="1:24">
      <c r="A272">
        <v>17550</v>
      </c>
      <c r="B272" t="s">
        <v>2842</v>
      </c>
      <c r="C272" t="s">
        <v>2775</v>
      </c>
      <c r="D272" t="s">
        <v>2802</v>
      </c>
      <c r="E272" t="s">
        <v>2775</v>
      </c>
      <c r="G272">
        <v>23</v>
      </c>
      <c r="H272">
        <v>70</v>
      </c>
      <c r="I272" t="s">
        <v>2843</v>
      </c>
      <c r="J272" t="s">
        <v>2775</v>
      </c>
      <c r="K272">
        <v>16549.03</v>
      </c>
      <c r="L272">
        <v>234.06</v>
      </c>
      <c r="M272">
        <v>1755</v>
      </c>
      <c r="N272" t="s">
        <v>125</v>
      </c>
      <c r="O272">
        <v>2</v>
      </c>
      <c r="P272" t="s">
        <v>2499</v>
      </c>
      <c r="Q272" t="s">
        <v>2500</v>
      </c>
      <c r="R272" t="s">
        <v>159</v>
      </c>
      <c r="S272">
        <v>30</v>
      </c>
      <c r="T272">
        <v>35</v>
      </c>
      <c r="U272">
        <v>175</v>
      </c>
      <c r="V272" t="s">
        <v>2825</v>
      </c>
      <c r="W272" t="s">
        <v>2844</v>
      </c>
      <c r="X272" t="s">
        <v>79</v>
      </c>
    </row>
    <row r="273" spans="1:24">
      <c r="A273">
        <v>17560</v>
      </c>
      <c r="B273" t="s">
        <v>2845</v>
      </c>
      <c r="C273" t="s">
        <v>2775</v>
      </c>
      <c r="D273" t="s">
        <v>2802</v>
      </c>
      <c r="E273" t="s">
        <v>2775</v>
      </c>
      <c r="G273">
        <v>5</v>
      </c>
      <c r="H273">
        <v>15</v>
      </c>
      <c r="I273" t="s">
        <v>2846</v>
      </c>
      <c r="J273" t="s">
        <v>2775</v>
      </c>
      <c r="K273">
        <v>244429.32</v>
      </c>
      <c r="L273">
        <v>877.07</v>
      </c>
      <c r="M273">
        <v>1756</v>
      </c>
      <c r="N273" t="s">
        <v>125</v>
      </c>
      <c r="O273">
        <v>2</v>
      </c>
      <c r="P273" t="s">
        <v>2499</v>
      </c>
      <c r="Q273" t="s">
        <v>2500</v>
      </c>
      <c r="R273" t="s">
        <v>159</v>
      </c>
      <c r="S273">
        <v>12</v>
      </c>
      <c r="T273">
        <v>22</v>
      </c>
      <c r="U273">
        <v>175</v>
      </c>
      <c r="V273" t="s">
        <v>2825</v>
      </c>
      <c r="W273" t="s">
        <v>2847</v>
      </c>
      <c r="X273" t="s">
        <v>79</v>
      </c>
    </row>
    <row r="274" spans="1:24">
      <c r="A274">
        <v>17561</v>
      </c>
      <c r="B274" t="s">
        <v>2848</v>
      </c>
      <c r="C274" t="s">
        <v>2775</v>
      </c>
      <c r="D274" t="s">
        <v>2802</v>
      </c>
      <c r="E274" t="s">
        <v>2775</v>
      </c>
      <c r="G274">
        <v>5</v>
      </c>
      <c r="H274">
        <v>15</v>
      </c>
      <c r="I274" t="s">
        <v>2846</v>
      </c>
      <c r="J274" t="s">
        <v>2775</v>
      </c>
      <c r="K274">
        <v>244429.32</v>
      </c>
      <c r="L274">
        <v>877.07</v>
      </c>
      <c r="M274">
        <v>1756</v>
      </c>
      <c r="N274" t="s">
        <v>125</v>
      </c>
      <c r="O274">
        <v>2</v>
      </c>
      <c r="P274" t="s">
        <v>2499</v>
      </c>
      <c r="Q274" t="s">
        <v>2500</v>
      </c>
      <c r="R274" t="s">
        <v>159</v>
      </c>
      <c r="S274">
        <v>2</v>
      </c>
      <c r="T274">
        <v>2</v>
      </c>
      <c r="U274">
        <v>175</v>
      </c>
      <c r="V274" t="s">
        <v>2825</v>
      </c>
      <c r="W274" t="s">
        <v>2849</v>
      </c>
      <c r="X274" t="s">
        <v>79</v>
      </c>
    </row>
    <row r="275" spans="1:24">
      <c r="A275">
        <v>17570</v>
      </c>
      <c r="B275" t="s">
        <v>2850</v>
      </c>
      <c r="C275" t="s">
        <v>2775</v>
      </c>
      <c r="D275" t="s">
        <v>2802</v>
      </c>
      <c r="E275" t="s">
        <v>2775</v>
      </c>
      <c r="G275">
        <v>13</v>
      </c>
      <c r="H275">
        <v>50</v>
      </c>
      <c r="I275" t="s">
        <v>2851</v>
      </c>
      <c r="J275" t="s">
        <v>2775</v>
      </c>
      <c r="K275">
        <v>48896.12</v>
      </c>
      <c r="L275">
        <v>187.07</v>
      </c>
      <c r="M275">
        <v>1757</v>
      </c>
      <c r="N275" t="s">
        <v>125</v>
      </c>
      <c r="O275">
        <v>2</v>
      </c>
      <c r="P275" t="s">
        <v>2499</v>
      </c>
      <c r="Q275" t="s">
        <v>2500</v>
      </c>
      <c r="R275" t="s">
        <v>159</v>
      </c>
      <c r="S275">
        <v>21</v>
      </c>
      <c r="T275">
        <v>28</v>
      </c>
      <c r="U275">
        <v>175</v>
      </c>
      <c r="V275" t="s">
        <v>2825</v>
      </c>
      <c r="W275" t="s">
        <v>2852</v>
      </c>
      <c r="X275" t="s">
        <v>79</v>
      </c>
    </row>
    <row r="276" spans="1:24">
      <c r="A276">
        <v>17571</v>
      </c>
      <c r="B276" t="s">
        <v>2853</v>
      </c>
      <c r="C276" t="s">
        <v>2775</v>
      </c>
      <c r="D276" t="s">
        <v>2802</v>
      </c>
      <c r="E276" t="s">
        <v>2775</v>
      </c>
      <c r="G276">
        <v>13</v>
      </c>
      <c r="H276">
        <v>50</v>
      </c>
      <c r="I276" t="s">
        <v>2851</v>
      </c>
      <c r="J276" t="s">
        <v>2775</v>
      </c>
      <c r="K276">
        <v>48896.12</v>
      </c>
      <c r="L276">
        <v>187.07</v>
      </c>
      <c r="M276">
        <v>1757</v>
      </c>
      <c r="N276" t="s">
        <v>125</v>
      </c>
      <c r="O276">
        <v>2</v>
      </c>
      <c r="P276" t="s">
        <v>2499</v>
      </c>
      <c r="Q276" t="s">
        <v>2500</v>
      </c>
      <c r="R276" t="s">
        <v>159</v>
      </c>
      <c r="S276">
        <v>8</v>
      </c>
      <c r="T276">
        <v>9</v>
      </c>
      <c r="U276">
        <v>175</v>
      </c>
      <c r="V276" t="s">
        <v>2825</v>
      </c>
      <c r="W276" t="s">
        <v>2854</v>
      </c>
      <c r="X276" t="s">
        <v>79</v>
      </c>
    </row>
    <row r="277" spans="1:24">
      <c r="A277">
        <v>17572</v>
      </c>
      <c r="B277" t="s">
        <v>2855</v>
      </c>
      <c r="C277" t="s">
        <v>2775</v>
      </c>
      <c r="D277" t="s">
        <v>2802</v>
      </c>
      <c r="E277" t="s">
        <v>2775</v>
      </c>
      <c r="G277">
        <v>13</v>
      </c>
      <c r="H277">
        <v>50</v>
      </c>
      <c r="I277" t="s">
        <v>2851</v>
      </c>
      <c r="J277" t="s">
        <v>2775</v>
      </c>
      <c r="K277">
        <v>48896.12</v>
      </c>
      <c r="L277">
        <v>187.07</v>
      </c>
      <c r="M277">
        <v>1757</v>
      </c>
      <c r="N277" t="s">
        <v>125</v>
      </c>
      <c r="O277">
        <v>2</v>
      </c>
      <c r="P277" t="s">
        <v>2499</v>
      </c>
      <c r="Q277" t="s">
        <v>2500</v>
      </c>
      <c r="R277" t="s">
        <v>159</v>
      </c>
      <c r="S277">
        <v>4</v>
      </c>
      <c r="T277">
        <v>6</v>
      </c>
      <c r="U277">
        <v>175</v>
      </c>
      <c r="V277" t="s">
        <v>2825</v>
      </c>
      <c r="W277" t="s">
        <v>2856</v>
      </c>
      <c r="X277" t="s">
        <v>79</v>
      </c>
    </row>
    <row r="278" spans="1:24">
      <c r="A278">
        <v>17573</v>
      </c>
      <c r="B278" t="s">
        <v>2857</v>
      </c>
      <c r="C278" t="s">
        <v>2775</v>
      </c>
      <c r="D278" t="s">
        <v>2802</v>
      </c>
      <c r="E278" t="s">
        <v>2775</v>
      </c>
      <c r="G278">
        <v>5</v>
      </c>
      <c r="H278">
        <v>11</v>
      </c>
      <c r="I278" t="s">
        <v>2858</v>
      </c>
      <c r="J278" t="s">
        <v>2775</v>
      </c>
      <c r="K278">
        <v>167027.26</v>
      </c>
      <c r="L278">
        <v>632.61</v>
      </c>
      <c r="M278">
        <v>1758</v>
      </c>
      <c r="N278" t="s">
        <v>125</v>
      </c>
      <c r="O278">
        <v>2</v>
      </c>
      <c r="P278" t="s">
        <v>2499</v>
      </c>
      <c r="Q278" t="s">
        <v>2500</v>
      </c>
      <c r="R278" t="s">
        <v>159</v>
      </c>
      <c r="S278">
        <v>0</v>
      </c>
      <c r="T278">
        <v>1</v>
      </c>
      <c r="U278">
        <v>175</v>
      </c>
      <c r="V278" t="s">
        <v>2825</v>
      </c>
      <c r="W278" t="s">
        <v>2859</v>
      </c>
      <c r="X278" t="s">
        <v>79</v>
      </c>
    </row>
    <row r="279" spans="1:24">
      <c r="A279">
        <v>17580</v>
      </c>
      <c r="B279" t="s">
        <v>2860</v>
      </c>
      <c r="C279" t="s">
        <v>2775</v>
      </c>
      <c r="D279" t="s">
        <v>2802</v>
      </c>
      <c r="E279" t="s">
        <v>2775</v>
      </c>
      <c r="G279">
        <v>5</v>
      </c>
      <c r="H279">
        <v>11</v>
      </c>
      <c r="I279" t="s">
        <v>2858</v>
      </c>
      <c r="J279" t="s">
        <v>2775</v>
      </c>
      <c r="K279">
        <v>167027.26</v>
      </c>
      <c r="L279">
        <v>632.61</v>
      </c>
      <c r="M279">
        <v>1758</v>
      </c>
      <c r="N279" t="s">
        <v>125</v>
      </c>
      <c r="O279">
        <v>2</v>
      </c>
      <c r="P279" t="s">
        <v>2499</v>
      </c>
      <c r="Q279" t="s">
        <v>2500</v>
      </c>
      <c r="R279" t="s">
        <v>159</v>
      </c>
      <c r="S279">
        <v>1</v>
      </c>
      <c r="T279">
        <v>1</v>
      </c>
      <c r="U279">
        <v>175</v>
      </c>
      <c r="V279" t="s">
        <v>2825</v>
      </c>
      <c r="W279" t="s">
        <v>2861</v>
      </c>
      <c r="X279" t="s">
        <v>79</v>
      </c>
    </row>
    <row r="280" spans="1:24">
      <c r="A280">
        <v>17581</v>
      </c>
      <c r="B280" t="s">
        <v>2862</v>
      </c>
      <c r="C280" t="s">
        <v>2775</v>
      </c>
      <c r="D280" t="s">
        <v>2802</v>
      </c>
      <c r="E280" t="s">
        <v>2775</v>
      </c>
      <c r="G280">
        <v>5</v>
      </c>
      <c r="H280">
        <v>11</v>
      </c>
      <c r="I280" t="s">
        <v>2858</v>
      </c>
      <c r="J280" t="s">
        <v>2775</v>
      </c>
      <c r="K280">
        <v>167027.26</v>
      </c>
      <c r="L280">
        <v>632.61</v>
      </c>
      <c r="M280">
        <v>1758</v>
      </c>
      <c r="N280" t="s">
        <v>125</v>
      </c>
      <c r="O280">
        <v>2</v>
      </c>
      <c r="P280" t="s">
        <v>2499</v>
      </c>
      <c r="Q280" t="s">
        <v>2500</v>
      </c>
      <c r="R280" t="s">
        <v>159</v>
      </c>
      <c r="S280">
        <v>7</v>
      </c>
      <c r="T280">
        <v>17</v>
      </c>
      <c r="U280">
        <v>175</v>
      </c>
      <c r="V280" t="s">
        <v>2825</v>
      </c>
      <c r="W280" t="s">
        <v>2863</v>
      </c>
      <c r="X280" t="s">
        <v>79</v>
      </c>
    </row>
    <row r="281" spans="1:24">
      <c r="A281">
        <v>17582</v>
      </c>
      <c r="B281" t="s">
        <v>2864</v>
      </c>
      <c r="C281" t="s">
        <v>2775</v>
      </c>
      <c r="D281" t="s">
        <v>2802</v>
      </c>
      <c r="E281" t="s">
        <v>2775</v>
      </c>
      <c r="G281">
        <v>5</v>
      </c>
      <c r="H281">
        <v>11</v>
      </c>
      <c r="I281" t="s">
        <v>2858</v>
      </c>
      <c r="J281" t="s">
        <v>2775</v>
      </c>
      <c r="K281">
        <v>167027.26</v>
      </c>
      <c r="L281">
        <v>632.61</v>
      </c>
      <c r="M281">
        <v>1758</v>
      </c>
      <c r="N281" t="s">
        <v>125</v>
      </c>
      <c r="O281">
        <v>2</v>
      </c>
      <c r="P281" t="s">
        <v>2499</v>
      </c>
      <c r="Q281" t="s">
        <v>2500</v>
      </c>
      <c r="R281" t="s">
        <v>159</v>
      </c>
      <c r="S281">
        <v>2</v>
      </c>
      <c r="T281">
        <v>5</v>
      </c>
      <c r="U281">
        <v>175</v>
      </c>
      <c r="V281" t="s">
        <v>2825</v>
      </c>
      <c r="W281" t="s">
        <v>2865</v>
      </c>
      <c r="X281" t="s">
        <v>79</v>
      </c>
    </row>
    <row r="282" spans="1:24">
      <c r="A282">
        <v>17610</v>
      </c>
      <c r="B282" t="s">
        <v>2866</v>
      </c>
      <c r="C282" t="s">
        <v>2775</v>
      </c>
      <c r="D282" t="s">
        <v>2802</v>
      </c>
      <c r="E282" t="s">
        <v>2775</v>
      </c>
      <c r="G282">
        <v>5</v>
      </c>
      <c r="H282">
        <v>16</v>
      </c>
      <c r="I282" t="s">
        <v>2866</v>
      </c>
      <c r="J282" t="s">
        <v>2775</v>
      </c>
      <c r="K282">
        <v>8755.26</v>
      </c>
      <c r="L282">
        <v>183.23</v>
      </c>
      <c r="M282">
        <v>1761</v>
      </c>
      <c r="N282" t="s">
        <v>125</v>
      </c>
      <c r="O282">
        <v>2</v>
      </c>
      <c r="P282" t="s">
        <v>2499</v>
      </c>
      <c r="Q282" t="s">
        <v>2500</v>
      </c>
      <c r="R282" t="s">
        <v>159</v>
      </c>
      <c r="S282">
        <v>2</v>
      </c>
      <c r="T282">
        <v>6</v>
      </c>
      <c r="U282">
        <v>176</v>
      </c>
      <c r="V282" t="s">
        <v>2867</v>
      </c>
      <c r="W282" t="s">
        <v>2868</v>
      </c>
      <c r="X282" t="s">
        <v>79</v>
      </c>
    </row>
    <row r="283" spans="1:24">
      <c r="A283">
        <v>17620</v>
      </c>
      <c r="B283" t="s">
        <v>2869</v>
      </c>
      <c r="C283" t="s">
        <v>2775</v>
      </c>
      <c r="D283" t="s">
        <v>2802</v>
      </c>
      <c r="E283" t="s">
        <v>2775</v>
      </c>
      <c r="F283" t="s">
        <v>2870</v>
      </c>
      <c r="G283">
        <v>2</v>
      </c>
      <c r="H283">
        <v>8</v>
      </c>
      <c r="I283" t="s">
        <v>2871</v>
      </c>
      <c r="J283" t="s">
        <v>2870</v>
      </c>
      <c r="K283">
        <v>5497.24</v>
      </c>
      <c r="L283">
        <v>943.43</v>
      </c>
      <c r="M283">
        <v>1762</v>
      </c>
      <c r="N283" t="s">
        <v>125</v>
      </c>
      <c r="O283">
        <v>2</v>
      </c>
      <c r="P283" t="s">
        <v>2499</v>
      </c>
      <c r="Q283" t="s">
        <v>2500</v>
      </c>
      <c r="R283" t="s">
        <v>159</v>
      </c>
      <c r="S283">
        <v>2</v>
      </c>
      <c r="T283">
        <v>3</v>
      </c>
      <c r="U283">
        <v>176</v>
      </c>
      <c r="V283" t="s">
        <v>2867</v>
      </c>
      <c r="W283" t="s">
        <v>2872</v>
      </c>
      <c r="X283" t="s">
        <v>79</v>
      </c>
    </row>
    <row r="284" spans="1:24">
      <c r="A284">
        <v>17630</v>
      </c>
      <c r="B284" t="s">
        <v>2873</v>
      </c>
      <c r="C284" t="s">
        <v>2775</v>
      </c>
      <c r="D284" t="s">
        <v>2802</v>
      </c>
      <c r="E284" t="s">
        <v>2775</v>
      </c>
      <c r="G284">
        <v>3</v>
      </c>
      <c r="H284">
        <v>10</v>
      </c>
      <c r="I284" t="s">
        <v>2874</v>
      </c>
      <c r="J284" t="s">
        <v>2775</v>
      </c>
      <c r="K284">
        <v>815635.91</v>
      </c>
      <c r="L284">
        <v>1026.9000000000001</v>
      </c>
      <c r="M284">
        <v>1763</v>
      </c>
      <c r="N284" t="s">
        <v>125</v>
      </c>
      <c r="O284">
        <v>2</v>
      </c>
      <c r="P284" t="s">
        <v>2499</v>
      </c>
      <c r="Q284" t="s">
        <v>2500</v>
      </c>
      <c r="R284" t="s">
        <v>159</v>
      </c>
      <c r="S284">
        <v>0</v>
      </c>
      <c r="T284">
        <v>0</v>
      </c>
      <c r="U284">
        <v>176</v>
      </c>
      <c r="V284" t="s">
        <v>2867</v>
      </c>
      <c r="W284" t="s">
        <v>2875</v>
      </c>
      <c r="X284" t="s">
        <v>79</v>
      </c>
    </row>
    <row r="285" spans="1:24">
      <c r="A285">
        <v>17631</v>
      </c>
      <c r="B285" t="s">
        <v>2876</v>
      </c>
      <c r="C285" t="s">
        <v>2775</v>
      </c>
      <c r="D285" t="s">
        <v>2802</v>
      </c>
      <c r="E285" t="s">
        <v>2775</v>
      </c>
      <c r="G285">
        <v>3</v>
      </c>
      <c r="H285">
        <v>10</v>
      </c>
      <c r="I285" t="s">
        <v>2874</v>
      </c>
      <c r="J285" t="s">
        <v>2775</v>
      </c>
      <c r="K285">
        <v>815635.91</v>
      </c>
      <c r="L285">
        <v>1026.9000000000001</v>
      </c>
      <c r="M285">
        <v>1763</v>
      </c>
      <c r="N285" t="s">
        <v>125</v>
      </c>
      <c r="O285">
        <v>2</v>
      </c>
      <c r="P285" t="s">
        <v>2499</v>
      </c>
      <c r="Q285" t="s">
        <v>2500</v>
      </c>
      <c r="R285" t="s">
        <v>159</v>
      </c>
      <c r="S285">
        <v>0</v>
      </c>
      <c r="T285">
        <v>4</v>
      </c>
      <c r="U285">
        <v>176</v>
      </c>
      <c r="V285" t="s">
        <v>2867</v>
      </c>
      <c r="W285" t="s">
        <v>2877</v>
      </c>
      <c r="X285" t="s">
        <v>79</v>
      </c>
    </row>
    <row r="286" spans="1:24">
      <c r="A286">
        <v>17640</v>
      </c>
      <c r="B286" t="s">
        <v>2878</v>
      </c>
      <c r="C286" t="s">
        <v>2775</v>
      </c>
      <c r="D286" t="s">
        <v>2802</v>
      </c>
      <c r="E286" t="s">
        <v>2775</v>
      </c>
      <c r="F286" t="s">
        <v>2870</v>
      </c>
      <c r="G286">
        <v>2</v>
      </c>
      <c r="H286">
        <v>5</v>
      </c>
      <c r="I286" t="s">
        <v>2879</v>
      </c>
      <c r="J286" t="s">
        <v>2870</v>
      </c>
      <c r="K286">
        <v>4114990.29</v>
      </c>
      <c r="L286">
        <v>13306.71</v>
      </c>
      <c r="M286">
        <v>1764</v>
      </c>
      <c r="N286" t="s">
        <v>125</v>
      </c>
      <c r="O286">
        <v>2</v>
      </c>
      <c r="P286" t="s">
        <v>2499</v>
      </c>
      <c r="Q286" t="s">
        <v>2500</v>
      </c>
      <c r="R286" t="s">
        <v>159</v>
      </c>
      <c r="S286">
        <v>1</v>
      </c>
      <c r="T286">
        <v>5</v>
      </c>
      <c r="U286">
        <v>176</v>
      </c>
      <c r="V286" t="s">
        <v>2867</v>
      </c>
      <c r="W286" t="s">
        <v>2880</v>
      </c>
      <c r="X286" t="s">
        <v>79</v>
      </c>
    </row>
    <row r="287" spans="1:24">
      <c r="A287">
        <v>17641</v>
      </c>
      <c r="B287" t="s">
        <v>2881</v>
      </c>
      <c r="C287" t="s">
        <v>2775</v>
      </c>
      <c r="D287" t="s">
        <v>2802</v>
      </c>
      <c r="E287" t="s">
        <v>2775</v>
      </c>
      <c r="F287" t="s">
        <v>2870</v>
      </c>
      <c r="G287">
        <v>2</v>
      </c>
      <c r="H287">
        <v>5</v>
      </c>
      <c r="I287" t="s">
        <v>2879</v>
      </c>
      <c r="J287" t="s">
        <v>2870</v>
      </c>
      <c r="K287">
        <v>4114990.29</v>
      </c>
      <c r="L287">
        <v>13306.71</v>
      </c>
      <c r="M287">
        <v>1764</v>
      </c>
      <c r="N287" t="s">
        <v>125</v>
      </c>
      <c r="O287">
        <v>2</v>
      </c>
      <c r="P287" t="s">
        <v>2499</v>
      </c>
      <c r="Q287" t="s">
        <v>2500</v>
      </c>
      <c r="R287" t="s">
        <v>159</v>
      </c>
      <c r="S287">
        <v>0</v>
      </c>
      <c r="T287">
        <v>0</v>
      </c>
      <c r="U287">
        <v>176</v>
      </c>
      <c r="V287" t="s">
        <v>2867</v>
      </c>
      <c r="W287" t="s">
        <v>2882</v>
      </c>
      <c r="X287" t="s">
        <v>79</v>
      </c>
    </row>
    <row r="288" spans="1:24">
      <c r="A288">
        <v>17650</v>
      </c>
      <c r="B288" t="s">
        <v>2883</v>
      </c>
      <c r="C288" t="s">
        <v>2162</v>
      </c>
      <c r="D288" t="s">
        <v>2802</v>
      </c>
      <c r="E288" t="s">
        <v>2775</v>
      </c>
      <c r="F288" t="s">
        <v>2162</v>
      </c>
      <c r="G288">
        <v>1</v>
      </c>
      <c r="H288">
        <v>1</v>
      </c>
      <c r="I288" t="s">
        <v>2884</v>
      </c>
      <c r="J288" t="s">
        <v>2162</v>
      </c>
      <c r="K288">
        <v>1432161.14</v>
      </c>
      <c r="L288">
        <v>2974.92</v>
      </c>
      <c r="M288">
        <v>1765</v>
      </c>
      <c r="N288" t="s">
        <v>125</v>
      </c>
      <c r="O288">
        <v>2</v>
      </c>
      <c r="P288" t="s">
        <v>2499</v>
      </c>
      <c r="Q288" t="s">
        <v>2500</v>
      </c>
      <c r="R288" t="s">
        <v>159</v>
      </c>
      <c r="S288">
        <v>0</v>
      </c>
      <c r="T288">
        <v>2</v>
      </c>
      <c r="U288">
        <v>176</v>
      </c>
      <c r="V288" t="s">
        <v>2867</v>
      </c>
      <c r="W288" t="s">
        <v>2885</v>
      </c>
      <c r="X288" t="s">
        <v>79</v>
      </c>
    </row>
    <row r="289" spans="1:24">
      <c r="A289">
        <v>17660</v>
      </c>
      <c r="B289" t="s">
        <v>2886</v>
      </c>
      <c r="C289" t="s">
        <v>2162</v>
      </c>
      <c r="D289" t="s">
        <v>2802</v>
      </c>
      <c r="E289" t="s">
        <v>2775</v>
      </c>
      <c r="F289" t="s">
        <v>2162</v>
      </c>
      <c r="G289">
        <v>1</v>
      </c>
      <c r="H289">
        <v>1</v>
      </c>
      <c r="I289" t="s">
        <v>2887</v>
      </c>
      <c r="J289" t="s">
        <v>2162</v>
      </c>
      <c r="K289">
        <v>11701525.66</v>
      </c>
      <c r="L289">
        <v>30270.05</v>
      </c>
      <c r="M289">
        <v>1766</v>
      </c>
      <c r="N289" t="s">
        <v>125</v>
      </c>
      <c r="O289">
        <v>2</v>
      </c>
      <c r="P289" t="s">
        <v>2499</v>
      </c>
      <c r="Q289" t="s">
        <v>2500</v>
      </c>
      <c r="R289" t="s">
        <v>159</v>
      </c>
      <c r="S289">
        <v>0</v>
      </c>
      <c r="T289">
        <v>1</v>
      </c>
      <c r="U289">
        <v>176</v>
      </c>
      <c r="V289" t="s">
        <v>2867</v>
      </c>
      <c r="W289" t="s">
        <v>2888</v>
      </c>
      <c r="X289" t="s">
        <v>79</v>
      </c>
    </row>
    <row r="290" spans="1:24">
      <c r="A290">
        <v>17670</v>
      </c>
      <c r="B290" t="s">
        <v>2889</v>
      </c>
      <c r="C290" t="s">
        <v>2162</v>
      </c>
      <c r="D290" t="s">
        <v>2802</v>
      </c>
      <c r="E290" t="s">
        <v>2775</v>
      </c>
      <c r="F290" t="s">
        <v>2162</v>
      </c>
      <c r="G290">
        <v>1</v>
      </c>
      <c r="H290">
        <v>1</v>
      </c>
      <c r="I290" t="s">
        <v>2890</v>
      </c>
      <c r="J290" t="s">
        <v>2162</v>
      </c>
      <c r="K290">
        <v>0</v>
      </c>
      <c r="L290">
        <v>0</v>
      </c>
      <c r="M290">
        <v>1767</v>
      </c>
      <c r="N290" t="s">
        <v>79</v>
      </c>
      <c r="O290">
        <v>2</v>
      </c>
      <c r="P290" t="s">
        <v>2499</v>
      </c>
      <c r="Q290" t="s">
        <v>2500</v>
      </c>
      <c r="R290" t="s">
        <v>159</v>
      </c>
      <c r="S290">
        <v>15</v>
      </c>
      <c r="T290">
        <v>19</v>
      </c>
      <c r="U290">
        <v>176</v>
      </c>
      <c r="V290" t="s">
        <v>2867</v>
      </c>
      <c r="W290" t="s">
        <v>2891</v>
      </c>
      <c r="X290" t="s">
        <v>79</v>
      </c>
    </row>
    <row r="291" spans="1:24">
      <c r="A291">
        <v>17671</v>
      </c>
      <c r="B291" t="s">
        <v>2892</v>
      </c>
      <c r="C291" t="s">
        <v>2162</v>
      </c>
      <c r="D291" t="s">
        <v>2802</v>
      </c>
      <c r="E291" t="s">
        <v>2775</v>
      </c>
      <c r="F291" t="s">
        <v>2162</v>
      </c>
      <c r="G291">
        <v>1</v>
      </c>
      <c r="H291">
        <v>1</v>
      </c>
      <c r="I291" t="s">
        <v>2890</v>
      </c>
      <c r="J291" t="s">
        <v>2162</v>
      </c>
      <c r="K291">
        <v>0</v>
      </c>
      <c r="L291">
        <v>0</v>
      </c>
      <c r="M291">
        <v>1767</v>
      </c>
      <c r="N291" t="s">
        <v>79</v>
      </c>
      <c r="O291">
        <v>2</v>
      </c>
      <c r="P291" t="s">
        <v>2499</v>
      </c>
      <c r="Q291" t="s">
        <v>2500</v>
      </c>
      <c r="R291" t="s">
        <v>159</v>
      </c>
      <c r="S291">
        <v>38</v>
      </c>
      <c r="T291">
        <v>46</v>
      </c>
      <c r="U291">
        <v>176</v>
      </c>
      <c r="V291" t="s">
        <v>2867</v>
      </c>
      <c r="W291" t="s">
        <v>2893</v>
      </c>
      <c r="X291" t="s">
        <v>79</v>
      </c>
    </row>
    <row r="292" spans="1:24">
      <c r="A292">
        <v>17680</v>
      </c>
      <c r="B292" t="s">
        <v>2894</v>
      </c>
      <c r="C292" t="s">
        <v>2162</v>
      </c>
      <c r="D292" t="s">
        <v>2802</v>
      </c>
      <c r="E292" t="s">
        <v>2775</v>
      </c>
      <c r="F292" t="s">
        <v>2162</v>
      </c>
      <c r="G292">
        <v>1</v>
      </c>
      <c r="H292">
        <v>1</v>
      </c>
      <c r="I292" t="s">
        <v>2895</v>
      </c>
      <c r="J292" t="s">
        <v>2162</v>
      </c>
      <c r="K292">
        <v>34869.870000000003</v>
      </c>
      <c r="L292">
        <v>349.29</v>
      </c>
      <c r="M292">
        <v>1768</v>
      </c>
      <c r="N292" t="s">
        <v>125</v>
      </c>
      <c r="O292">
        <v>2</v>
      </c>
      <c r="P292" t="s">
        <v>2499</v>
      </c>
      <c r="Q292" t="s">
        <v>2500</v>
      </c>
      <c r="R292" t="s">
        <v>159</v>
      </c>
      <c r="S292">
        <v>2</v>
      </c>
      <c r="T292">
        <v>2</v>
      </c>
      <c r="U292">
        <v>176</v>
      </c>
      <c r="V292" t="s">
        <v>2867</v>
      </c>
      <c r="W292" t="s">
        <v>2896</v>
      </c>
      <c r="X292" t="s">
        <v>79</v>
      </c>
    </row>
    <row r="293" spans="1:24">
      <c r="A293">
        <v>17681</v>
      </c>
      <c r="B293" t="s">
        <v>2897</v>
      </c>
      <c r="C293" t="s">
        <v>2162</v>
      </c>
      <c r="D293" t="s">
        <v>2802</v>
      </c>
      <c r="E293" t="s">
        <v>2775</v>
      </c>
      <c r="F293" t="s">
        <v>2162</v>
      </c>
      <c r="G293">
        <v>1</v>
      </c>
      <c r="H293">
        <v>1</v>
      </c>
      <c r="I293" t="s">
        <v>2895</v>
      </c>
      <c r="J293" t="s">
        <v>2162</v>
      </c>
      <c r="K293">
        <v>34869.870000000003</v>
      </c>
      <c r="L293">
        <v>349.29</v>
      </c>
      <c r="M293">
        <v>1768</v>
      </c>
      <c r="N293" t="s">
        <v>125</v>
      </c>
      <c r="O293">
        <v>2</v>
      </c>
      <c r="P293" t="s">
        <v>2499</v>
      </c>
      <c r="Q293" t="s">
        <v>2500</v>
      </c>
      <c r="R293" t="s">
        <v>159</v>
      </c>
      <c r="S293">
        <v>11</v>
      </c>
      <c r="T293">
        <v>11</v>
      </c>
      <c r="U293">
        <v>176</v>
      </c>
      <c r="V293" t="s">
        <v>2867</v>
      </c>
      <c r="W293" t="s">
        <v>2898</v>
      </c>
      <c r="X293" t="s">
        <v>79</v>
      </c>
    </row>
    <row r="294" spans="1:24">
      <c r="A294">
        <v>17690</v>
      </c>
      <c r="B294" t="s">
        <v>2899</v>
      </c>
      <c r="C294" t="s">
        <v>2162</v>
      </c>
      <c r="D294" t="s">
        <v>2802</v>
      </c>
      <c r="E294" t="s">
        <v>2775</v>
      </c>
      <c r="F294" t="s">
        <v>2162</v>
      </c>
      <c r="G294">
        <v>1</v>
      </c>
      <c r="H294">
        <v>1</v>
      </c>
      <c r="I294" t="s">
        <v>2900</v>
      </c>
      <c r="J294" t="s">
        <v>2162</v>
      </c>
      <c r="K294">
        <v>296720.98</v>
      </c>
      <c r="L294">
        <v>2060.7399999999998</v>
      </c>
      <c r="M294">
        <v>1769</v>
      </c>
      <c r="N294" t="s">
        <v>125</v>
      </c>
      <c r="O294">
        <v>2</v>
      </c>
      <c r="P294" t="s">
        <v>2499</v>
      </c>
      <c r="Q294" t="s">
        <v>2500</v>
      </c>
      <c r="R294" t="s">
        <v>159</v>
      </c>
      <c r="S294">
        <v>0</v>
      </c>
      <c r="T294">
        <v>1</v>
      </c>
      <c r="U294">
        <v>176</v>
      </c>
      <c r="V294" t="s">
        <v>2867</v>
      </c>
      <c r="W294" t="s">
        <v>2901</v>
      </c>
      <c r="X294" t="s">
        <v>79</v>
      </c>
    </row>
    <row r="295" spans="1:24">
      <c r="A295">
        <v>17691</v>
      </c>
      <c r="B295" t="s">
        <v>2902</v>
      </c>
      <c r="C295" t="s">
        <v>2162</v>
      </c>
      <c r="D295" t="s">
        <v>2802</v>
      </c>
      <c r="E295" t="s">
        <v>2775</v>
      </c>
      <c r="F295" t="s">
        <v>2162</v>
      </c>
      <c r="G295">
        <v>1</v>
      </c>
      <c r="H295">
        <v>1</v>
      </c>
      <c r="I295" t="s">
        <v>2900</v>
      </c>
      <c r="J295" t="s">
        <v>2162</v>
      </c>
      <c r="K295">
        <v>296720.98</v>
      </c>
      <c r="L295">
        <v>2060.7399999999998</v>
      </c>
      <c r="M295">
        <v>1769</v>
      </c>
      <c r="N295" t="s">
        <v>125</v>
      </c>
      <c r="O295">
        <v>2</v>
      </c>
      <c r="P295" t="s">
        <v>2499</v>
      </c>
      <c r="Q295" t="s">
        <v>2500</v>
      </c>
      <c r="R295" t="s">
        <v>159</v>
      </c>
      <c r="S295">
        <v>0</v>
      </c>
      <c r="T295">
        <v>0</v>
      </c>
      <c r="U295">
        <v>176</v>
      </c>
      <c r="V295" t="s">
        <v>2867</v>
      </c>
      <c r="W295" t="s">
        <v>2903</v>
      </c>
      <c r="X295" t="s">
        <v>79</v>
      </c>
    </row>
    <row r="296" spans="1:24">
      <c r="A296">
        <v>17710</v>
      </c>
      <c r="B296" t="s">
        <v>2904</v>
      </c>
      <c r="C296" t="s">
        <v>2775</v>
      </c>
      <c r="D296" t="s">
        <v>2802</v>
      </c>
      <c r="E296" t="s">
        <v>2775</v>
      </c>
      <c r="F296" t="s">
        <v>2870</v>
      </c>
      <c r="G296">
        <v>2</v>
      </c>
      <c r="H296">
        <v>6</v>
      </c>
      <c r="I296" t="s">
        <v>2905</v>
      </c>
      <c r="J296" t="s">
        <v>2870</v>
      </c>
      <c r="K296">
        <v>7272607.0800000001</v>
      </c>
      <c r="L296">
        <v>42635.43</v>
      </c>
      <c r="M296">
        <v>1771</v>
      </c>
      <c r="N296" t="s">
        <v>125</v>
      </c>
      <c r="O296">
        <v>2</v>
      </c>
      <c r="P296" t="s">
        <v>2499</v>
      </c>
      <c r="Q296" t="s">
        <v>2500</v>
      </c>
      <c r="R296" t="s">
        <v>159</v>
      </c>
      <c r="S296">
        <v>4</v>
      </c>
      <c r="T296">
        <v>9</v>
      </c>
      <c r="U296">
        <v>177</v>
      </c>
      <c r="V296" t="s">
        <v>2906</v>
      </c>
      <c r="W296" t="s">
        <v>2907</v>
      </c>
      <c r="X296" t="s">
        <v>79</v>
      </c>
    </row>
    <row r="297" spans="1:24">
      <c r="A297">
        <v>17711</v>
      </c>
      <c r="B297" t="s">
        <v>2908</v>
      </c>
      <c r="C297" t="s">
        <v>2775</v>
      </c>
      <c r="D297" t="s">
        <v>2802</v>
      </c>
      <c r="E297" t="s">
        <v>2775</v>
      </c>
      <c r="F297" t="s">
        <v>2870</v>
      </c>
      <c r="G297">
        <v>2</v>
      </c>
      <c r="H297">
        <v>6</v>
      </c>
      <c r="I297" t="s">
        <v>2905</v>
      </c>
      <c r="J297" t="s">
        <v>2870</v>
      </c>
      <c r="K297">
        <v>7272607.0800000001</v>
      </c>
      <c r="L297">
        <v>42635.43</v>
      </c>
      <c r="M297">
        <v>1771</v>
      </c>
      <c r="N297" t="s">
        <v>125</v>
      </c>
      <c r="O297">
        <v>2</v>
      </c>
      <c r="P297" t="s">
        <v>2499</v>
      </c>
      <c r="Q297" t="s">
        <v>2500</v>
      </c>
      <c r="R297" t="s">
        <v>159</v>
      </c>
      <c r="S297">
        <v>6</v>
      </c>
      <c r="T297">
        <v>10</v>
      </c>
      <c r="U297">
        <v>177</v>
      </c>
      <c r="V297" t="s">
        <v>2906</v>
      </c>
      <c r="W297" t="s">
        <v>2909</v>
      </c>
      <c r="X297" t="s">
        <v>79</v>
      </c>
    </row>
    <row r="298" spans="1:24">
      <c r="A298">
        <v>17720</v>
      </c>
      <c r="B298" t="s">
        <v>2910</v>
      </c>
      <c r="C298" t="s">
        <v>2162</v>
      </c>
      <c r="D298" t="s">
        <v>2802</v>
      </c>
      <c r="E298" t="s">
        <v>2775</v>
      </c>
      <c r="F298" t="s">
        <v>2162</v>
      </c>
      <c r="G298">
        <v>1</v>
      </c>
      <c r="H298">
        <v>1</v>
      </c>
      <c r="I298" t="s">
        <v>2911</v>
      </c>
      <c r="J298" t="s">
        <v>2162</v>
      </c>
      <c r="K298">
        <v>42376622.100000001</v>
      </c>
      <c r="L298">
        <v>78903.5</v>
      </c>
      <c r="M298">
        <v>1772</v>
      </c>
      <c r="N298" t="s">
        <v>125</v>
      </c>
      <c r="O298">
        <v>2</v>
      </c>
      <c r="P298" t="s">
        <v>2499</v>
      </c>
      <c r="Q298" t="s">
        <v>2500</v>
      </c>
      <c r="R298" t="s">
        <v>159</v>
      </c>
      <c r="S298">
        <v>2</v>
      </c>
      <c r="T298">
        <v>8</v>
      </c>
      <c r="U298">
        <v>177</v>
      </c>
      <c r="V298" t="s">
        <v>2906</v>
      </c>
      <c r="W298" t="s">
        <v>2912</v>
      </c>
      <c r="X298" t="s">
        <v>79</v>
      </c>
    </row>
    <row r="299" spans="1:24">
      <c r="A299">
        <v>17721</v>
      </c>
      <c r="B299" t="s">
        <v>2913</v>
      </c>
      <c r="C299" t="s">
        <v>2162</v>
      </c>
      <c r="D299" t="s">
        <v>2802</v>
      </c>
      <c r="E299" t="s">
        <v>2775</v>
      </c>
      <c r="F299" t="s">
        <v>2162</v>
      </c>
      <c r="G299">
        <v>1</v>
      </c>
      <c r="H299">
        <v>1</v>
      </c>
      <c r="I299" t="s">
        <v>2911</v>
      </c>
      <c r="J299" t="s">
        <v>2162</v>
      </c>
      <c r="K299">
        <v>42376622.100000001</v>
      </c>
      <c r="L299">
        <v>78903.5</v>
      </c>
      <c r="M299">
        <v>1772</v>
      </c>
      <c r="N299" t="s">
        <v>125</v>
      </c>
      <c r="O299">
        <v>2</v>
      </c>
      <c r="P299" t="s">
        <v>2499</v>
      </c>
      <c r="Q299" t="s">
        <v>2500</v>
      </c>
      <c r="R299" t="s">
        <v>159</v>
      </c>
      <c r="S299">
        <v>0</v>
      </c>
      <c r="T299">
        <v>1</v>
      </c>
      <c r="U299">
        <v>177</v>
      </c>
      <c r="V299" t="s">
        <v>2906</v>
      </c>
      <c r="W299" t="s">
        <v>2914</v>
      </c>
      <c r="X299" t="s">
        <v>79</v>
      </c>
    </row>
    <row r="300" spans="1:24">
      <c r="A300">
        <v>17722</v>
      </c>
      <c r="B300" t="s">
        <v>2915</v>
      </c>
      <c r="C300" t="s">
        <v>2162</v>
      </c>
      <c r="D300" t="s">
        <v>2802</v>
      </c>
      <c r="E300" t="s">
        <v>2775</v>
      </c>
      <c r="F300" t="s">
        <v>2162</v>
      </c>
      <c r="G300">
        <v>1</v>
      </c>
      <c r="H300">
        <v>1</v>
      </c>
      <c r="I300" t="s">
        <v>2911</v>
      </c>
      <c r="J300" t="s">
        <v>2162</v>
      </c>
      <c r="K300">
        <v>42376622.100000001</v>
      </c>
      <c r="L300">
        <v>78903.5</v>
      </c>
      <c r="M300">
        <v>1772</v>
      </c>
      <c r="N300" t="s">
        <v>125</v>
      </c>
      <c r="O300">
        <v>2</v>
      </c>
      <c r="P300" t="s">
        <v>2499</v>
      </c>
      <c r="Q300" t="s">
        <v>2500</v>
      </c>
      <c r="R300" t="s">
        <v>159</v>
      </c>
      <c r="S300">
        <v>0</v>
      </c>
      <c r="T300">
        <v>3</v>
      </c>
      <c r="U300">
        <v>177</v>
      </c>
      <c r="V300" t="s">
        <v>2906</v>
      </c>
      <c r="W300" t="s">
        <v>2916</v>
      </c>
      <c r="X300" t="s">
        <v>79</v>
      </c>
    </row>
    <row r="301" spans="1:24">
      <c r="A301">
        <v>17730</v>
      </c>
      <c r="B301" t="s">
        <v>2917</v>
      </c>
      <c r="C301" t="s">
        <v>2775</v>
      </c>
      <c r="D301" t="s">
        <v>2802</v>
      </c>
      <c r="E301" t="s">
        <v>2775</v>
      </c>
      <c r="F301" t="s">
        <v>2870</v>
      </c>
      <c r="G301">
        <v>8</v>
      </c>
      <c r="H301">
        <v>20</v>
      </c>
      <c r="I301" t="s">
        <v>2917</v>
      </c>
      <c r="J301" t="s">
        <v>2870</v>
      </c>
      <c r="K301">
        <v>132133.44</v>
      </c>
      <c r="L301">
        <v>1420.68</v>
      </c>
      <c r="M301">
        <v>1773</v>
      </c>
      <c r="N301" t="s">
        <v>125</v>
      </c>
      <c r="O301">
        <v>2</v>
      </c>
      <c r="P301" t="s">
        <v>2499</v>
      </c>
      <c r="Q301" t="s">
        <v>2500</v>
      </c>
      <c r="R301" t="s">
        <v>159</v>
      </c>
      <c r="S301">
        <v>21</v>
      </c>
      <c r="T301">
        <v>27</v>
      </c>
      <c r="U301">
        <v>177</v>
      </c>
      <c r="V301" t="s">
        <v>2906</v>
      </c>
      <c r="W301" t="s">
        <v>2918</v>
      </c>
      <c r="X301" t="s">
        <v>79</v>
      </c>
    </row>
    <row r="302" spans="1:24">
      <c r="A302">
        <v>17740</v>
      </c>
      <c r="B302" t="s">
        <v>2919</v>
      </c>
      <c r="C302" t="s">
        <v>2162</v>
      </c>
      <c r="D302" t="s">
        <v>2802</v>
      </c>
      <c r="E302" t="s">
        <v>2775</v>
      </c>
      <c r="F302" t="s">
        <v>2162</v>
      </c>
      <c r="G302">
        <v>1</v>
      </c>
      <c r="H302">
        <v>1</v>
      </c>
      <c r="I302" t="s">
        <v>2919</v>
      </c>
      <c r="J302" t="s">
        <v>2162</v>
      </c>
      <c r="K302">
        <v>375256.85</v>
      </c>
      <c r="L302">
        <v>2900.47</v>
      </c>
      <c r="M302">
        <v>1774</v>
      </c>
      <c r="N302" t="s">
        <v>125</v>
      </c>
      <c r="O302">
        <v>2</v>
      </c>
      <c r="P302" t="s">
        <v>2499</v>
      </c>
      <c r="Q302" t="s">
        <v>2500</v>
      </c>
      <c r="R302" t="s">
        <v>159</v>
      </c>
      <c r="S302">
        <v>0</v>
      </c>
      <c r="T302">
        <v>4</v>
      </c>
      <c r="U302">
        <v>177</v>
      </c>
      <c r="V302" t="s">
        <v>2906</v>
      </c>
      <c r="W302" t="s">
        <v>2920</v>
      </c>
      <c r="X302" t="s">
        <v>79</v>
      </c>
    </row>
    <row r="303" spans="1:24">
      <c r="A303">
        <v>17750</v>
      </c>
      <c r="B303" t="s">
        <v>2921</v>
      </c>
      <c r="C303" t="s">
        <v>2162</v>
      </c>
      <c r="D303" t="s">
        <v>2802</v>
      </c>
      <c r="E303" t="s">
        <v>2775</v>
      </c>
      <c r="F303" t="s">
        <v>2162</v>
      </c>
      <c r="G303">
        <v>1</v>
      </c>
      <c r="H303">
        <v>1</v>
      </c>
      <c r="I303" t="s">
        <v>2922</v>
      </c>
      <c r="J303" t="s">
        <v>2162</v>
      </c>
      <c r="K303">
        <v>4634511.67</v>
      </c>
      <c r="L303">
        <v>14171.82</v>
      </c>
      <c r="M303">
        <v>1775</v>
      </c>
      <c r="N303" t="s">
        <v>125</v>
      </c>
      <c r="O303">
        <v>2</v>
      </c>
      <c r="P303" t="s">
        <v>2499</v>
      </c>
      <c r="Q303" t="s">
        <v>2500</v>
      </c>
      <c r="R303" t="s">
        <v>159</v>
      </c>
      <c r="S303">
        <v>1</v>
      </c>
      <c r="T303">
        <v>10</v>
      </c>
      <c r="U303">
        <v>177</v>
      </c>
      <c r="V303" t="s">
        <v>2906</v>
      </c>
      <c r="W303" t="s">
        <v>2923</v>
      </c>
      <c r="X303" t="s">
        <v>79</v>
      </c>
    </row>
    <row r="304" spans="1:24">
      <c r="A304">
        <v>17751</v>
      </c>
      <c r="B304" t="s">
        <v>2924</v>
      </c>
      <c r="C304" t="s">
        <v>2162</v>
      </c>
      <c r="D304" t="s">
        <v>2802</v>
      </c>
      <c r="E304" t="s">
        <v>2775</v>
      </c>
      <c r="F304" t="s">
        <v>2162</v>
      </c>
      <c r="G304">
        <v>1</v>
      </c>
      <c r="H304">
        <v>1</v>
      </c>
      <c r="I304" t="s">
        <v>2922</v>
      </c>
      <c r="J304" t="s">
        <v>2162</v>
      </c>
      <c r="K304">
        <v>4634511.67</v>
      </c>
      <c r="L304">
        <v>14171.82</v>
      </c>
      <c r="M304">
        <v>1775</v>
      </c>
      <c r="N304" t="s">
        <v>125</v>
      </c>
      <c r="O304">
        <v>2</v>
      </c>
      <c r="P304" t="s">
        <v>2499</v>
      </c>
      <c r="Q304" t="s">
        <v>2500</v>
      </c>
      <c r="R304" t="s">
        <v>159</v>
      </c>
      <c r="S304">
        <v>2</v>
      </c>
      <c r="T304">
        <v>3</v>
      </c>
      <c r="U304">
        <v>177</v>
      </c>
      <c r="V304" t="s">
        <v>2906</v>
      </c>
      <c r="W304" t="s">
        <v>2925</v>
      </c>
      <c r="X304" t="s">
        <v>79</v>
      </c>
    </row>
    <row r="305" spans="1:24">
      <c r="A305">
        <v>17752</v>
      </c>
      <c r="B305" t="s">
        <v>2926</v>
      </c>
      <c r="C305" t="s">
        <v>2162</v>
      </c>
      <c r="D305" t="s">
        <v>2802</v>
      </c>
      <c r="E305" t="s">
        <v>2775</v>
      </c>
      <c r="F305" t="s">
        <v>2162</v>
      </c>
      <c r="G305">
        <v>1</v>
      </c>
      <c r="H305">
        <v>1</v>
      </c>
      <c r="I305" t="s">
        <v>2922</v>
      </c>
      <c r="J305" t="s">
        <v>2162</v>
      </c>
      <c r="K305">
        <v>4634511.67</v>
      </c>
      <c r="L305">
        <v>14171.82</v>
      </c>
      <c r="M305">
        <v>1775</v>
      </c>
      <c r="N305" t="s">
        <v>125</v>
      </c>
      <c r="O305">
        <v>2</v>
      </c>
      <c r="P305" t="s">
        <v>2499</v>
      </c>
      <c r="Q305" t="s">
        <v>2500</v>
      </c>
      <c r="R305" t="s">
        <v>159</v>
      </c>
      <c r="S305">
        <v>1</v>
      </c>
      <c r="T305">
        <v>3</v>
      </c>
      <c r="U305">
        <v>177</v>
      </c>
      <c r="V305" t="s">
        <v>2906</v>
      </c>
      <c r="W305" t="s">
        <v>2927</v>
      </c>
      <c r="X305" t="s">
        <v>79</v>
      </c>
    </row>
    <row r="306" spans="1:24">
      <c r="A306">
        <v>17753</v>
      </c>
      <c r="B306" t="s">
        <v>2928</v>
      </c>
      <c r="C306" t="s">
        <v>2162</v>
      </c>
      <c r="D306" t="s">
        <v>2802</v>
      </c>
      <c r="E306" t="s">
        <v>2775</v>
      </c>
      <c r="F306" t="s">
        <v>2162</v>
      </c>
      <c r="G306">
        <v>1</v>
      </c>
      <c r="H306">
        <v>1</v>
      </c>
      <c r="I306" t="s">
        <v>2922</v>
      </c>
      <c r="J306" t="s">
        <v>2162</v>
      </c>
      <c r="K306">
        <v>4634511.67</v>
      </c>
      <c r="L306">
        <v>14171.82</v>
      </c>
      <c r="M306">
        <v>1775</v>
      </c>
      <c r="N306" t="s">
        <v>125</v>
      </c>
      <c r="O306">
        <v>2</v>
      </c>
      <c r="P306" t="s">
        <v>2499</v>
      </c>
      <c r="Q306" t="s">
        <v>2500</v>
      </c>
      <c r="R306" t="s">
        <v>159</v>
      </c>
      <c r="S306">
        <v>0</v>
      </c>
      <c r="T306">
        <v>3</v>
      </c>
      <c r="U306">
        <v>177</v>
      </c>
      <c r="V306" t="s">
        <v>2906</v>
      </c>
      <c r="W306" t="s">
        <v>2929</v>
      </c>
      <c r="X306" t="s">
        <v>79</v>
      </c>
    </row>
    <row r="307" spans="1:24">
      <c r="A307">
        <v>17760</v>
      </c>
      <c r="B307" t="s">
        <v>2930</v>
      </c>
      <c r="C307" t="s">
        <v>2162</v>
      </c>
      <c r="D307" t="s">
        <v>2802</v>
      </c>
      <c r="E307" t="s">
        <v>2775</v>
      </c>
      <c r="F307" t="s">
        <v>2162</v>
      </c>
      <c r="G307">
        <v>1</v>
      </c>
      <c r="H307">
        <v>1</v>
      </c>
      <c r="I307" t="s">
        <v>2931</v>
      </c>
      <c r="J307" t="s">
        <v>2162</v>
      </c>
      <c r="K307">
        <v>1788084.99</v>
      </c>
      <c r="L307">
        <v>9714.41</v>
      </c>
      <c r="M307">
        <v>1776</v>
      </c>
      <c r="N307" t="s">
        <v>125</v>
      </c>
      <c r="O307">
        <v>2</v>
      </c>
      <c r="P307" t="s">
        <v>2499</v>
      </c>
      <c r="Q307" t="s">
        <v>2500</v>
      </c>
      <c r="R307" t="s">
        <v>159</v>
      </c>
      <c r="S307">
        <v>13</v>
      </c>
      <c r="T307">
        <v>18</v>
      </c>
      <c r="U307">
        <v>177</v>
      </c>
      <c r="V307" t="s">
        <v>2906</v>
      </c>
      <c r="W307" t="s">
        <v>2932</v>
      </c>
      <c r="X307" t="s">
        <v>79</v>
      </c>
    </row>
    <row r="308" spans="1:24">
      <c r="A308">
        <v>17810</v>
      </c>
      <c r="B308" t="s">
        <v>2933</v>
      </c>
      <c r="C308" t="s">
        <v>2775</v>
      </c>
      <c r="D308" t="s">
        <v>2802</v>
      </c>
      <c r="E308" t="s">
        <v>2775</v>
      </c>
      <c r="G308">
        <v>4</v>
      </c>
      <c r="H308">
        <v>12</v>
      </c>
      <c r="I308" t="s">
        <v>2933</v>
      </c>
      <c r="J308" t="s">
        <v>2775</v>
      </c>
      <c r="K308">
        <v>60514.400000000001</v>
      </c>
      <c r="L308">
        <v>240.42</v>
      </c>
      <c r="M308">
        <v>1781</v>
      </c>
      <c r="N308" t="s">
        <v>125</v>
      </c>
      <c r="O308">
        <v>2</v>
      </c>
      <c r="P308" t="s">
        <v>2499</v>
      </c>
      <c r="Q308" t="s">
        <v>2500</v>
      </c>
      <c r="R308" t="s">
        <v>159</v>
      </c>
      <c r="S308">
        <v>8</v>
      </c>
      <c r="T308">
        <v>13</v>
      </c>
      <c r="U308">
        <v>178</v>
      </c>
      <c r="V308" t="s">
        <v>2934</v>
      </c>
      <c r="W308" t="s">
        <v>2935</v>
      </c>
      <c r="X308" t="s">
        <v>79</v>
      </c>
    </row>
    <row r="309" spans="1:24">
      <c r="A309">
        <v>17820</v>
      </c>
      <c r="B309" t="s">
        <v>2936</v>
      </c>
      <c r="C309" t="s">
        <v>2775</v>
      </c>
      <c r="D309" t="s">
        <v>2802</v>
      </c>
      <c r="E309" t="s">
        <v>2775</v>
      </c>
      <c r="G309">
        <v>1</v>
      </c>
      <c r="H309">
        <v>5</v>
      </c>
      <c r="I309" t="s">
        <v>2937</v>
      </c>
      <c r="J309" t="s">
        <v>2775</v>
      </c>
      <c r="K309">
        <v>558851.02</v>
      </c>
      <c r="L309">
        <v>1965.35</v>
      </c>
      <c r="M309">
        <v>1782</v>
      </c>
      <c r="N309" t="s">
        <v>125</v>
      </c>
      <c r="O309">
        <v>2</v>
      </c>
      <c r="P309" t="s">
        <v>2499</v>
      </c>
      <c r="Q309" t="s">
        <v>2500</v>
      </c>
      <c r="R309" t="s">
        <v>159</v>
      </c>
      <c r="S309">
        <v>0</v>
      </c>
      <c r="T309">
        <v>3</v>
      </c>
      <c r="U309">
        <v>178</v>
      </c>
      <c r="V309" t="s">
        <v>2934</v>
      </c>
      <c r="W309" t="s">
        <v>2938</v>
      </c>
      <c r="X309" t="s">
        <v>79</v>
      </c>
    </row>
    <row r="310" spans="1:24">
      <c r="A310">
        <v>17821</v>
      </c>
      <c r="B310" t="s">
        <v>2939</v>
      </c>
      <c r="C310" t="s">
        <v>2775</v>
      </c>
      <c r="D310" t="s">
        <v>2802</v>
      </c>
      <c r="E310" t="s">
        <v>2775</v>
      </c>
      <c r="G310">
        <v>1</v>
      </c>
      <c r="H310">
        <v>5</v>
      </c>
      <c r="I310" t="s">
        <v>2937</v>
      </c>
      <c r="J310" t="s">
        <v>2775</v>
      </c>
      <c r="K310">
        <v>558851.02</v>
      </c>
      <c r="L310">
        <v>1965.35</v>
      </c>
      <c r="M310">
        <v>1782</v>
      </c>
      <c r="N310" t="s">
        <v>125</v>
      </c>
      <c r="O310">
        <v>2</v>
      </c>
      <c r="P310" t="s">
        <v>2499</v>
      </c>
      <c r="Q310" t="s">
        <v>2500</v>
      </c>
      <c r="R310" t="s">
        <v>159</v>
      </c>
      <c r="S310">
        <v>0</v>
      </c>
      <c r="T310">
        <v>0</v>
      </c>
      <c r="U310">
        <v>178</v>
      </c>
      <c r="V310" t="s">
        <v>2934</v>
      </c>
      <c r="W310" t="s">
        <v>2940</v>
      </c>
      <c r="X310" t="s">
        <v>79</v>
      </c>
    </row>
    <row r="311" spans="1:24">
      <c r="A311">
        <v>17830</v>
      </c>
      <c r="B311" t="s">
        <v>2941</v>
      </c>
      <c r="C311" t="s">
        <v>2775</v>
      </c>
      <c r="D311" t="s">
        <v>2802</v>
      </c>
      <c r="E311" t="s">
        <v>2775</v>
      </c>
      <c r="F311" t="s">
        <v>2162</v>
      </c>
      <c r="G311">
        <v>3</v>
      </c>
      <c r="H311">
        <v>16</v>
      </c>
      <c r="I311" t="s">
        <v>2580</v>
      </c>
      <c r="J311" t="s">
        <v>2162</v>
      </c>
      <c r="K311">
        <v>148789.75</v>
      </c>
      <c r="L311">
        <v>4390.04</v>
      </c>
      <c r="M311">
        <v>1783</v>
      </c>
      <c r="N311" t="s">
        <v>125</v>
      </c>
      <c r="O311">
        <v>2</v>
      </c>
      <c r="P311" t="s">
        <v>2499</v>
      </c>
      <c r="Q311" t="s">
        <v>2500</v>
      </c>
      <c r="R311" t="s">
        <v>159</v>
      </c>
      <c r="S311">
        <v>26</v>
      </c>
      <c r="T311">
        <v>45</v>
      </c>
      <c r="U311">
        <v>178</v>
      </c>
      <c r="V311" t="s">
        <v>2934</v>
      </c>
      <c r="W311" t="s">
        <v>2942</v>
      </c>
      <c r="X311" t="s">
        <v>79</v>
      </c>
    </row>
    <row r="312" spans="1:24">
      <c r="A312">
        <v>17901</v>
      </c>
      <c r="B312" t="s">
        <v>2943</v>
      </c>
      <c r="C312" t="s">
        <v>2162</v>
      </c>
      <c r="D312" t="s">
        <v>2802</v>
      </c>
      <c r="E312" t="s">
        <v>2775</v>
      </c>
      <c r="F312" t="s">
        <v>2162</v>
      </c>
      <c r="G312">
        <v>3</v>
      </c>
      <c r="H312">
        <v>16</v>
      </c>
      <c r="I312" t="s">
        <v>2944</v>
      </c>
      <c r="J312" t="s">
        <v>2162</v>
      </c>
      <c r="K312">
        <v>153295.1</v>
      </c>
      <c r="M312">
        <v>1736</v>
      </c>
      <c r="N312" t="s">
        <v>125</v>
      </c>
      <c r="O312">
        <v>2</v>
      </c>
      <c r="P312" t="s">
        <v>2499</v>
      </c>
      <c r="Q312" t="s">
        <v>2500</v>
      </c>
      <c r="R312" t="s">
        <v>159</v>
      </c>
      <c r="S312">
        <v>2</v>
      </c>
      <c r="T312">
        <v>2</v>
      </c>
      <c r="U312">
        <v>179</v>
      </c>
      <c r="V312" t="s">
        <v>2945</v>
      </c>
      <c r="W312" t="s">
        <v>2946</v>
      </c>
      <c r="X312" t="s">
        <v>79</v>
      </c>
    </row>
    <row r="313" spans="1:24">
      <c r="A313">
        <v>17902</v>
      </c>
      <c r="B313" t="s">
        <v>2947</v>
      </c>
      <c r="C313" t="s">
        <v>2162</v>
      </c>
      <c r="F313" t="s">
        <v>2162</v>
      </c>
      <c r="G313">
        <v>1</v>
      </c>
      <c r="H313">
        <v>250</v>
      </c>
      <c r="I313" t="s">
        <v>2948</v>
      </c>
      <c r="J313" t="s">
        <v>2162</v>
      </c>
      <c r="K313">
        <v>199544.24</v>
      </c>
      <c r="L313">
        <v>1301.8599999999999</v>
      </c>
      <c r="M313">
        <v>1790</v>
      </c>
      <c r="N313" t="s">
        <v>125</v>
      </c>
      <c r="O313">
        <v>2</v>
      </c>
      <c r="P313" t="s">
        <v>2499</v>
      </c>
      <c r="Q313" t="s">
        <v>2500</v>
      </c>
      <c r="R313" t="s">
        <v>159</v>
      </c>
      <c r="S313">
        <v>1</v>
      </c>
      <c r="T313">
        <v>4</v>
      </c>
      <c r="U313">
        <v>179</v>
      </c>
      <c r="V313" t="s">
        <v>2945</v>
      </c>
      <c r="W313" t="s">
        <v>2949</v>
      </c>
      <c r="X313" t="s">
        <v>79</v>
      </c>
    </row>
    <row r="314" spans="1:24">
      <c r="A314">
        <v>17903</v>
      </c>
      <c r="B314" t="s">
        <v>2950</v>
      </c>
      <c r="C314" t="s">
        <v>2162</v>
      </c>
      <c r="F314" t="s">
        <v>2162</v>
      </c>
      <c r="G314">
        <v>3</v>
      </c>
      <c r="H314">
        <v>16</v>
      </c>
      <c r="I314" t="s">
        <v>2944</v>
      </c>
      <c r="J314" t="s">
        <v>2162</v>
      </c>
      <c r="K314">
        <v>153295.1</v>
      </c>
      <c r="M314">
        <v>1736</v>
      </c>
      <c r="N314" t="s">
        <v>125</v>
      </c>
      <c r="O314">
        <v>2</v>
      </c>
      <c r="P314" t="s">
        <v>2499</v>
      </c>
      <c r="Q314" t="s">
        <v>2500</v>
      </c>
      <c r="R314" t="s">
        <v>159</v>
      </c>
      <c r="S314">
        <v>68</v>
      </c>
      <c r="T314">
        <v>74</v>
      </c>
      <c r="U314">
        <v>179</v>
      </c>
      <c r="V314" t="s">
        <v>2945</v>
      </c>
      <c r="W314" t="s">
        <v>2951</v>
      </c>
      <c r="X314" t="s">
        <v>79</v>
      </c>
    </row>
    <row r="315" spans="1:24">
      <c r="A315">
        <v>17904</v>
      </c>
      <c r="B315" t="s">
        <v>2952</v>
      </c>
      <c r="C315" t="s">
        <v>2162</v>
      </c>
      <c r="F315" t="s">
        <v>2162</v>
      </c>
      <c r="G315">
        <v>3</v>
      </c>
      <c r="H315">
        <v>16</v>
      </c>
      <c r="I315" t="s">
        <v>2944</v>
      </c>
      <c r="J315" t="s">
        <v>2162</v>
      </c>
      <c r="K315">
        <v>153295.1</v>
      </c>
      <c r="M315">
        <v>1736</v>
      </c>
      <c r="N315" t="s">
        <v>125</v>
      </c>
      <c r="O315">
        <v>2</v>
      </c>
      <c r="P315" t="s">
        <v>2499</v>
      </c>
      <c r="Q315" t="s">
        <v>2500</v>
      </c>
      <c r="R315" t="s">
        <v>159</v>
      </c>
      <c r="S315">
        <v>2</v>
      </c>
      <c r="T315">
        <v>3</v>
      </c>
      <c r="U315">
        <v>179</v>
      </c>
      <c r="V315" t="s">
        <v>2945</v>
      </c>
      <c r="W315" t="s">
        <v>2953</v>
      </c>
      <c r="X315" t="s">
        <v>79</v>
      </c>
    </row>
    <row r="316" spans="1:24">
      <c r="A316">
        <v>17905</v>
      </c>
      <c r="B316" t="s">
        <v>2954</v>
      </c>
      <c r="C316" t="s">
        <v>2162</v>
      </c>
      <c r="D316" t="s">
        <v>2802</v>
      </c>
      <c r="F316" t="s">
        <v>2162</v>
      </c>
      <c r="G316">
        <v>3</v>
      </c>
      <c r="H316">
        <v>16</v>
      </c>
      <c r="I316" t="s">
        <v>2944</v>
      </c>
      <c r="J316" t="s">
        <v>2162</v>
      </c>
      <c r="K316">
        <v>153295.1</v>
      </c>
      <c r="M316">
        <v>1736</v>
      </c>
      <c r="N316" t="s">
        <v>125</v>
      </c>
      <c r="O316">
        <v>2</v>
      </c>
      <c r="P316" t="s">
        <v>2499</v>
      </c>
      <c r="Q316" t="s">
        <v>2500</v>
      </c>
      <c r="R316" t="s">
        <v>159</v>
      </c>
      <c r="S316">
        <v>2</v>
      </c>
      <c r="T316">
        <v>2</v>
      </c>
      <c r="U316">
        <v>179</v>
      </c>
      <c r="V316" t="s">
        <v>2945</v>
      </c>
      <c r="W316" t="s">
        <v>2955</v>
      </c>
      <c r="X316" t="s">
        <v>79</v>
      </c>
    </row>
    <row r="317" spans="1:24">
      <c r="A317">
        <v>17906</v>
      </c>
      <c r="B317" t="s">
        <v>2956</v>
      </c>
      <c r="C317" t="s">
        <v>2162</v>
      </c>
      <c r="D317" t="s">
        <v>2802</v>
      </c>
      <c r="F317" t="s">
        <v>2162</v>
      </c>
      <c r="G317">
        <v>1</v>
      </c>
      <c r="H317">
        <v>250</v>
      </c>
      <c r="I317" t="s">
        <v>2948</v>
      </c>
      <c r="J317" t="s">
        <v>2162</v>
      </c>
      <c r="K317">
        <v>199544.24</v>
      </c>
      <c r="L317">
        <v>1301.8599999999999</v>
      </c>
      <c r="M317">
        <v>1790</v>
      </c>
      <c r="N317" t="s">
        <v>125</v>
      </c>
      <c r="O317">
        <v>2</v>
      </c>
      <c r="P317" t="s">
        <v>2499</v>
      </c>
      <c r="Q317" t="s">
        <v>2500</v>
      </c>
      <c r="R317" t="s">
        <v>159</v>
      </c>
      <c r="S317">
        <v>17</v>
      </c>
      <c r="T317">
        <v>20</v>
      </c>
      <c r="U317">
        <v>179</v>
      </c>
      <c r="V317" t="s">
        <v>2945</v>
      </c>
      <c r="W317" t="s">
        <v>2957</v>
      </c>
      <c r="X317" t="s">
        <v>79</v>
      </c>
    </row>
    <row r="318" spans="1:24">
      <c r="A318">
        <v>17907</v>
      </c>
      <c r="B318" t="s">
        <v>2958</v>
      </c>
      <c r="C318" t="s">
        <v>2162</v>
      </c>
      <c r="D318" t="s">
        <v>2802</v>
      </c>
      <c r="F318" t="s">
        <v>2162</v>
      </c>
      <c r="G318">
        <v>1</v>
      </c>
      <c r="H318">
        <v>250</v>
      </c>
      <c r="I318" t="s">
        <v>2948</v>
      </c>
      <c r="J318" t="s">
        <v>2162</v>
      </c>
      <c r="K318">
        <v>199544.24</v>
      </c>
      <c r="L318">
        <v>1301.8599999999999</v>
      </c>
      <c r="M318">
        <v>1790</v>
      </c>
      <c r="N318" t="s">
        <v>125</v>
      </c>
      <c r="O318">
        <v>2</v>
      </c>
      <c r="P318" t="s">
        <v>2499</v>
      </c>
      <c r="Q318" t="s">
        <v>2500</v>
      </c>
      <c r="R318" t="s">
        <v>159</v>
      </c>
      <c r="S318">
        <v>2</v>
      </c>
      <c r="T318">
        <v>2</v>
      </c>
      <c r="U318">
        <v>179</v>
      </c>
      <c r="V318" t="s">
        <v>2945</v>
      </c>
      <c r="W318" t="s">
        <v>2959</v>
      </c>
      <c r="X318" t="s">
        <v>79</v>
      </c>
    </row>
    <row r="319" spans="1:24">
      <c r="A319">
        <v>17908</v>
      </c>
      <c r="B319" t="s">
        <v>2960</v>
      </c>
      <c r="C319" t="s">
        <v>2162</v>
      </c>
      <c r="D319" t="s">
        <v>2802</v>
      </c>
      <c r="F319" t="s">
        <v>2162</v>
      </c>
      <c r="G319">
        <v>1</v>
      </c>
      <c r="H319">
        <v>250</v>
      </c>
      <c r="I319" t="s">
        <v>2948</v>
      </c>
      <c r="J319" t="s">
        <v>2162</v>
      </c>
      <c r="K319">
        <v>199544.24</v>
      </c>
      <c r="L319">
        <v>1301.8599999999999</v>
      </c>
      <c r="M319">
        <v>1790</v>
      </c>
      <c r="N319" t="s">
        <v>125</v>
      </c>
      <c r="O319">
        <v>2</v>
      </c>
      <c r="P319" t="s">
        <v>2499</v>
      </c>
      <c r="Q319" t="s">
        <v>2500</v>
      </c>
      <c r="R319" t="s">
        <v>159</v>
      </c>
      <c r="S319">
        <v>5</v>
      </c>
      <c r="T319">
        <v>5</v>
      </c>
      <c r="U319">
        <v>179</v>
      </c>
      <c r="V319" t="s">
        <v>2945</v>
      </c>
      <c r="W319" t="s">
        <v>2961</v>
      </c>
      <c r="X319" t="s">
        <v>79</v>
      </c>
    </row>
    <row r="320" spans="1:24">
      <c r="A320">
        <v>17909</v>
      </c>
      <c r="B320" t="s">
        <v>2962</v>
      </c>
      <c r="C320" t="s">
        <v>10</v>
      </c>
      <c r="D320" t="s">
        <v>10</v>
      </c>
      <c r="G320">
        <v>8500</v>
      </c>
      <c r="H320">
        <v>120000</v>
      </c>
      <c r="I320" t="s">
        <v>2772</v>
      </c>
      <c r="J320" t="s">
        <v>10</v>
      </c>
      <c r="K320">
        <v>349.32</v>
      </c>
      <c r="L320">
        <v>2.2799999999999998</v>
      </c>
      <c r="M320">
        <v>1732</v>
      </c>
      <c r="N320" t="s">
        <v>125</v>
      </c>
      <c r="O320">
        <v>2</v>
      </c>
      <c r="P320" t="s">
        <v>2499</v>
      </c>
      <c r="Q320" t="s">
        <v>2500</v>
      </c>
      <c r="R320" t="s">
        <v>2199</v>
      </c>
      <c r="S320">
        <v>1</v>
      </c>
      <c r="T320">
        <v>1</v>
      </c>
      <c r="U320">
        <v>179</v>
      </c>
      <c r="V320" t="s">
        <v>2945</v>
      </c>
      <c r="W320" t="s">
        <v>2963</v>
      </c>
      <c r="X320" t="s">
        <v>79</v>
      </c>
    </row>
    <row r="321" spans="1:24">
      <c r="A321">
        <v>17910</v>
      </c>
      <c r="B321" t="s">
        <v>2964</v>
      </c>
      <c r="C321" t="s">
        <v>2162</v>
      </c>
      <c r="F321" t="s">
        <v>2162</v>
      </c>
      <c r="G321">
        <v>1</v>
      </c>
      <c r="H321">
        <v>1</v>
      </c>
      <c r="I321" t="s">
        <v>2965</v>
      </c>
      <c r="J321" t="s">
        <v>2162</v>
      </c>
      <c r="K321">
        <v>0</v>
      </c>
      <c r="L321">
        <v>0</v>
      </c>
      <c r="M321">
        <v>1793</v>
      </c>
      <c r="N321" t="s">
        <v>79</v>
      </c>
      <c r="O321">
        <v>1</v>
      </c>
      <c r="P321" t="s">
        <v>2499</v>
      </c>
      <c r="Q321" t="s">
        <v>2500</v>
      </c>
      <c r="R321" t="s">
        <v>159</v>
      </c>
      <c r="S321">
        <v>19</v>
      </c>
      <c r="T321">
        <v>20</v>
      </c>
      <c r="U321">
        <v>179</v>
      </c>
      <c r="V321" t="s">
        <v>2945</v>
      </c>
      <c r="W321" t="s">
        <v>2966</v>
      </c>
      <c r="X321" t="s">
        <v>79</v>
      </c>
    </row>
    <row r="322" spans="1:24">
      <c r="A322">
        <v>17911</v>
      </c>
      <c r="B322" t="s">
        <v>2967</v>
      </c>
      <c r="C322" t="s">
        <v>2097</v>
      </c>
      <c r="D322" t="s">
        <v>2097</v>
      </c>
      <c r="G322">
        <v>530</v>
      </c>
      <c r="H322">
        <v>160000</v>
      </c>
      <c r="I322" t="s">
        <v>2583</v>
      </c>
      <c r="J322" t="s">
        <v>2097</v>
      </c>
      <c r="K322">
        <v>76.33</v>
      </c>
      <c r="L322">
        <v>1.8</v>
      </c>
      <c r="M322">
        <v>8526</v>
      </c>
      <c r="N322" t="s">
        <v>125</v>
      </c>
      <c r="O322">
        <v>2</v>
      </c>
      <c r="P322" t="s">
        <v>2499</v>
      </c>
      <c r="Q322" t="s">
        <v>2500</v>
      </c>
      <c r="R322" t="s">
        <v>2102</v>
      </c>
      <c r="S322">
        <v>1</v>
      </c>
      <c r="T322">
        <v>1</v>
      </c>
      <c r="U322">
        <v>179</v>
      </c>
      <c r="V322" t="s">
        <v>2945</v>
      </c>
      <c r="W322" t="s">
        <v>2968</v>
      </c>
      <c r="X322" t="s">
        <v>79</v>
      </c>
    </row>
    <row r="323" spans="1:24">
      <c r="A323">
        <v>17912</v>
      </c>
      <c r="B323" t="s">
        <v>2969</v>
      </c>
      <c r="C323" t="s">
        <v>2162</v>
      </c>
      <c r="E323" t="s">
        <v>2098</v>
      </c>
      <c r="F323" t="s">
        <v>2162</v>
      </c>
      <c r="G323">
        <v>35</v>
      </c>
      <c r="H323">
        <v>275</v>
      </c>
      <c r="I323" t="s">
        <v>2970</v>
      </c>
      <c r="J323" t="s">
        <v>2098</v>
      </c>
      <c r="K323">
        <v>25341.83</v>
      </c>
      <c r="L323">
        <v>883.52</v>
      </c>
      <c r="M323">
        <v>1734</v>
      </c>
      <c r="N323" t="s">
        <v>125</v>
      </c>
      <c r="O323">
        <v>2</v>
      </c>
      <c r="P323" t="s">
        <v>2499</v>
      </c>
      <c r="Q323" t="s">
        <v>2500</v>
      </c>
      <c r="R323" t="s">
        <v>159</v>
      </c>
      <c r="S323">
        <v>5</v>
      </c>
      <c r="T323">
        <v>5</v>
      </c>
      <c r="U323">
        <v>179</v>
      </c>
      <c r="V323" t="s">
        <v>2945</v>
      </c>
      <c r="W323" t="s">
        <v>2971</v>
      </c>
      <c r="X323" t="s">
        <v>79</v>
      </c>
    </row>
    <row r="324" spans="1:24">
      <c r="A324">
        <v>17917</v>
      </c>
      <c r="B324" t="s">
        <v>2972</v>
      </c>
      <c r="C324" t="s">
        <v>2162</v>
      </c>
      <c r="E324" t="s">
        <v>2098</v>
      </c>
      <c r="F324" t="s">
        <v>2162</v>
      </c>
      <c r="G324">
        <v>35</v>
      </c>
      <c r="H324">
        <v>275</v>
      </c>
      <c r="I324" t="s">
        <v>2970</v>
      </c>
      <c r="J324" t="s">
        <v>2098</v>
      </c>
      <c r="K324">
        <v>25341.83</v>
      </c>
      <c r="L324">
        <v>883.52</v>
      </c>
      <c r="M324">
        <v>1734</v>
      </c>
      <c r="N324" t="s">
        <v>125</v>
      </c>
      <c r="O324">
        <v>2</v>
      </c>
      <c r="P324" t="s">
        <v>2499</v>
      </c>
      <c r="Q324" t="s">
        <v>2500</v>
      </c>
      <c r="R324" t="s">
        <v>159</v>
      </c>
      <c r="S324">
        <v>29</v>
      </c>
      <c r="T324">
        <v>31</v>
      </c>
      <c r="U324">
        <v>179</v>
      </c>
      <c r="V324" t="s">
        <v>2945</v>
      </c>
      <c r="W324" t="s">
        <v>2973</v>
      </c>
      <c r="X324" t="s">
        <v>79</v>
      </c>
    </row>
    <row r="325" spans="1:24">
      <c r="A325">
        <v>17918</v>
      </c>
      <c r="B325" t="s">
        <v>2974</v>
      </c>
      <c r="C325" t="s">
        <v>2097</v>
      </c>
      <c r="D325" t="s">
        <v>2097</v>
      </c>
      <c r="F325" t="s">
        <v>2162</v>
      </c>
      <c r="G325">
        <v>3200</v>
      </c>
      <c r="H325">
        <v>46000</v>
      </c>
      <c r="I325" t="s">
        <v>2142</v>
      </c>
      <c r="J325" t="s">
        <v>2097</v>
      </c>
      <c r="K325">
        <v>159.84</v>
      </c>
      <c r="L325">
        <v>3.24</v>
      </c>
      <c r="M325">
        <v>1164</v>
      </c>
      <c r="N325" t="s">
        <v>125</v>
      </c>
      <c r="O325">
        <v>2</v>
      </c>
      <c r="P325" t="s">
        <v>2499</v>
      </c>
      <c r="Q325" t="s">
        <v>2500</v>
      </c>
      <c r="R325" t="s">
        <v>2102</v>
      </c>
      <c r="S325">
        <v>1</v>
      </c>
      <c r="T325">
        <v>1</v>
      </c>
      <c r="U325">
        <v>179</v>
      </c>
      <c r="V325" t="s">
        <v>2945</v>
      </c>
      <c r="W325" t="s">
        <v>2975</v>
      </c>
      <c r="X325" t="s">
        <v>79</v>
      </c>
    </row>
    <row r="326" spans="1:24">
      <c r="A326">
        <v>17919</v>
      </c>
      <c r="B326" t="s">
        <v>2976</v>
      </c>
      <c r="C326" t="s">
        <v>2162</v>
      </c>
      <c r="F326" t="s">
        <v>2162</v>
      </c>
      <c r="G326">
        <v>1</v>
      </c>
      <c r="H326">
        <v>250</v>
      </c>
      <c r="I326" t="s">
        <v>2948</v>
      </c>
      <c r="J326" t="s">
        <v>2162</v>
      </c>
      <c r="K326">
        <v>199544.24</v>
      </c>
      <c r="L326">
        <v>1301.8599999999999</v>
      </c>
      <c r="M326">
        <v>1790</v>
      </c>
      <c r="N326" t="s">
        <v>125</v>
      </c>
      <c r="O326">
        <v>2</v>
      </c>
      <c r="P326" t="s">
        <v>2499</v>
      </c>
      <c r="Q326" t="s">
        <v>2500</v>
      </c>
      <c r="R326" t="s">
        <v>159</v>
      </c>
      <c r="S326">
        <v>1</v>
      </c>
      <c r="T326">
        <v>1</v>
      </c>
      <c r="U326">
        <v>179</v>
      </c>
      <c r="V326" t="s">
        <v>2945</v>
      </c>
      <c r="W326" t="s">
        <v>2977</v>
      </c>
      <c r="X326" t="s">
        <v>79</v>
      </c>
    </row>
    <row r="327" spans="1:24">
      <c r="A327">
        <v>17920</v>
      </c>
      <c r="B327" t="s">
        <v>2978</v>
      </c>
      <c r="C327" t="s">
        <v>2162</v>
      </c>
      <c r="F327" t="s">
        <v>2162</v>
      </c>
      <c r="G327">
        <v>1</v>
      </c>
      <c r="H327">
        <v>250</v>
      </c>
      <c r="I327" t="s">
        <v>2948</v>
      </c>
      <c r="J327" t="s">
        <v>2162</v>
      </c>
      <c r="K327">
        <v>199544.24</v>
      </c>
      <c r="L327">
        <v>1301.8599999999999</v>
      </c>
      <c r="M327">
        <v>1790</v>
      </c>
      <c r="N327" t="s">
        <v>125</v>
      </c>
      <c r="O327">
        <v>2</v>
      </c>
      <c r="P327" t="s">
        <v>2499</v>
      </c>
      <c r="Q327" t="s">
        <v>2500</v>
      </c>
      <c r="R327" t="s">
        <v>159</v>
      </c>
      <c r="S327">
        <v>3</v>
      </c>
      <c r="T327">
        <v>3</v>
      </c>
      <c r="U327">
        <v>179</v>
      </c>
      <c r="V327" t="s">
        <v>2945</v>
      </c>
      <c r="W327" t="s">
        <v>2979</v>
      </c>
      <c r="X327" t="s">
        <v>79</v>
      </c>
    </row>
    <row r="328" spans="1:24">
      <c r="A328">
        <v>17922</v>
      </c>
      <c r="B328" t="s">
        <v>2980</v>
      </c>
      <c r="C328" t="s">
        <v>2162</v>
      </c>
      <c r="F328" t="s">
        <v>2162</v>
      </c>
      <c r="G328">
        <v>1</v>
      </c>
      <c r="H328">
        <v>250</v>
      </c>
      <c r="I328" t="s">
        <v>2948</v>
      </c>
      <c r="J328" t="s">
        <v>2162</v>
      </c>
      <c r="K328">
        <v>199544.24</v>
      </c>
      <c r="L328">
        <v>1301.8599999999999</v>
      </c>
      <c r="M328">
        <v>1790</v>
      </c>
      <c r="N328" t="s">
        <v>125</v>
      </c>
      <c r="O328">
        <v>2</v>
      </c>
      <c r="P328" t="s">
        <v>2499</v>
      </c>
      <c r="Q328" t="s">
        <v>2500</v>
      </c>
      <c r="R328" t="s">
        <v>159</v>
      </c>
      <c r="S328">
        <v>1</v>
      </c>
      <c r="T328">
        <v>1</v>
      </c>
      <c r="U328">
        <v>179</v>
      </c>
      <c r="V328" t="s">
        <v>2945</v>
      </c>
      <c r="W328" t="s">
        <v>2981</v>
      </c>
      <c r="X328" t="s">
        <v>79</v>
      </c>
    </row>
    <row r="329" spans="1:24">
      <c r="A329">
        <v>17925</v>
      </c>
      <c r="B329" t="s">
        <v>2982</v>
      </c>
      <c r="C329" t="s">
        <v>2162</v>
      </c>
      <c r="D329" t="s">
        <v>2802</v>
      </c>
      <c r="F329" t="s">
        <v>2162</v>
      </c>
      <c r="G329">
        <v>1</v>
      </c>
      <c r="H329">
        <v>250</v>
      </c>
      <c r="I329" t="s">
        <v>2948</v>
      </c>
      <c r="J329" t="s">
        <v>2162</v>
      </c>
      <c r="K329">
        <v>199544.24</v>
      </c>
      <c r="L329">
        <v>1301.8599999999999</v>
      </c>
      <c r="M329">
        <v>1790</v>
      </c>
      <c r="N329" t="s">
        <v>125</v>
      </c>
      <c r="O329">
        <v>2</v>
      </c>
      <c r="P329" t="s">
        <v>2499</v>
      </c>
      <c r="Q329" t="s">
        <v>2500</v>
      </c>
      <c r="R329" t="s">
        <v>159</v>
      </c>
      <c r="S329">
        <v>89</v>
      </c>
      <c r="T329">
        <v>90</v>
      </c>
      <c r="U329">
        <v>179</v>
      </c>
      <c r="V329" t="s">
        <v>2945</v>
      </c>
      <c r="W329" t="s">
        <v>2983</v>
      </c>
      <c r="X329" t="s">
        <v>79</v>
      </c>
    </row>
    <row r="330" spans="1:24">
      <c r="A330">
        <v>17926</v>
      </c>
      <c r="B330" t="s">
        <v>2984</v>
      </c>
      <c r="C330" t="s">
        <v>2162</v>
      </c>
      <c r="D330" t="s">
        <v>2802</v>
      </c>
      <c r="F330" t="s">
        <v>2162</v>
      </c>
      <c r="G330">
        <v>1</v>
      </c>
      <c r="H330">
        <v>1</v>
      </c>
      <c r="I330" t="s">
        <v>2985</v>
      </c>
      <c r="J330" t="s">
        <v>2162</v>
      </c>
      <c r="K330">
        <v>3608510.37</v>
      </c>
      <c r="L330">
        <v>30299.56</v>
      </c>
      <c r="M330">
        <v>1792</v>
      </c>
      <c r="N330" t="s">
        <v>125</v>
      </c>
      <c r="O330">
        <v>2</v>
      </c>
      <c r="P330" t="s">
        <v>2499</v>
      </c>
      <c r="Q330" t="s">
        <v>2500</v>
      </c>
      <c r="R330" t="s">
        <v>159</v>
      </c>
      <c r="S330">
        <v>13</v>
      </c>
      <c r="T330">
        <v>23</v>
      </c>
      <c r="U330">
        <v>179</v>
      </c>
      <c r="V330" t="s">
        <v>2945</v>
      </c>
      <c r="W330" t="s">
        <v>2986</v>
      </c>
      <c r="X330" t="s">
        <v>79</v>
      </c>
    </row>
    <row r="331" spans="1:24">
      <c r="A331">
        <v>17930</v>
      </c>
      <c r="B331" t="s">
        <v>2987</v>
      </c>
      <c r="C331" t="s">
        <v>2162</v>
      </c>
      <c r="F331" t="s">
        <v>2162</v>
      </c>
      <c r="G331">
        <v>1</v>
      </c>
      <c r="H331">
        <v>1</v>
      </c>
      <c r="I331" t="s">
        <v>2890</v>
      </c>
      <c r="J331" t="s">
        <v>2162</v>
      </c>
      <c r="K331">
        <v>0</v>
      </c>
      <c r="L331">
        <v>0</v>
      </c>
      <c r="M331">
        <v>1767</v>
      </c>
      <c r="N331" t="s">
        <v>79</v>
      </c>
      <c r="O331">
        <v>3</v>
      </c>
      <c r="P331" t="s">
        <v>2499</v>
      </c>
      <c r="Q331" t="s">
        <v>2500</v>
      </c>
      <c r="R331" t="s">
        <v>159</v>
      </c>
      <c r="S331">
        <v>3</v>
      </c>
      <c r="T331">
        <v>6</v>
      </c>
      <c r="U331">
        <v>179</v>
      </c>
      <c r="V331" t="s">
        <v>2945</v>
      </c>
      <c r="W331" t="s">
        <v>2988</v>
      </c>
      <c r="X331" t="s">
        <v>79</v>
      </c>
    </row>
    <row r="332" spans="1:24">
      <c r="A332">
        <v>17931</v>
      </c>
      <c r="B332" t="s">
        <v>2989</v>
      </c>
      <c r="C332" t="s">
        <v>2162</v>
      </c>
      <c r="D332" t="s">
        <v>2802</v>
      </c>
      <c r="F332" t="s">
        <v>2162</v>
      </c>
      <c r="G332">
        <v>1</v>
      </c>
      <c r="H332">
        <v>250</v>
      </c>
      <c r="I332" t="s">
        <v>2948</v>
      </c>
      <c r="J332" t="s">
        <v>2162</v>
      </c>
      <c r="K332">
        <v>199544.24</v>
      </c>
      <c r="L332">
        <v>1301.8599999999999</v>
      </c>
      <c r="M332">
        <v>1790</v>
      </c>
      <c r="N332" t="s">
        <v>125</v>
      </c>
      <c r="O332">
        <v>2</v>
      </c>
      <c r="P332" t="s">
        <v>2499</v>
      </c>
      <c r="Q332" t="s">
        <v>2500</v>
      </c>
      <c r="R332" t="s">
        <v>159</v>
      </c>
      <c r="S332">
        <v>9</v>
      </c>
      <c r="T332">
        <v>9</v>
      </c>
      <c r="U332">
        <v>179</v>
      </c>
      <c r="V332" t="s">
        <v>2945</v>
      </c>
      <c r="W332" t="s">
        <v>2990</v>
      </c>
      <c r="X332" t="s">
        <v>79</v>
      </c>
    </row>
    <row r="333" spans="1:24">
      <c r="A333">
        <v>17935</v>
      </c>
      <c r="B333" t="s">
        <v>2991</v>
      </c>
      <c r="C333" t="s">
        <v>2162</v>
      </c>
      <c r="E333" t="s">
        <v>2098</v>
      </c>
      <c r="F333" t="s">
        <v>2162</v>
      </c>
      <c r="G333">
        <v>35</v>
      </c>
      <c r="H333">
        <v>275</v>
      </c>
      <c r="I333" t="s">
        <v>2970</v>
      </c>
      <c r="J333" t="s">
        <v>2098</v>
      </c>
      <c r="K333">
        <v>25341.83</v>
      </c>
      <c r="L333">
        <v>883.52</v>
      </c>
      <c r="M333">
        <v>1734</v>
      </c>
      <c r="N333" t="s">
        <v>79</v>
      </c>
      <c r="O333">
        <v>1</v>
      </c>
      <c r="P333" t="s">
        <v>2499</v>
      </c>
      <c r="Q333" t="s">
        <v>2500</v>
      </c>
      <c r="R333" t="s">
        <v>159</v>
      </c>
      <c r="S333">
        <v>191</v>
      </c>
      <c r="T333">
        <v>192</v>
      </c>
      <c r="U333">
        <v>179</v>
      </c>
      <c r="V333" t="s">
        <v>2945</v>
      </c>
      <c r="W333" t="s">
        <v>2992</v>
      </c>
      <c r="X333" t="s">
        <v>79</v>
      </c>
    </row>
    <row r="334" spans="1:24">
      <c r="A334">
        <v>17936</v>
      </c>
      <c r="B334" t="s">
        <v>2993</v>
      </c>
      <c r="C334" t="s">
        <v>2162</v>
      </c>
      <c r="D334" t="s">
        <v>2802</v>
      </c>
      <c r="F334" t="s">
        <v>2162</v>
      </c>
      <c r="G334">
        <v>1</v>
      </c>
      <c r="H334">
        <v>1</v>
      </c>
      <c r="I334" t="s">
        <v>2965</v>
      </c>
      <c r="J334" t="s">
        <v>2162</v>
      </c>
      <c r="K334">
        <v>0</v>
      </c>
      <c r="L334">
        <v>0</v>
      </c>
      <c r="M334">
        <v>1793</v>
      </c>
      <c r="N334" t="s">
        <v>79</v>
      </c>
      <c r="O334">
        <v>2</v>
      </c>
      <c r="P334" t="s">
        <v>2499</v>
      </c>
      <c r="Q334" t="s">
        <v>2500</v>
      </c>
      <c r="R334" t="s">
        <v>159</v>
      </c>
      <c r="S334">
        <v>4</v>
      </c>
      <c r="T334">
        <v>5</v>
      </c>
      <c r="U334">
        <v>179</v>
      </c>
      <c r="V334" t="s">
        <v>2945</v>
      </c>
      <c r="W334" t="s">
        <v>2994</v>
      </c>
      <c r="X334" t="s">
        <v>79</v>
      </c>
    </row>
    <row r="335" spans="1:24">
      <c r="A335">
        <v>17937</v>
      </c>
      <c r="B335" t="s">
        <v>2995</v>
      </c>
      <c r="C335" t="s">
        <v>2162</v>
      </c>
      <c r="D335" t="s">
        <v>2802</v>
      </c>
      <c r="F335" t="s">
        <v>2162</v>
      </c>
      <c r="G335">
        <v>1</v>
      </c>
      <c r="H335">
        <v>1</v>
      </c>
      <c r="I335" t="s">
        <v>2965</v>
      </c>
      <c r="J335" t="s">
        <v>2162</v>
      </c>
      <c r="K335">
        <v>0</v>
      </c>
      <c r="L335">
        <v>0</v>
      </c>
      <c r="M335">
        <v>1793</v>
      </c>
      <c r="N335" t="s">
        <v>79</v>
      </c>
      <c r="O335">
        <v>2</v>
      </c>
      <c r="P335" t="s">
        <v>2499</v>
      </c>
      <c r="Q335" t="s">
        <v>2500</v>
      </c>
      <c r="R335" t="s">
        <v>159</v>
      </c>
      <c r="S335">
        <v>7</v>
      </c>
      <c r="T335">
        <v>7</v>
      </c>
      <c r="U335">
        <v>179</v>
      </c>
      <c r="V335" t="s">
        <v>2945</v>
      </c>
      <c r="W335" t="s">
        <v>2996</v>
      </c>
      <c r="X335" t="s">
        <v>79</v>
      </c>
    </row>
    <row r="336" spans="1:24">
      <c r="A336">
        <v>17940</v>
      </c>
      <c r="B336" t="s">
        <v>2997</v>
      </c>
      <c r="C336" t="s">
        <v>2162</v>
      </c>
      <c r="E336" t="s">
        <v>2775</v>
      </c>
      <c r="F336" t="s">
        <v>2162</v>
      </c>
      <c r="G336">
        <v>20</v>
      </c>
      <c r="H336">
        <v>90</v>
      </c>
      <c r="I336" t="s">
        <v>2824</v>
      </c>
      <c r="J336" t="s">
        <v>2775</v>
      </c>
      <c r="K336">
        <v>96206.88</v>
      </c>
      <c r="L336">
        <v>407.88</v>
      </c>
      <c r="M336">
        <v>1750</v>
      </c>
      <c r="N336" t="s">
        <v>125</v>
      </c>
      <c r="O336">
        <v>1</v>
      </c>
      <c r="P336" t="s">
        <v>2499</v>
      </c>
      <c r="Q336" t="s">
        <v>2500</v>
      </c>
      <c r="R336" t="s">
        <v>159</v>
      </c>
      <c r="S336">
        <v>94</v>
      </c>
      <c r="T336">
        <v>96</v>
      </c>
      <c r="U336">
        <v>179</v>
      </c>
      <c r="V336" t="s">
        <v>2945</v>
      </c>
      <c r="W336" t="s">
        <v>2998</v>
      </c>
      <c r="X336" t="s">
        <v>79</v>
      </c>
    </row>
    <row r="337" spans="1:24">
      <c r="A337">
        <v>17941</v>
      </c>
      <c r="B337" t="s">
        <v>2999</v>
      </c>
      <c r="C337" t="s">
        <v>2775</v>
      </c>
      <c r="D337" t="s">
        <v>2802</v>
      </c>
      <c r="E337" t="s">
        <v>2775</v>
      </c>
      <c r="G337">
        <v>2</v>
      </c>
      <c r="H337">
        <v>8</v>
      </c>
      <c r="I337" t="s">
        <v>3000</v>
      </c>
      <c r="J337" t="s">
        <v>2775</v>
      </c>
      <c r="K337">
        <v>27685.16</v>
      </c>
      <c r="L337">
        <v>1082.48</v>
      </c>
      <c r="M337">
        <v>1794</v>
      </c>
      <c r="N337" t="s">
        <v>125</v>
      </c>
      <c r="O337">
        <v>2</v>
      </c>
      <c r="P337" t="s">
        <v>2499</v>
      </c>
      <c r="Q337" t="s">
        <v>2500</v>
      </c>
      <c r="R337" t="s">
        <v>159</v>
      </c>
      <c r="S337">
        <v>2</v>
      </c>
      <c r="T337">
        <v>4</v>
      </c>
      <c r="U337">
        <v>179</v>
      </c>
      <c r="V337" t="s">
        <v>2945</v>
      </c>
      <c r="W337" t="s">
        <v>3001</v>
      </c>
      <c r="X337" t="s">
        <v>79</v>
      </c>
    </row>
    <row r="338" spans="1:24">
      <c r="A338">
        <v>17945</v>
      </c>
      <c r="B338" t="s">
        <v>3002</v>
      </c>
      <c r="C338" t="s">
        <v>2162</v>
      </c>
      <c r="F338" t="s">
        <v>2162</v>
      </c>
      <c r="G338">
        <v>3</v>
      </c>
      <c r="H338">
        <v>16</v>
      </c>
      <c r="I338" t="s">
        <v>2944</v>
      </c>
      <c r="J338" t="s">
        <v>2162</v>
      </c>
      <c r="K338">
        <v>153295.1</v>
      </c>
      <c r="M338">
        <v>1736</v>
      </c>
      <c r="N338" t="s">
        <v>125</v>
      </c>
      <c r="O338">
        <v>3</v>
      </c>
      <c r="P338" t="s">
        <v>2499</v>
      </c>
      <c r="Q338" t="s">
        <v>2500</v>
      </c>
      <c r="R338" t="s">
        <v>159</v>
      </c>
      <c r="S338">
        <v>331</v>
      </c>
      <c r="T338">
        <v>336</v>
      </c>
      <c r="U338">
        <v>179</v>
      </c>
      <c r="V338" t="s">
        <v>2945</v>
      </c>
      <c r="W338" t="s">
        <v>3003</v>
      </c>
      <c r="X338" t="s">
        <v>79</v>
      </c>
    </row>
    <row r="339" spans="1:24">
      <c r="A339">
        <v>17950</v>
      </c>
      <c r="B339" t="s">
        <v>3004</v>
      </c>
      <c r="C339" t="s">
        <v>2162</v>
      </c>
      <c r="D339" t="s">
        <v>2802</v>
      </c>
      <c r="F339" t="s">
        <v>2162</v>
      </c>
      <c r="G339">
        <v>1</v>
      </c>
      <c r="H339">
        <v>250</v>
      </c>
      <c r="I339" t="s">
        <v>2948</v>
      </c>
      <c r="J339" t="s">
        <v>2162</v>
      </c>
      <c r="K339">
        <v>199544.24</v>
      </c>
      <c r="L339">
        <v>1301.8599999999999</v>
      </c>
      <c r="M339">
        <v>1790</v>
      </c>
      <c r="N339" t="s">
        <v>79</v>
      </c>
      <c r="O339">
        <v>1</v>
      </c>
      <c r="P339" t="s">
        <v>2499</v>
      </c>
      <c r="Q339" t="s">
        <v>2500</v>
      </c>
      <c r="R339" t="s">
        <v>159</v>
      </c>
      <c r="S339">
        <v>115</v>
      </c>
      <c r="T339">
        <v>120</v>
      </c>
      <c r="U339">
        <v>179</v>
      </c>
      <c r="V339" t="s">
        <v>2945</v>
      </c>
      <c r="W339" t="s">
        <v>3005</v>
      </c>
      <c r="X339" t="s">
        <v>79</v>
      </c>
    </row>
    <row r="340" spans="1:24">
      <c r="A340">
        <v>17951</v>
      </c>
      <c r="B340" t="s">
        <v>3006</v>
      </c>
      <c r="C340" t="s">
        <v>2162</v>
      </c>
      <c r="D340" t="s">
        <v>10</v>
      </c>
      <c r="F340" t="s">
        <v>2162</v>
      </c>
      <c r="G340">
        <v>17000</v>
      </c>
      <c r="H340">
        <v>85000</v>
      </c>
      <c r="I340" t="s">
        <v>3007</v>
      </c>
      <c r="J340" t="s">
        <v>10</v>
      </c>
      <c r="K340">
        <v>365.48</v>
      </c>
      <c r="L340">
        <v>0.3</v>
      </c>
      <c r="M340">
        <v>1795</v>
      </c>
      <c r="N340" t="s">
        <v>125</v>
      </c>
      <c r="O340">
        <v>2</v>
      </c>
      <c r="P340" t="s">
        <v>2499</v>
      </c>
      <c r="Q340" t="s">
        <v>2500</v>
      </c>
      <c r="R340" t="s">
        <v>159</v>
      </c>
      <c r="S340">
        <v>38</v>
      </c>
      <c r="T340">
        <v>38</v>
      </c>
      <c r="U340">
        <v>179</v>
      </c>
      <c r="V340" t="s">
        <v>2945</v>
      </c>
      <c r="W340" t="s">
        <v>3008</v>
      </c>
      <c r="X340" t="s">
        <v>79</v>
      </c>
    </row>
    <row r="341" spans="1:24">
      <c r="A341">
        <v>17953</v>
      </c>
      <c r="B341" t="s">
        <v>3009</v>
      </c>
      <c r="C341" t="s">
        <v>10</v>
      </c>
      <c r="D341" t="s">
        <v>10</v>
      </c>
      <c r="G341">
        <v>11000</v>
      </c>
      <c r="H341">
        <v>55000</v>
      </c>
      <c r="I341" t="s">
        <v>3009</v>
      </c>
      <c r="J341" t="s">
        <v>10</v>
      </c>
      <c r="K341">
        <v>403.96</v>
      </c>
      <c r="L341">
        <v>14.27</v>
      </c>
      <c r="M341">
        <v>1726</v>
      </c>
      <c r="N341" t="s">
        <v>125</v>
      </c>
      <c r="O341">
        <v>2</v>
      </c>
      <c r="P341" t="s">
        <v>2499</v>
      </c>
      <c r="Q341" t="s">
        <v>2500</v>
      </c>
      <c r="R341" t="s">
        <v>2199</v>
      </c>
      <c r="S341">
        <v>23</v>
      </c>
      <c r="T341">
        <v>24</v>
      </c>
      <c r="U341">
        <v>179</v>
      </c>
      <c r="V341" t="s">
        <v>2945</v>
      </c>
      <c r="W341" t="s">
        <v>3010</v>
      </c>
      <c r="X341" t="s">
        <v>79</v>
      </c>
    </row>
    <row r="342" spans="1:24">
      <c r="A342">
        <v>17954</v>
      </c>
      <c r="B342" t="s">
        <v>3011</v>
      </c>
      <c r="C342" t="s">
        <v>10</v>
      </c>
      <c r="D342" t="s">
        <v>10</v>
      </c>
      <c r="G342">
        <v>10000</v>
      </c>
      <c r="H342">
        <v>120000</v>
      </c>
      <c r="I342" t="s">
        <v>2766</v>
      </c>
      <c r="J342" t="s">
        <v>10</v>
      </c>
      <c r="K342">
        <v>876</v>
      </c>
      <c r="L342">
        <v>5.4</v>
      </c>
      <c r="M342">
        <v>1724</v>
      </c>
      <c r="N342" t="s">
        <v>125</v>
      </c>
      <c r="O342">
        <v>3</v>
      </c>
      <c r="P342" t="s">
        <v>2763</v>
      </c>
      <c r="Q342" t="s">
        <v>2500</v>
      </c>
      <c r="R342" t="s">
        <v>2199</v>
      </c>
      <c r="S342">
        <v>3</v>
      </c>
      <c r="T342">
        <v>3</v>
      </c>
      <c r="U342">
        <v>179</v>
      </c>
      <c r="V342" t="s">
        <v>2945</v>
      </c>
      <c r="W342" t="s">
        <v>3012</v>
      </c>
      <c r="X342" t="s">
        <v>79</v>
      </c>
    </row>
    <row r="343" spans="1:24">
      <c r="A343">
        <v>17955</v>
      </c>
      <c r="B343" t="s">
        <v>3013</v>
      </c>
      <c r="C343" t="s">
        <v>2162</v>
      </c>
      <c r="E343" t="s">
        <v>3014</v>
      </c>
      <c r="F343" t="s">
        <v>2162</v>
      </c>
      <c r="G343">
        <v>1</v>
      </c>
      <c r="H343">
        <v>1</v>
      </c>
      <c r="I343" t="s">
        <v>3015</v>
      </c>
      <c r="J343" t="s">
        <v>2162</v>
      </c>
      <c r="K343">
        <v>1201658.31</v>
      </c>
      <c r="L343">
        <v>20913.45</v>
      </c>
      <c r="M343">
        <v>1725</v>
      </c>
      <c r="N343" t="s">
        <v>125</v>
      </c>
      <c r="O343">
        <v>1</v>
      </c>
      <c r="P343" t="s">
        <v>3016</v>
      </c>
      <c r="Q343" t="s">
        <v>2500</v>
      </c>
      <c r="R343" t="s">
        <v>159</v>
      </c>
      <c r="S343">
        <v>35</v>
      </c>
      <c r="T343">
        <v>45</v>
      </c>
      <c r="U343">
        <v>179</v>
      </c>
      <c r="V343" t="s">
        <v>2945</v>
      </c>
      <c r="W343" t="s">
        <v>3017</v>
      </c>
      <c r="X343" t="s">
        <v>79</v>
      </c>
    </row>
    <row r="344" spans="1:24">
      <c r="A344">
        <v>17957</v>
      </c>
      <c r="B344" t="s">
        <v>3018</v>
      </c>
      <c r="C344" t="s">
        <v>10</v>
      </c>
      <c r="D344" t="s">
        <v>10</v>
      </c>
      <c r="G344">
        <v>13000</v>
      </c>
      <c r="H344">
        <v>220000</v>
      </c>
      <c r="I344" t="s">
        <v>2751</v>
      </c>
      <c r="J344" t="s">
        <v>10</v>
      </c>
      <c r="K344">
        <v>1001</v>
      </c>
      <c r="L344">
        <v>4.3499999999999996</v>
      </c>
      <c r="M344">
        <v>1712</v>
      </c>
      <c r="N344" t="s">
        <v>125</v>
      </c>
      <c r="O344">
        <v>3</v>
      </c>
      <c r="P344" t="s">
        <v>3016</v>
      </c>
      <c r="Q344" t="s">
        <v>2500</v>
      </c>
      <c r="R344" t="s">
        <v>2199</v>
      </c>
      <c r="S344">
        <v>0</v>
      </c>
      <c r="T344">
        <v>0</v>
      </c>
      <c r="U344">
        <v>171</v>
      </c>
      <c r="V344" t="s">
        <v>2743</v>
      </c>
      <c r="W344" t="s">
        <v>3019</v>
      </c>
      <c r="X344" t="s">
        <v>79</v>
      </c>
    </row>
    <row r="345" spans="1:24">
      <c r="A345">
        <v>17960</v>
      </c>
      <c r="B345" t="s">
        <v>3020</v>
      </c>
      <c r="C345" t="s">
        <v>2162</v>
      </c>
      <c r="D345" t="s">
        <v>2802</v>
      </c>
      <c r="F345" t="s">
        <v>2162</v>
      </c>
      <c r="G345">
        <v>6</v>
      </c>
      <c r="H345">
        <v>65</v>
      </c>
      <c r="I345" t="s">
        <v>3020</v>
      </c>
      <c r="J345" t="s">
        <v>2802</v>
      </c>
      <c r="K345">
        <v>218437.32</v>
      </c>
      <c r="L345">
        <v>83.89</v>
      </c>
      <c r="M345">
        <v>1745</v>
      </c>
      <c r="N345" t="s">
        <v>79</v>
      </c>
      <c r="O345">
        <v>1</v>
      </c>
      <c r="P345" t="s">
        <v>2769</v>
      </c>
      <c r="Q345" t="s">
        <v>2500</v>
      </c>
      <c r="R345" t="s">
        <v>159</v>
      </c>
      <c r="S345">
        <v>69</v>
      </c>
      <c r="T345">
        <v>70</v>
      </c>
      <c r="U345">
        <v>179</v>
      </c>
      <c r="V345" t="s">
        <v>2945</v>
      </c>
      <c r="W345" t="s">
        <v>3021</v>
      </c>
      <c r="X345" t="s">
        <v>79</v>
      </c>
    </row>
    <row r="346" spans="1:24">
      <c r="A346">
        <v>17961</v>
      </c>
      <c r="B346" t="s">
        <v>3022</v>
      </c>
      <c r="C346" t="s">
        <v>2162</v>
      </c>
      <c r="D346" t="s">
        <v>2802</v>
      </c>
      <c r="F346" t="s">
        <v>2162</v>
      </c>
      <c r="G346">
        <v>1</v>
      </c>
      <c r="H346">
        <v>250</v>
      </c>
      <c r="I346" t="s">
        <v>2948</v>
      </c>
      <c r="J346" t="s">
        <v>2162</v>
      </c>
      <c r="K346">
        <v>199544.24</v>
      </c>
      <c r="L346">
        <v>1301.8599999999999</v>
      </c>
      <c r="M346">
        <v>1790</v>
      </c>
      <c r="N346" t="s">
        <v>125</v>
      </c>
      <c r="O346">
        <v>2</v>
      </c>
      <c r="P346" t="s">
        <v>2499</v>
      </c>
      <c r="Q346" t="s">
        <v>2500</v>
      </c>
      <c r="R346" t="s">
        <v>159</v>
      </c>
      <c r="S346">
        <v>12</v>
      </c>
      <c r="T346">
        <v>17</v>
      </c>
      <c r="U346">
        <v>179</v>
      </c>
      <c r="V346" t="s">
        <v>2945</v>
      </c>
      <c r="W346" t="s">
        <v>3023</v>
      </c>
      <c r="X346" t="s">
        <v>79</v>
      </c>
    </row>
    <row r="347" spans="1:24">
      <c r="A347">
        <v>17962</v>
      </c>
      <c r="B347" t="s">
        <v>3024</v>
      </c>
      <c r="C347" t="s">
        <v>2162</v>
      </c>
      <c r="D347" t="s">
        <v>2802</v>
      </c>
      <c r="F347" t="s">
        <v>2162</v>
      </c>
      <c r="G347">
        <v>1</v>
      </c>
      <c r="H347">
        <v>250</v>
      </c>
      <c r="I347" t="s">
        <v>2948</v>
      </c>
      <c r="J347" t="s">
        <v>2162</v>
      </c>
      <c r="K347">
        <v>199544.24</v>
      </c>
      <c r="L347">
        <v>1301.8599999999999</v>
      </c>
      <c r="M347">
        <v>1790</v>
      </c>
      <c r="N347" t="s">
        <v>125</v>
      </c>
      <c r="O347">
        <v>2</v>
      </c>
      <c r="P347" t="s">
        <v>2499</v>
      </c>
      <c r="Q347" t="s">
        <v>2500</v>
      </c>
      <c r="R347" t="s">
        <v>159</v>
      </c>
      <c r="S347">
        <v>18</v>
      </c>
      <c r="T347">
        <v>28</v>
      </c>
      <c r="U347">
        <v>179</v>
      </c>
      <c r="V347" t="s">
        <v>2945</v>
      </c>
      <c r="W347" t="s">
        <v>3025</v>
      </c>
      <c r="X347" t="s">
        <v>79</v>
      </c>
    </row>
    <row r="348" spans="1:24">
      <c r="A348">
        <v>17963</v>
      </c>
      <c r="B348" t="s">
        <v>3026</v>
      </c>
      <c r="C348" t="s">
        <v>2162</v>
      </c>
      <c r="D348" t="s">
        <v>10</v>
      </c>
      <c r="F348" t="s">
        <v>2162</v>
      </c>
      <c r="G348">
        <v>52000</v>
      </c>
      <c r="H348">
        <v>880000</v>
      </c>
      <c r="I348" t="s">
        <v>3027</v>
      </c>
      <c r="J348" t="s">
        <v>10</v>
      </c>
      <c r="K348">
        <v>351.7</v>
      </c>
      <c r="L348">
        <v>0.8</v>
      </c>
      <c r="M348">
        <v>1796</v>
      </c>
      <c r="N348" t="s">
        <v>125</v>
      </c>
      <c r="O348">
        <v>2</v>
      </c>
      <c r="P348" t="s">
        <v>2499</v>
      </c>
      <c r="Q348" t="s">
        <v>2500</v>
      </c>
      <c r="R348" t="s">
        <v>159</v>
      </c>
      <c r="S348">
        <v>11</v>
      </c>
      <c r="T348">
        <v>11</v>
      </c>
      <c r="U348">
        <v>179</v>
      </c>
      <c r="V348" t="s">
        <v>2945</v>
      </c>
      <c r="W348" t="s">
        <v>3028</v>
      </c>
      <c r="X348" t="s">
        <v>79</v>
      </c>
    </row>
    <row r="349" spans="1:24">
      <c r="A349">
        <v>17970</v>
      </c>
      <c r="B349" t="s">
        <v>3029</v>
      </c>
      <c r="C349" t="s">
        <v>2162</v>
      </c>
      <c r="F349" t="s">
        <v>2162</v>
      </c>
      <c r="G349">
        <v>1</v>
      </c>
      <c r="H349">
        <v>250</v>
      </c>
      <c r="I349" t="s">
        <v>2948</v>
      </c>
      <c r="J349" t="s">
        <v>2162</v>
      </c>
      <c r="K349">
        <v>199544.24</v>
      </c>
      <c r="L349">
        <v>1301.8599999999999</v>
      </c>
      <c r="M349">
        <v>1790</v>
      </c>
      <c r="N349" t="s">
        <v>79</v>
      </c>
      <c r="O349">
        <v>3</v>
      </c>
      <c r="P349" t="s">
        <v>2499</v>
      </c>
      <c r="Q349" t="s">
        <v>2500</v>
      </c>
      <c r="R349" t="s">
        <v>159</v>
      </c>
      <c r="S349">
        <v>1</v>
      </c>
      <c r="T349">
        <v>1</v>
      </c>
      <c r="U349">
        <v>179</v>
      </c>
      <c r="V349" t="s">
        <v>2945</v>
      </c>
      <c r="W349" t="s">
        <v>3030</v>
      </c>
      <c r="X349" t="s">
        <v>79</v>
      </c>
    </row>
    <row r="350" spans="1:24">
      <c r="A350">
        <v>17971</v>
      </c>
      <c r="B350" t="s">
        <v>3031</v>
      </c>
      <c r="C350" t="s">
        <v>2162</v>
      </c>
      <c r="F350" t="s">
        <v>2162</v>
      </c>
      <c r="G350">
        <v>1</v>
      </c>
      <c r="H350">
        <v>250</v>
      </c>
      <c r="I350" t="s">
        <v>2948</v>
      </c>
      <c r="J350" t="s">
        <v>2162</v>
      </c>
      <c r="K350">
        <v>199544.24</v>
      </c>
      <c r="L350">
        <v>1301.8599999999999</v>
      </c>
      <c r="M350">
        <v>1790</v>
      </c>
      <c r="N350" t="s">
        <v>79</v>
      </c>
      <c r="O350">
        <v>3</v>
      </c>
      <c r="P350" t="s">
        <v>2499</v>
      </c>
      <c r="Q350" t="s">
        <v>2500</v>
      </c>
      <c r="R350" t="s">
        <v>159</v>
      </c>
      <c r="S350">
        <v>5</v>
      </c>
      <c r="T350">
        <v>5</v>
      </c>
      <c r="U350">
        <v>179</v>
      </c>
      <c r="V350" t="s">
        <v>2945</v>
      </c>
      <c r="W350" t="s">
        <v>3032</v>
      </c>
      <c r="X350" t="s">
        <v>79</v>
      </c>
    </row>
    <row r="351" spans="1:24">
      <c r="A351">
        <v>17972</v>
      </c>
      <c r="B351" t="s">
        <v>3033</v>
      </c>
      <c r="C351" t="s">
        <v>2162</v>
      </c>
      <c r="F351" t="s">
        <v>2162</v>
      </c>
      <c r="G351">
        <v>1</v>
      </c>
      <c r="H351">
        <v>250</v>
      </c>
      <c r="I351" t="s">
        <v>2948</v>
      </c>
      <c r="J351" t="s">
        <v>2162</v>
      </c>
      <c r="K351">
        <v>199544.24</v>
      </c>
      <c r="L351">
        <v>1301.8599999999999</v>
      </c>
      <c r="M351">
        <v>1790</v>
      </c>
      <c r="N351" t="s">
        <v>125</v>
      </c>
      <c r="O351">
        <v>3</v>
      </c>
      <c r="P351" t="s">
        <v>2499</v>
      </c>
      <c r="Q351" t="s">
        <v>2500</v>
      </c>
      <c r="R351" t="s">
        <v>159</v>
      </c>
      <c r="S351">
        <v>5</v>
      </c>
      <c r="T351">
        <v>5</v>
      </c>
      <c r="U351">
        <v>179</v>
      </c>
      <c r="V351" t="s">
        <v>2945</v>
      </c>
      <c r="W351" t="s">
        <v>3034</v>
      </c>
      <c r="X351" t="s">
        <v>79</v>
      </c>
    </row>
    <row r="352" spans="1:24">
      <c r="A352">
        <v>17981</v>
      </c>
      <c r="B352" t="s">
        <v>3035</v>
      </c>
      <c r="C352" t="s">
        <v>2162</v>
      </c>
      <c r="D352" t="s">
        <v>2802</v>
      </c>
      <c r="E352" t="s">
        <v>2775</v>
      </c>
      <c r="F352" t="s">
        <v>2162</v>
      </c>
      <c r="G352">
        <v>1</v>
      </c>
      <c r="H352">
        <v>1</v>
      </c>
      <c r="I352" t="s">
        <v>3036</v>
      </c>
      <c r="J352" t="s">
        <v>2162</v>
      </c>
      <c r="K352">
        <v>179871.98</v>
      </c>
      <c r="L352">
        <v>731.26</v>
      </c>
      <c r="M352">
        <v>1798</v>
      </c>
      <c r="N352" t="s">
        <v>125</v>
      </c>
      <c r="O352">
        <v>2</v>
      </c>
      <c r="P352" t="s">
        <v>2499</v>
      </c>
      <c r="Q352" t="s">
        <v>2500</v>
      </c>
      <c r="R352" t="s">
        <v>159</v>
      </c>
      <c r="S352">
        <v>4</v>
      </c>
      <c r="T352">
        <v>5</v>
      </c>
      <c r="U352">
        <v>179</v>
      </c>
      <c r="V352" t="s">
        <v>2945</v>
      </c>
      <c r="W352" t="s">
        <v>3037</v>
      </c>
      <c r="X352" t="s">
        <v>79</v>
      </c>
    </row>
    <row r="353" spans="1:24">
      <c r="A353">
        <v>17991</v>
      </c>
      <c r="B353" t="s">
        <v>3038</v>
      </c>
      <c r="C353" t="s">
        <v>2162</v>
      </c>
      <c r="D353" t="s">
        <v>2802</v>
      </c>
      <c r="F353" t="s">
        <v>2162</v>
      </c>
      <c r="G353">
        <v>1</v>
      </c>
      <c r="H353">
        <v>1</v>
      </c>
      <c r="I353" t="s">
        <v>3039</v>
      </c>
      <c r="J353" t="s">
        <v>2162</v>
      </c>
      <c r="K353">
        <v>143355.72</v>
      </c>
      <c r="L353">
        <v>3196.21</v>
      </c>
      <c r="M353">
        <v>1799</v>
      </c>
      <c r="N353" t="s">
        <v>125</v>
      </c>
      <c r="O353">
        <v>2</v>
      </c>
      <c r="P353" t="s">
        <v>2499</v>
      </c>
      <c r="Q353" t="s">
        <v>2500</v>
      </c>
      <c r="R353" t="s">
        <v>159</v>
      </c>
      <c r="S353">
        <v>18</v>
      </c>
      <c r="T353">
        <v>21</v>
      </c>
      <c r="U353">
        <v>179</v>
      </c>
      <c r="V353" t="s">
        <v>2945</v>
      </c>
      <c r="W353" t="s">
        <v>3040</v>
      </c>
      <c r="X353" t="s">
        <v>79</v>
      </c>
    </row>
    <row r="354" spans="1:24">
      <c r="A354">
        <v>17992</v>
      </c>
      <c r="B354" t="s">
        <v>3041</v>
      </c>
      <c r="C354" t="s">
        <v>2162</v>
      </c>
      <c r="D354" t="s">
        <v>2802</v>
      </c>
      <c r="F354" t="s">
        <v>2162</v>
      </c>
      <c r="G354">
        <v>1</v>
      </c>
      <c r="H354">
        <v>1</v>
      </c>
      <c r="I354" t="s">
        <v>3039</v>
      </c>
      <c r="J354" t="s">
        <v>2162</v>
      </c>
      <c r="K354">
        <v>143355.72</v>
      </c>
      <c r="L354">
        <v>3196.21</v>
      </c>
      <c r="M354">
        <v>1799</v>
      </c>
      <c r="N354" t="s">
        <v>125</v>
      </c>
      <c r="O354">
        <v>2</v>
      </c>
      <c r="P354" t="s">
        <v>2499</v>
      </c>
      <c r="Q354" t="s">
        <v>2500</v>
      </c>
      <c r="R354" t="s">
        <v>159</v>
      </c>
      <c r="S354">
        <v>87</v>
      </c>
      <c r="T354">
        <v>89</v>
      </c>
      <c r="U354">
        <v>179</v>
      </c>
      <c r="V354" t="s">
        <v>2945</v>
      </c>
      <c r="W354" t="s">
        <v>3042</v>
      </c>
      <c r="X354" t="s">
        <v>79</v>
      </c>
    </row>
    <row r="355" spans="1:24">
      <c r="A355">
        <v>21101</v>
      </c>
      <c r="B355" t="s">
        <v>3043</v>
      </c>
      <c r="C355" t="s">
        <v>10</v>
      </c>
      <c r="D355" t="s">
        <v>10</v>
      </c>
      <c r="F355" t="s">
        <v>2162</v>
      </c>
      <c r="G355">
        <v>6000</v>
      </c>
      <c r="H355">
        <v>56000</v>
      </c>
      <c r="I355" t="s">
        <v>3044</v>
      </c>
      <c r="J355" t="s">
        <v>10</v>
      </c>
      <c r="K355">
        <v>378.78</v>
      </c>
      <c r="L355">
        <v>7.62</v>
      </c>
      <c r="M355">
        <v>2114</v>
      </c>
      <c r="N355" t="s">
        <v>125</v>
      </c>
      <c r="O355">
        <v>1</v>
      </c>
      <c r="P355" t="s">
        <v>2601</v>
      </c>
      <c r="Q355" t="s">
        <v>2460</v>
      </c>
      <c r="R355" t="s">
        <v>2199</v>
      </c>
      <c r="S355">
        <v>17</v>
      </c>
      <c r="T355">
        <v>21</v>
      </c>
      <c r="U355">
        <v>211</v>
      </c>
      <c r="V355" t="s">
        <v>3045</v>
      </c>
      <c r="W355" t="s">
        <v>3046</v>
      </c>
      <c r="X355" t="s">
        <v>79</v>
      </c>
    </row>
    <row r="356" spans="1:24">
      <c r="A356">
        <v>21103</v>
      </c>
      <c r="B356" t="s">
        <v>3047</v>
      </c>
      <c r="C356" t="s">
        <v>10</v>
      </c>
      <c r="D356" t="s">
        <v>10</v>
      </c>
      <c r="G356">
        <v>17000</v>
      </c>
      <c r="H356">
        <v>100000</v>
      </c>
      <c r="I356" t="s">
        <v>3048</v>
      </c>
      <c r="J356" t="s">
        <v>10</v>
      </c>
      <c r="K356">
        <v>997</v>
      </c>
      <c r="L356">
        <v>3.66</v>
      </c>
      <c r="M356">
        <v>2113</v>
      </c>
      <c r="N356" t="s">
        <v>125</v>
      </c>
      <c r="O356">
        <v>1</v>
      </c>
      <c r="P356" t="s">
        <v>2467</v>
      </c>
      <c r="Q356" t="s">
        <v>2101</v>
      </c>
      <c r="R356" t="s">
        <v>2199</v>
      </c>
      <c r="S356">
        <v>27</v>
      </c>
      <c r="T356">
        <v>30</v>
      </c>
      <c r="U356">
        <v>211</v>
      </c>
      <c r="V356" t="s">
        <v>3045</v>
      </c>
      <c r="W356" t="s">
        <v>3049</v>
      </c>
      <c r="X356" t="s">
        <v>79</v>
      </c>
    </row>
    <row r="357" spans="1:24">
      <c r="A357">
        <v>21104</v>
      </c>
      <c r="B357" t="s">
        <v>3050</v>
      </c>
      <c r="C357" t="s">
        <v>10</v>
      </c>
      <c r="D357" t="s">
        <v>10</v>
      </c>
      <c r="G357">
        <v>28000</v>
      </c>
      <c r="H357">
        <v>200000</v>
      </c>
      <c r="I357" t="s">
        <v>3051</v>
      </c>
      <c r="J357" t="s">
        <v>10</v>
      </c>
      <c r="K357">
        <v>700</v>
      </c>
      <c r="L357">
        <v>4.46</v>
      </c>
      <c r="M357">
        <v>2111</v>
      </c>
      <c r="N357" t="s">
        <v>125</v>
      </c>
      <c r="O357">
        <v>1</v>
      </c>
      <c r="P357" t="s">
        <v>2467</v>
      </c>
      <c r="Q357" t="s">
        <v>2101</v>
      </c>
      <c r="R357" t="s">
        <v>2199</v>
      </c>
      <c r="S357">
        <v>35</v>
      </c>
      <c r="T357">
        <v>36</v>
      </c>
      <c r="U357">
        <v>211</v>
      </c>
      <c r="V357" t="s">
        <v>3045</v>
      </c>
      <c r="W357" t="s">
        <v>3052</v>
      </c>
      <c r="X357" t="s">
        <v>79</v>
      </c>
    </row>
    <row r="358" spans="1:24">
      <c r="A358">
        <v>21105</v>
      </c>
      <c r="B358" t="s">
        <v>3053</v>
      </c>
      <c r="C358" t="s">
        <v>10</v>
      </c>
      <c r="D358" t="s">
        <v>10</v>
      </c>
      <c r="G358">
        <v>28000</v>
      </c>
      <c r="H358">
        <v>200000</v>
      </c>
      <c r="I358" t="s">
        <v>3051</v>
      </c>
      <c r="J358" t="s">
        <v>10</v>
      </c>
      <c r="K358">
        <v>700</v>
      </c>
      <c r="L358">
        <v>4.46</v>
      </c>
      <c r="M358">
        <v>2111</v>
      </c>
      <c r="N358" t="s">
        <v>125</v>
      </c>
      <c r="O358">
        <v>1</v>
      </c>
      <c r="P358" t="s">
        <v>2467</v>
      </c>
      <c r="Q358" t="s">
        <v>2101</v>
      </c>
      <c r="R358" t="s">
        <v>2199</v>
      </c>
      <c r="S358">
        <v>249</v>
      </c>
      <c r="T358">
        <v>401</v>
      </c>
      <c r="U358">
        <v>211</v>
      </c>
      <c r="V358" t="s">
        <v>3045</v>
      </c>
      <c r="W358" t="s">
        <v>3054</v>
      </c>
      <c r="X358" t="s">
        <v>79</v>
      </c>
    </row>
    <row r="359" spans="1:24">
      <c r="A359">
        <v>21106</v>
      </c>
      <c r="B359" t="s">
        <v>3055</v>
      </c>
      <c r="C359" t="s">
        <v>10</v>
      </c>
      <c r="D359" t="s">
        <v>10</v>
      </c>
      <c r="G359">
        <v>9900</v>
      </c>
      <c r="H359">
        <v>120000</v>
      </c>
      <c r="I359" t="s">
        <v>3056</v>
      </c>
      <c r="J359" t="s">
        <v>10</v>
      </c>
      <c r="K359">
        <v>485.28</v>
      </c>
      <c r="L359">
        <v>4.41</v>
      </c>
      <c r="M359">
        <v>2112</v>
      </c>
      <c r="N359" t="s">
        <v>125</v>
      </c>
      <c r="O359">
        <v>1</v>
      </c>
      <c r="P359" t="s">
        <v>2467</v>
      </c>
      <c r="Q359" t="s">
        <v>2101</v>
      </c>
      <c r="R359" t="s">
        <v>2199</v>
      </c>
      <c r="S359">
        <v>60</v>
      </c>
      <c r="T359">
        <v>454</v>
      </c>
      <c r="U359">
        <v>211</v>
      </c>
      <c r="V359" t="s">
        <v>3045</v>
      </c>
      <c r="W359" t="s">
        <v>3057</v>
      </c>
      <c r="X359" t="s">
        <v>79</v>
      </c>
    </row>
    <row r="360" spans="1:24">
      <c r="A360">
        <v>21107</v>
      </c>
      <c r="B360" t="s">
        <v>3058</v>
      </c>
      <c r="C360" t="s">
        <v>10</v>
      </c>
      <c r="D360" t="s">
        <v>10</v>
      </c>
      <c r="G360">
        <v>8400</v>
      </c>
      <c r="H360">
        <v>1000000</v>
      </c>
      <c r="I360" t="s">
        <v>2780</v>
      </c>
      <c r="J360" t="s">
        <v>10</v>
      </c>
      <c r="K360">
        <v>587</v>
      </c>
      <c r="L360">
        <v>4.5999999999999996</v>
      </c>
      <c r="M360">
        <v>6100</v>
      </c>
      <c r="N360" t="s">
        <v>125</v>
      </c>
      <c r="O360">
        <v>1</v>
      </c>
      <c r="P360" t="s">
        <v>2467</v>
      </c>
      <c r="Q360" t="s">
        <v>2101</v>
      </c>
      <c r="R360" t="s">
        <v>2199</v>
      </c>
      <c r="S360">
        <v>38</v>
      </c>
      <c r="T360">
        <v>421</v>
      </c>
      <c r="U360">
        <v>211</v>
      </c>
      <c r="V360" t="s">
        <v>3045</v>
      </c>
      <c r="W360" t="s">
        <v>3059</v>
      </c>
      <c r="X360" t="s">
        <v>79</v>
      </c>
    </row>
    <row r="361" spans="1:24">
      <c r="A361">
        <v>21108</v>
      </c>
      <c r="B361" t="s">
        <v>3060</v>
      </c>
      <c r="C361" t="s">
        <v>10</v>
      </c>
      <c r="D361" t="s">
        <v>10</v>
      </c>
      <c r="G361">
        <v>9900</v>
      </c>
      <c r="H361">
        <v>120000</v>
      </c>
      <c r="I361" t="s">
        <v>3056</v>
      </c>
      <c r="J361" t="s">
        <v>10</v>
      </c>
      <c r="K361">
        <v>485.28</v>
      </c>
      <c r="L361">
        <v>4.41</v>
      </c>
      <c r="M361">
        <v>2112</v>
      </c>
      <c r="N361" t="s">
        <v>125</v>
      </c>
      <c r="O361">
        <v>1</v>
      </c>
      <c r="P361" t="s">
        <v>2459</v>
      </c>
      <c r="Q361" t="s">
        <v>2460</v>
      </c>
      <c r="R361" t="s">
        <v>2199</v>
      </c>
      <c r="S361">
        <v>38</v>
      </c>
      <c r="T361">
        <v>73</v>
      </c>
      <c r="U361">
        <v>211</v>
      </c>
      <c r="V361" t="s">
        <v>3045</v>
      </c>
      <c r="W361" t="s">
        <v>3061</v>
      </c>
      <c r="X361" t="s">
        <v>79</v>
      </c>
    </row>
    <row r="362" spans="1:24">
      <c r="A362">
        <v>21109</v>
      </c>
      <c r="B362" t="s">
        <v>3062</v>
      </c>
      <c r="C362" t="s">
        <v>2162</v>
      </c>
      <c r="F362" t="s">
        <v>2162</v>
      </c>
      <c r="G362">
        <v>1</v>
      </c>
      <c r="H362">
        <v>1</v>
      </c>
      <c r="I362" t="s">
        <v>3063</v>
      </c>
      <c r="J362" t="s">
        <v>2162</v>
      </c>
      <c r="K362">
        <v>260544.14</v>
      </c>
      <c r="L362">
        <v>433.26</v>
      </c>
      <c r="M362">
        <v>1791</v>
      </c>
      <c r="N362" t="s">
        <v>125</v>
      </c>
      <c r="O362">
        <v>1</v>
      </c>
      <c r="P362" t="s">
        <v>2459</v>
      </c>
      <c r="Q362" t="s">
        <v>2460</v>
      </c>
      <c r="R362" t="s">
        <v>159</v>
      </c>
      <c r="S362">
        <v>0</v>
      </c>
      <c r="T362">
        <v>0</v>
      </c>
      <c r="U362">
        <v>211</v>
      </c>
      <c r="V362" t="s">
        <v>3045</v>
      </c>
      <c r="W362" t="s">
        <v>3064</v>
      </c>
      <c r="X362" t="s">
        <v>79</v>
      </c>
    </row>
    <row r="363" spans="1:24">
      <c r="A363">
        <v>21110</v>
      </c>
      <c r="B363" t="s">
        <v>3065</v>
      </c>
      <c r="C363" t="s">
        <v>10</v>
      </c>
      <c r="D363" t="s">
        <v>10</v>
      </c>
      <c r="G363">
        <v>14000</v>
      </c>
      <c r="H363">
        <v>280000</v>
      </c>
      <c r="I363" t="s">
        <v>3066</v>
      </c>
      <c r="J363" t="s">
        <v>10</v>
      </c>
      <c r="K363">
        <v>494.8</v>
      </c>
      <c r="L363">
        <v>3.51</v>
      </c>
      <c r="M363">
        <v>2116</v>
      </c>
      <c r="N363" t="s">
        <v>125</v>
      </c>
      <c r="O363">
        <v>3</v>
      </c>
      <c r="P363" t="s">
        <v>2459</v>
      </c>
      <c r="Q363" t="s">
        <v>2460</v>
      </c>
      <c r="R363" t="s">
        <v>2199</v>
      </c>
      <c r="S363">
        <v>16</v>
      </c>
      <c r="T363">
        <v>25</v>
      </c>
      <c r="U363">
        <v>211</v>
      </c>
      <c r="V363" t="s">
        <v>3045</v>
      </c>
      <c r="W363" t="s">
        <v>3067</v>
      </c>
      <c r="X363" t="s">
        <v>79</v>
      </c>
    </row>
    <row r="364" spans="1:24">
      <c r="A364">
        <v>21111</v>
      </c>
      <c r="B364" t="s">
        <v>3068</v>
      </c>
      <c r="C364" t="s">
        <v>10</v>
      </c>
      <c r="D364" t="s">
        <v>10</v>
      </c>
      <c r="G364">
        <v>14000</v>
      </c>
      <c r="H364">
        <v>280000</v>
      </c>
      <c r="I364" t="s">
        <v>3066</v>
      </c>
      <c r="J364" t="s">
        <v>10</v>
      </c>
      <c r="K364">
        <v>494.8</v>
      </c>
      <c r="L364">
        <v>3.51</v>
      </c>
      <c r="M364">
        <v>2116</v>
      </c>
      <c r="N364" t="s">
        <v>125</v>
      </c>
      <c r="O364">
        <v>3</v>
      </c>
      <c r="P364" t="s">
        <v>2459</v>
      </c>
      <c r="Q364" t="s">
        <v>2460</v>
      </c>
      <c r="R364" t="s">
        <v>2199</v>
      </c>
      <c r="S364">
        <v>14</v>
      </c>
      <c r="T364">
        <v>19</v>
      </c>
      <c r="U364">
        <v>211</v>
      </c>
      <c r="V364" t="s">
        <v>3045</v>
      </c>
      <c r="W364" t="s">
        <v>3069</v>
      </c>
      <c r="X364" t="s">
        <v>79</v>
      </c>
    </row>
    <row r="365" spans="1:24">
      <c r="A365">
        <v>21112</v>
      </c>
      <c r="B365" t="s">
        <v>3070</v>
      </c>
      <c r="C365" t="s">
        <v>10</v>
      </c>
      <c r="D365" t="s">
        <v>10</v>
      </c>
      <c r="G365">
        <v>14000</v>
      </c>
      <c r="H365">
        <v>280000</v>
      </c>
      <c r="I365" t="s">
        <v>3066</v>
      </c>
      <c r="J365" t="s">
        <v>10</v>
      </c>
      <c r="K365">
        <v>494.8</v>
      </c>
      <c r="L365">
        <v>3.51</v>
      </c>
      <c r="M365">
        <v>2116</v>
      </c>
      <c r="N365" t="s">
        <v>125</v>
      </c>
      <c r="O365">
        <v>3</v>
      </c>
      <c r="P365" t="s">
        <v>2459</v>
      </c>
      <c r="Q365" t="s">
        <v>2460</v>
      </c>
      <c r="R365" t="s">
        <v>2199</v>
      </c>
      <c r="S365">
        <v>7</v>
      </c>
      <c r="T365">
        <v>9</v>
      </c>
      <c r="U365">
        <v>211</v>
      </c>
      <c r="V365" t="s">
        <v>3045</v>
      </c>
      <c r="W365" t="s">
        <v>3071</v>
      </c>
      <c r="X365" t="s">
        <v>79</v>
      </c>
    </row>
    <row r="366" spans="1:24">
      <c r="A366">
        <v>21113</v>
      </c>
      <c r="B366" t="s">
        <v>3072</v>
      </c>
      <c r="C366" t="s">
        <v>10</v>
      </c>
      <c r="D366" t="s">
        <v>10</v>
      </c>
      <c r="G366">
        <v>14000</v>
      </c>
      <c r="H366">
        <v>280000</v>
      </c>
      <c r="I366" t="s">
        <v>3066</v>
      </c>
      <c r="J366" t="s">
        <v>10</v>
      </c>
      <c r="K366">
        <v>494.8</v>
      </c>
      <c r="L366">
        <v>3.51</v>
      </c>
      <c r="M366">
        <v>2116</v>
      </c>
      <c r="N366" t="s">
        <v>125</v>
      </c>
      <c r="O366">
        <v>3</v>
      </c>
      <c r="P366" t="s">
        <v>2459</v>
      </c>
      <c r="Q366" t="s">
        <v>2460</v>
      </c>
      <c r="R366" t="s">
        <v>2199</v>
      </c>
      <c r="S366">
        <v>5</v>
      </c>
      <c r="T366">
        <v>9</v>
      </c>
      <c r="U366">
        <v>211</v>
      </c>
      <c r="V366" t="s">
        <v>3045</v>
      </c>
      <c r="W366" t="s">
        <v>3073</v>
      </c>
      <c r="X366" t="s">
        <v>79</v>
      </c>
    </row>
    <row r="367" spans="1:24">
      <c r="A367">
        <v>21114</v>
      </c>
      <c r="B367" t="s">
        <v>3074</v>
      </c>
      <c r="C367" t="s">
        <v>10</v>
      </c>
      <c r="D367" t="s">
        <v>10</v>
      </c>
      <c r="G367">
        <v>14000</v>
      </c>
      <c r="H367">
        <v>280000</v>
      </c>
      <c r="I367" t="s">
        <v>3066</v>
      </c>
      <c r="J367" t="s">
        <v>10</v>
      </c>
      <c r="K367">
        <v>494.8</v>
      </c>
      <c r="L367">
        <v>3.51</v>
      </c>
      <c r="M367">
        <v>2116</v>
      </c>
      <c r="N367" t="s">
        <v>125</v>
      </c>
      <c r="O367">
        <v>3</v>
      </c>
      <c r="P367" t="s">
        <v>2459</v>
      </c>
      <c r="Q367" t="s">
        <v>2460</v>
      </c>
      <c r="R367" t="s">
        <v>2199</v>
      </c>
      <c r="S367">
        <v>20</v>
      </c>
      <c r="T367">
        <v>26</v>
      </c>
      <c r="U367">
        <v>211</v>
      </c>
      <c r="V367" t="s">
        <v>3045</v>
      </c>
      <c r="W367" t="s">
        <v>3075</v>
      </c>
      <c r="X367" t="s">
        <v>79</v>
      </c>
    </row>
    <row r="368" spans="1:24">
      <c r="A368">
        <v>21115</v>
      </c>
      <c r="B368" t="s">
        <v>3076</v>
      </c>
      <c r="C368" t="s">
        <v>10</v>
      </c>
      <c r="D368" t="s">
        <v>10</v>
      </c>
      <c r="G368">
        <v>9900</v>
      </c>
      <c r="H368">
        <v>120000</v>
      </c>
      <c r="I368" t="s">
        <v>3056</v>
      </c>
      <c r="J368" t="s">
        <v>10</v>
      </c>
      <c r="K368">
        <v>485.28</v>
      </c>
      <c r="L368">
        <v>4.41</v>
      </c>
      <c r="M368">
        <v>2112</v>
      </c>
      <c r="N368" t="s">
        <v>79</v>
      </c>
      <c r="O368">
        <v>1</v>
      </c>
      <c r="P368" t="s">
        <v>2459</v>
      </c>
      <c r="Q368" t="s">
        <v>2460</v>
      </c>
      <c r="R368" t="s">
        <v>2199</v>
      </c>
      <c r="S368">
        <v>82</v>
      </c>
      <c r="T368">
        <v>88</v>
      </c>
      <c r="U368">
        <v>211</v>
      </c>
      <c r="V368" t="s">
        <v>3045</v>
      </c>
      <c r="W368" t="s">
        <v>3077</v>
      </c>
      <c r="X368" t="s">
        <v>79</v>
      </c>
    </row>
    <row r="369" spans="1:24">
      <c r="A369">
        <v>21116</v>
      </c>
      <c r="B369" t="s">
        <v>3078</v>
      </c>
      <c r="C369" t="s">
        <v>10</v>
      </c>
      <c r="D369" t="s">
        <v>10</v>
      </c>
      <c r="G369">
        <v>14000</v>
      </c>
      <c r="H369">
        <v>280000</v>
      </c>
      <c r="I369" t="s">
        <v>3066</v>
      </c>
      <c r="J369" t="s">
        <v>10</v>
      </c>
      <c r="K369">
        <v>494.8</v>
      </c>
      <c r="L369">
        <v>3.51</v>
      </c>
      <c r="M369">
        <v>2116</v>
      </c>
      <c r="N369" t="s">
        <v>125</v>
      </c>
      <c r="O369">
        <v>1</v>
      </c>
      <c r="P369" t="s">
        <v>2459</v>
      </c>
      <c r="Q369" t="s">
        <v>2460</v>
      </c>
      <c r="R369" t="s">
        <v>2199</v>
      </c>
      <c r="S369">
        <v>11</v>
      </c>
      <c r="T369">
        <v>37</v>
      </c>
      <c r="U369">
        <v>211</v>
      </c>
      <c r="V369" t="s">
        <v>3045</v>
      </c>
      <c r="W369" t="s">
        <v>3079</v>
      </c>
      <c r="X369" t="s">
        <v>79</v>
      </c>
    </row>
    <row r="370" spans="1:24">
      <c r="A370">
        <v>21117</v>
      </c>
      <c r="B370" t="s">
        <v>3080</v>
      </c>
      <c r="C370" t="s">
        <v>10</v>
      </c>
      <c r="D370" t="s">
        <v>10</v>
      </c>
      <c r="G370">
        <v>14000</v>
      </c>
      <c r="H370">
        <v>280000</v>
      </c>
      <c r="I370" t="s">
        <v>3066</v>
      </c>
      <c r="J370" t="s">
        <v>10</v>
      </c>
      <c r="K370">
        <v>494.8</v>
      </c>
      <c r="L370">
        <v>3.51</v>
      </c>
      <c r="M370">
        <v>2116</v>
      </c>
      <c r="N370" t="s">
        <v>125</v>
      </c>
      <c r="O370">
        <v>2</v>
      </c>
      <c r="P370" t="s">
        <v>2459</v>
      </c>
      <c r="Q370" t="s">
        <v>2460</v>
      </c>
      <c r="R370" t="s">
        <v>2199</v>
      </c>
      <c r="S370">
        <v>4</v>
      </c>
      <c r="T370">
        <v>5</v>
      </c>
      <c r="U370">
        <v>211</v>
      </c>
      <c r="V370" t="s">
        <v>3045</v>
      </c>
      <c r="W370" t="s">
        <v>3081</v>
      </c>
      <c r="X370" t="s">
        <v>79</v>
      </c>
    </row>
    <row r="371" spans="1:24">
      <c r="A371">
        <v>21120</v>
      </c>
      <c r="B371" t="s">
        <v>3082</v>
      </c>
      <c r="C371" t="s">
        <v>10</v>
      </c>
      <c r="D371" t="s">
        <v>10</v>
      </c>
      <c r="G371">
        <v>14000</v>
      </c>
      <c r="H371">
        <v>280000</v>
      </c>
      <c r="I371" t="s">
        <v>3066</v>
      </c>
      <c r="J371" t="s">
        <v>10</v>
      </c>
      <c r="K371">
        <v>494.8</v>
      </c>
      <c r="L371">
        <v>3.51</v>
      </c>
      <c r="M371">
        <v>2116</v>
      </c>
      <c r="N371" t="s">
        <v>125</v>
      </c>
      <c r="O371">
        <v>3</v>
      </c>
      <c r="P371" t="s">
        <v>2601</v>
      </c>
      <c r="Q371" t="s">
        <v>2460</v>
      </c>
      <c r="R371" t="s">
        <v>2199</v>
      </c>
      <c r="S371">
        <v>6</v>
      </c>
      <c r="T371">
        <v>8</v>
      </c>
      <c r="U371">
        <v>211</v>
      </c>
      <c r="V371" t="s">
        <v>3045</v>
      </c>
      <c r="W371" t="s">
        <v>3083</v>
      </c>
      <c r="X371" t="s">
        <v>79</v>
      </c>
    </row>
    <row r="372" spans="1:24">
      <c r="A372">
        <v>21121</v>
      </c>
      <c r="B372" t="s">
        <v>3084</v>
      </c>
      <c r="C372" t="s">
        <v>10</v>
      </c>
      <c r="D372" t="s">
        <v>10</v>
      </c>
      <c r="G372">
        <v>9900</v>
      </c>
      <c r="H372">
        <v>120000</v>
      </c>
      <c r="I372" t="s">
        <v>3056</v>
      </c>
      <c r="J372" t="s">
        <v>10</v>
      </c>
      <c r="K372">
        <v>485.28</v>
      </c>
      <c r="L372">
        <v>4.41</v>
      </c>
      <c r="M372">
        <v>2112</v>
      </c>
      <c r="N372" t="s">
        <v>125</v>
      </c>
      <c r="O372">
        <v>1</v>
      </c>
      <c r="P372" t="s">
        <v>2601</v>
      </c>
      <c r="Q372" t="s">
        <v>2460</v>
      </c>
      <c r="R372" t="s">
        <v>2199</v>
      </c>
      <c r="S372">
        <v>45</v>
      </c>
      <c r="T372">
        <v>66</v>
      </c>
      <c r="U372">
        <v>211</v>
      </c>
      <c r="V372" t="s">
        <v>3045</v>
      </c>
      <c r="W372" t="s">
        <v>3085</v>
      </c>
      <c r="X372" t="s">
        <v>79</v>
      </c>
    </row>
    <row r="373" spans="1:24">
      <c r="A373">
        <v>21122</v>
      </c>
      <c r="B373" t="s">
        <v>3086</v>
      </c>
      <c r="C373" t="s">
        <v>10</v>
      </c>
      <c r="D373" t="s">
        <v>10</v>
      </c>
      <c r="G373">
        <v>14000</v>
      </c>
      <c r="H373">
        <v>280000</v>
      </c>
      <c r="I373" t="s">
        <v>3066</v>
      </c>
      <c r="J373" t="s">
        <v>10</v>
      </c>
      <c r="K373">
        <v>494.8</v>
      </c>
      <c r="L373">
        <v>3.51</v>
      </c>
      <c r="M373">
        <v>2116</v>
      </c>
      <c r="N373" t="s">
        <v>125</v>
      </c>
      <c r="O373">
        <v>3</v>
      </c>
      <c r="P373" t="s">
        <v>2601</v>
      </c>
      <c r="Q373" t="s">
        <v>2460</v>
      </c>
      <c r="R373" t="s">
        <v>2199</v>
      </c>
      <c r="S373">
        <v>1</v>
      </c>
      <c r="T373">
        <v>4</v>
      </c>
      <c r="U373">
        <v>211</v>
      </c>
      <c r="V373" t="s">
        <v>3045</v>
      </c>
      <c r="W373" t="s">
        <v>3087</v>
      </c>
      <c r="X373" t="s">
        <v>79</v>
      </c>
    </row>
    <row r="374" spans="1:24">
      <c r="A374">
        <v>21123</v>
      </c>
      <c r="B374" t="s">
        <v>3088</v>
      </c>
      <c r="C374" t="s">
        <v>10</v>
      </c>
      <c r="D374" t="s">
        <v>10</v>
      </c>
      <c r="G374">
        <v>14000</v>
      </c>
      <c r="H374">
        <v>280000</v>
      </c>
      <c r="I374" t="s">
        <v>3066</v>
      </c>
      <c r="J374" t="s">
        <v>10</v>
      </c>
      <c r="K374">
        <v>494.8</v>
      </c>
      <c r="L374">
        <v>3.51</v>
      </c>
      <c r="M374">
        <v>2116</v>
      </c>
      <c r="N374" t="s">
        <v>125</v>
      </c>
      <c r="O374">
        <v>3</v>
      </c>
      <c r="P374" t="s">
        <v>2601</v>
      </c>
      <c r="Q374" t="s">
        <v>2460</v>
      </c>
      <c r="R374" t="s">
        <v>2199</v>
      </c>
      <c r="S374">
        <v>2</v>
      </c>
      <c r="T374">
        <v>3</v>
      </c>
      <c r="U374">
        <v>211</v>
      </c>
      <c r="V374" t="s">
        <v>3045</v>
      </c>
      <c r="W374" t="s">
        <v>3089</v>
      </c>
      <c r="X374" t="s">
        <v>79</v>
      </c>
    </row>
    <row r="375" spans="1:24">
      <c r="A375">
        <v>21124</v>
      </c>
      <c r="B375" t="s">
        <v>3090</v>
      </c>
      <c r="C375" t="s">
        <v>10</v>
      </c>
      <c r="D375" t="s">
        <v>10</v>
      </c>
      <c r="G375">
        <v>14000</v>
      </c>
      <c r="H375">
        <v>280000</v>
      </c>
      <c r="I375" t="s">
        <v>3066</v>
      </c>
      <c r="J375" t="s">
        <v>10</v>
      </c>
      <c r="K375">
        <v>494.8</v>
      </c>
      <c r="L375">
        <v>3.51</v>
      </c>
      <c r="M375">
        <v>2116</v>
      </c>
      <c r="N375" t="s">
        <v>125</v>
      </c>
      <c r="O375">
        <v>3</v>
      </c>
      <c r="P375" t="s">
        <v>2601</v>
      </c>
      <c r="Q375" t="s">
        <v>2460</v>
      </c>
      <c r="R375" t="s">
        <v>2199</v>
      </c>
      <c r="S375">
        <v>5</v>
      </c>
      <c r="T375">
        <v>8</v>
      </c>
      <c r="U375">
        <v>211</v>
      </c>
      <c r="V375" t="s">
        <v>3045</v>
      </c>
      <c r="W375" t="s">
        <v>3091</v>
      </c>
      <c r="X375" t="s">
        <v>79</v>
      </c>
    </row>
    <row r="376" spans="1:24">
      <c r="A376">
        <v>21125</v>
      </c>
      <c r="B376" t="s">
        <v>3092</v>
      </c>
      <c r="C376" t="s">
        <v>10</v>
      </c>
      <c r="D376" t="s">
        <v>10</v>
      </c>
      <c r="G376">
        <v>14000</v>
      </c>
      <c r="H376">
        <v>280000</v>
      </c>
      <c r="I376" t="s">
        <v>3066</v>
      </c>
      <c r="J376" t="s">
        <v>10</v>
      </c>
      <c r="K376">
        <v>494.8</v>
      </c>
      <c r="L376">
        <v>3.51</v>
      </c>
      <c r="M376">
        <v>2116</v>
      </c>
      <c r="N376" t="s">
        <v>125</v>
      </c>
      <c r="O376">
        <v>3</v>
      </c>
      <c r="P376" t="s">
        <v>2601</v>
      </c>
      <c r="Q376" t="s">
        <v>2460</v>
      </c>
      <c r="R376" t="s">
        <v>2199</v>
      </c>
      <c r="S376">
        <v>0</v>
      </c>
      <c r="T376">
        <v>1</v>
      </c>
      <c r="U376">
        <v>211</v>
      </c>
      <c r="V376" t="s">
        <v>3045</v>
      </c>
      <c r="W376" t="s">
        <v>3093</v>
      </c>
      <c r="X376" t="s">
        <v>79</v>
      </c>
    </row>
    <row r="377" spans="1:24">
      <c r="A377">
        <v>21126</v>
      </c>
      <c r="B377" t="s">
        <v>3094</v>
      </c>
      <c r="C377" t="s">
        <v>10</v>
      </c>
      <c r="D377" t="s">
        <v>10</v>
      </c>
      <c r="G377">
        <v>14000</v>
      </c>
      <c r="H377">
        <v>280000</v>
      </c>
      <c r="I377" t="s">
        <v>3066</v>
      </c>
      <c r="J377" t="s">
        <v>10</v>
      </c>
      <c r="K377">
        <v>494.8</v>
      </c>
      <c r="L377">
        <v>3.51</v>
      </c>
      <c r="M377">
        <v>2116</v>
      </c>
      <c r="N377" t="s">
        <v>125</v>
      </c>
      <c r="O377">
        <v>3</v>
      </c>
      <c r="P377" t="s">
        <v>2601</v>
      </c>
      <c r="Q377" t="s">
        <v>2460</v>
      </c>
      <c r="R377" t="s">
        <v>2199</v>
      </c>
      <c r="S377">
        <v>0</v>
      </c>
      <c r="T377">
        <v>0</v>
      </c>
      <c r="U377">
        <v>211</v>
      </c>
      <c r="V377" t="s">
        <v>3045</v>
      </c>
      <c r="W377" t="s">
        <v>3095</v>
      </c>
      <c r="X377" t="s">
        <v>79</v>
      </c>
    </row>
    <row r="378" spans="1:24">
      <c r="A378">
        <v>21127</v>
      </c>
      <c r="B378" t="s">
        <v>3096</v>
      </c>
      <c r="C378" t="s">
        <v>10</v>
      </c>
      <c r="D378" t="s">
        <v>10</v>
      </c>
      <c r="G378">
        <v>14000</v>
      </c>
      <c r="H378">
        <v>280000</v>
      </c>
      <c r="I378" t="s">
        <v>3066</v>
      </c>
      <c r="J378" t="s">
        <v>10</v>
      </c>
      <c r="K378">
        <v>494.8</v>
      </c>
      <c r="L378">
        <v>3.51</v>
      </c>
      <c r="M378">
        <v>2116</v>
      </c>
      <c r="N378" t="s">
        <v>125</v>
      </c>
      <c r="O378">
        <v>3</v>
      </c>
      <c r="P378" t="s">
        <v>2601</v>
      </c>
      <c r="Q378" t="s">
        <v>2460</v>
      </c>
      <c r="R378" t="s">
        <v>2199</v>
      </c>
      <c r="S378">
        <v>0</v>
      </c>
      <c r="T378">
        <v>3</v>
      </c>
      <c r="U378">
        <v>211</v>
      </c>
      <c r="V378" t="s">
        <v>3045</v>
      </c>
      <c r="W378" t="s">
        <v>3097</v>
      </c>
      <c r="X378" t="s">
        <v>79</v>
      </c>
    </row>
    <row r="379" spans="1:24">
      <c r="A379">
        <v>21130</v>
      </c>
      <c r="B379" t="s">
        <v>3098</v>
      </c>
      <c r="C379" t="s">
        <v>10</v>
      </c>
      <c r="D379" t="s">
        <v>10</v>
      </c>
      <c r="G379">
        <v>14000</v>
      </c>
      <c r="H379">
        <v>280000</v>
      </c>
      <c r="I379" t="s">
        <v>3066</v>
      </c>
      <c r="J379" t="s">
        <v>10</v>
      </c>
      <c r="K379">
        <v>494.8</v>
      </c>
      <c r="L379">
        <v>3.51</v>
      </c>
      <c r="M379">
        <v>2116</v>
      </c>
      <c r="N379" t="s">
        <v>125</v>
      </c>
      <c r="O379">
        <v>3</v>
      </c>
      <c r="P379" t="s">
        <v>2601</v>
      </c>
      <c r="Q379" t="s">
        <v>2460</v>
      </c>
      <c r="R379" t="s">
        <v>2199</v>
      </c>
      <c r="S379">
        <v>1</v>
      </c>
      <c r="T379">
        <v>3</v>
      </c>
      <c r="U379">
        <v>211</v>
      </c>
      <c r="V379" t="s">
        <v>3045</v>
      </c>
      <c r="W379" t="s">
        <v>3099</v>
      </c>
      <c r="X379" t="s">
        <v>79</v>
      </c>
    </row>
    <row r="380" spans="1:24">
      <c r="A380">
        <v>21131</v>
      </c>
      <c r="B380" t="s">
        <v>3100</v>
      </c>
      <c r="C380" t="s">
        <v>10</v>
      </c>
      <c r="D380" t="s">
        <v>10</v>
      </c>
      <c r="G380">
        <v>14000</v>
      </c>
      <c r="H380">
        <v>280000</v>
      </c>
      <c r="I380" t="s">
        <v>3066</v>
      </c>
      <c r="J380" t="s">
        <v>10</v>
      </c>
      <c r="K380">
        <v>494.8</v>
      </c>
      <c r="L380">
        <v>3.51</v>
      </c>
      <c r="M380">
        <v>2116</v>
      </c>
      <c r="N380" t="s">
        <v>125</v>
      </c>
      <c r="O380">
        <v>3</v>
      </c>
      <c r="P380" t="s">
        <v>2601</v>
      </c>
      <c r="Q380" t="s">
        <v>2460</v>
      </c>
      <c r="R380" t="s">
        <v>2199</v>
      </c>
      <c r="S380">
        <v>6</v>
      </c>
      <c r="T380">
        <v>15</v>
      </c>
      <c r="U380">
        <v>211</v>
      </c>
      <c r="V380" t="s">
        <v>3045</v>
      </c>
      <c r="W380" t="s">
        <v>3101</v>
      </c>
      <c r="X380" t="s">
        <v>79</v>
      </c>
    </row>
    <row r="381" spans="1:24">
      <c r="A381">
        <v>21132</v>
      </c>
      <c r="B381" t="s">
        <v>3102</v>
      </c>
      <c r="C381" t="s">
        <v>10</v>
      </c>
      <c r="D381" t="s">
        <v>10</v>
      </c>
      <c r="G381">
        <v>14000</v>
      </c>
      <c r="H381">
        <v>280000</v>
      </c>
      <c r="I381" t="s">
        <v>3066</v>
      </c>
      <c r="J381" t="s">
        <v>10</v>
      </c>
      <c r="K381">
        <v>494.8</v>
      </c>
      <c r="L381">
        <v>3.51</v>
      </c>
      <c r="M381">
        <v>2116</v>
      </c>
      <c r="N381" t="s">
        <v>125</v>
      </c>
      <c r="O381">
        <v>3</v>
      </c>
      <c r="P381" t="s">
        <v>2459</v>
      </c>
      <c r="Q381" t="s">
        <v>2460</v>
      </c>
      <c r="R381" t="s">
        <v>2199</v>
      </c>
      <c r="S381">
        <v>4</v>
      </c>
      <c r="T381">
        <v>11</v>
      </c>
      <c r="U381">
        <v>211</v>
      </c>
      <c r="V381" t="s">
        <v>3045</v>
      </c>
      <c r="W381" t="s">
        <v>3103</v>
      </c>
      <c r="X381" t="s">
        <v>79</v>
      </c>
    </row>
    <row r="382" spans="1:24">
      <c r="A382">
        <v>21133</v>
      </c>
      <c r="B382" t="s">
        <v>3104</v>
      </c>
      <c r="C382" t="s">
        <v>10</v>
      </c>
      <c r="D382" t="s">
        <v>10</v>
      </c>
      <c r="G382">
        <v>14000</v>
      </c>
      <c r="H382">
        <v>280000</v>
      </c>
      <c r="I382" t="s">
        <v>3066</v>
      </c>
      <c r="J382" t="s">
        <v>10</v>
      </c>
      <c r="K382">
        <v>494.8</v>
      </c>
      <c r="L382">
        <v>3.51</v>
      </c>
      <c r="M382">
        <v>2116</v>
      </c>
      <c r="N382" t="s">
        <v>125</v>
      </c>
      <c r="O382">
        <v>3</v>
      </c>
      <c r="P382" t="s">
        <v>2459</v>
      </c>
      <c r="Q382" t="s">
        <v>2460</v>
      </c>
      <c r="R382" t="s">
        <v>2199</v>
      </c>
      <c r="S382">
        <v>6</v>
      </c>
      <c r="T382">
        <v>18</v>
      </c>
      <c r="U382">
        <v>211</v>
      </c>
      <c r="V382" t="s">
        <v>3045</v>
      </c>
      <c r="W382" t="s">
        <v>3105</v>
      </c>
      <c r="X382" t="s">
        <v>79</v>
      </c>
    </row>
    <row r="383" spans="1:24">
      <c r="A383">
        <v>21134</v>
      </c>
      <c r="B383" t="s">
        <v>3106</v>
      </c>
      <c r="C383" t="s">
        <v>10</v>
      </c>
      <c r="D383" t="s">
        <v>10</v>
      </c>
      <c r="G383">
        <v>14000</v>
      </c>
      <c r="H383">
        <v>280000</v>
      </c>
      <c r="I383" t="s">
        <v>3066</v>
      </c>
      <c r="J383" t="s">
        <v>10</v>
      </c>
      <c r="K383">
        <v>494.8</v>
      </c>
      <c r="L383">
        <v>3.51</v>
      </c>
      <c r="M383">
        <v>2116</v>
      </c>
      <c r="N383" t="s">
        <v>125</v>
      </c>
      <c r="O383">
        <v>3</v>
      </c>
      <c r="P383" t="s">
        <v>2459</v>
      </c>
      <c r="Q383" t="s">
        <v>2460</v>
      </c>
      <c r="R383" t="s">
        <v>2199</v>
      </c>
      <c r="S383">
        <v>11</v>
      </c>
      <c r="T383">
        <v>23</v>
      </c>
      <c r="U383">
        <v>211</v>
      </c>
      <c r="V383" t="s">
        <v>3045</v>
      </c>
      <c r="W383" t="s">
        <v>3107</v>
      </c>
      <c r="X383" t="s">
        <v>79</v>
      </c>
    </row>
    <row r="384" spans="1:24">
      <c r="A384">
        <v>21135</v>
      </c>
      <c r="B384" t="s">
        <v>3108</v>
      </c>
      <c r="C384" t="s">
        <v>10</v>
      </c>
      <c r="D384" t="s">
        <v>10</v>
      </c>
      <c r="G384">
        <v>14000</v>
      </c>
      <c r="H384">
        <v>280000</v>
      </c>
      <c r="I384" t="s">
        <v>3066</v>
      </c>
      <c r="J384" t="s">
        <v>10</v>
      </c>
      <c r="K384">
        <v>494.8</v>
      </c>
      <c r="L384">
        <v>3.51</v>
      </c>
      <c r="M384">
        <v>2116</v>
      </c>
      <c r="N384" t="s">
        <v>125</v>
      </c>
      <c r="O384">
        <v>3</v>
      </c>
      <c r="P384" t="s">
        <v>2459</v>
      </c>
      <c r="Q384" t="s">
        <v>2460</v>
      </c>
      <c r="R384" t="s">
        <v>2199</v>
      </c>
      <c r="S384">
        <v>1</v>
      </c>
      <c r="T384">
        <v>8</v>
      </c>
      <c r="U384">
        <v>211</v>
      </c>
      <c r="V384" t="s">
        <v>3045</v>
      </c>
      <c r="W384" t="s">
        <v>3109</v>
      </c>
      <c r="X384" t="s">
        <v>79</v>
      </c>
    </row>
    <row r="385" spans="1:24">
      <c r="A385">
        <v>21136</v>
      </c>
      <c r="B385" t="s">
        <v>3110</v>
      </c>
      <c r="C385" t="s">
        <v>10</v>
      </c>
      <c r="D385" t="s">
        <v>10</v>
      </c>
      <c r="G385">
        <v>14000</v>
      </c>
      <c r="H385">
        <v>280000</v>
      </c>
      <c r="I385" t="s">
        <v>3066</v>
      </c>
      <c r="J385" t="s">
        <v>10</v>
      </c>
      <c r="K385">
        <v>494.8</v>
      </c>
      <c r="L385">
        <v>3.51</v>
      </c>
      <c r="M385">
        <v>2116</v>
      </c>
      <c r="N385" t="s">
        <v>125</v>
      </c>
      <c r="O385">
        <v>3</v>
      </c>
      <c r="P385" t="s">
        <v>2459</v>
      </c>
      <c r="Q385" t="s">
        <v>2460</v>
      </c>
      <c r="R385" t="s">
        <v>2199</v>
      </c>
      <c r="S385">
        <v>0</v>
      </c>
      <c r="T385">
        <v>7</v>
      </c>
      <c r="U385">
        <v>211</v>
      </c>
      <c r="V385" t="s">
        <v>3045</v>
      </c>
      <c r="W385" t="s">
        <v>3111</v>
      </c>
      <c r="X385" t="s">
        <v>79</v>
      </c>
    </row>
    <row r="386" spans="1:24">
      <c r="A386">
        <v>21137</v>
      </c>
      <c r="B386" t="s">
        <v>3112</v>
      </c>
      <c r="C386" t="s">
        <v>10</v>
      </c>
      <c r="D386" t="s">
        <v>10</v>
      </c>
      <c r="G386">
        <v>14000</v>
      </c>
      <c r="H386">
        <v>280000</v>
      </c>
      <c r="I386" t="s">
        <v>3066</v>
      </c>
      <c r="J386" t="s">
        <v>10</v>
      </c>
      <c r="K386">
        <v>494.8</v>
      </c>
      <c r="L386">
        <v>3.51</v>
      </c>
      <c r="M386">
        <v>2116</v>
      </c>
      <c r="N386" t="s">
        <v>125</v>
      </c>
      <c r="O386">
        <v>3</v>
      </c>
      <c r="P386" t="s">
        <v>2459</v>
      </c>
      <c r="Q386" t="s">
        <v>2460</v>
      </c>
      <c r="R386" t="s">
        <v>2199</v>
      </c>
      <c r="S386">
        <v>2</v>
      </c>
      <c r="T386">
        <v>5</v>
      </c>
      <c r="U386">
        <v>211</v>
      </c>
      <c r="V386" t="s">
        <v>3045</v>
      </c>
      <c r="W386" t="s">
        <v>3113</v>
      </c>
      <c r="X386" t="s">
        <v>79</v>
      </c>
    </row>
    <row r="387" spans="1:24">
      <c r="A387">
        <v>21138</v>
      </c>
      <c r="B387" t="s">
        <v>3114</v>
      </c>
      <c r="C387" t="s">
        <v>10</v>
      </c>
      <c r="D387" t="s">
        <v>10</v>
      </c>
      <c r="G387">
        <v>14000</v>
      </c>
      <c r="H387">
        <v>280000</v>
      </c>
      <c r="I387" t="s">
        <v>3066</v>
      </c>
      <c r="J387" t="s">
        <v>10</v>
      </c>
      <c r="K387">
        <v>494.8</v>
      </c>
      <c r="L387">
        <v>3.51</v>
      </c>
      <c r="M387">
        <v>2116</v>
      </c>
      <c r="N387" t="s">
        <v>125</v>
      </c>
      <c r="O387">
        <v>3</v>
      </c>
      <c r="P387" t="s">
        <v>2459</v>
      </c>
      <c r="Q387" t="s">
        <v>2460</v>
      </c>
      <c r="R387" t="s">
        <v>2199</v>
      </c>
      <c r="S387">
        <v>3</v>
      </c>
      <c r="T387">
        <v>8</v>
      </c>
      <c r="U387">
        <v>211</v>
      </c>
      <c r="V387" t="s">
        <v>3045</v>
      </c>
      <c r="W387" t="s">
        <v>3115</v>
      </c>
      <c r="X387" t="s">
        <v>79</v>
      </c>
    </row>
    <row r="388" spans="1:24">
      <c r="A388">
        <v>21139</v>
      </c>
      <c r="B388" t="s">
        <v>3116</v>
      </c>
      <c r="C388" t="s">
        <v>10</v>
      </c>
      <c r="D388" t="s">
        <v>10</v>
      </c>
      <c r="G388">
        <v>14000</v>
      </c>
      <c r="H388">
        <v>280000</v>
      </c>
      <c r="I388" t="s">
        <v>3066</v>
      </c>
      <c r="J388" t="s">
        <v>10</v>
      </c>
      <c r="K388">
        <v>494.8</v>
      </c>
      <c r="L388">
        <v>3.51</v>
      </c>
      <c r="M388">
        <v>2116</v>
      </c>
      <c r="N388" t="s">
        <v>125</v>
      </c>
      <c r="P388" t="s">
        <v>2459</v>
      </c>
      <c r="Q388" t="s">
        <v>2460</v>
      </c>
      <c r="R388" t="s">
        <v>2199</v>
      </c>
      <c r="S388">
        <v>0</v>
      </c>
      <c r="T388">
        <v>0</v>
      </c>
      <c r="U388">
        <v>211</v>
      </c>
      <c r="V388" t="s">
        <v>3045</v>
      </c>
      <c r="W388" t="s">
        <v>3117</v>
      </c>
      <c r="X388" t="s">
        <v>79</v>
      </c>
    </row>
    <row r="389" spans="1:24">
      <c r="A389">
        <v>21140</v>
      </c>
      <c r="B389" t="s">
        <v>3118</v>
      </c>
      <c r="C389" t="s">
        <v>10</v>
      </c>
      <c r="D389" t="s">
        <v>10</v>
      </c>
      <c r="G389">
        <v>14000</v>
      </c>
      <c r="H389">
        <v>280000</v>
      </c>
      <c r="I389" t="s">
        <v>3066</v>
      </c>
      <c r="J389" t="s">
        <v>10</v>
      </c>
      <c r="K389">
        <v>494.8</v>
      </c>
      <c r="L389">
        <v>3.51</v>
      </c>
      <c r="M389">
        <v>2116</v>
      </c>
      <c r="N389" t="s">
        <v>125</v>
      </c>
      <c r="O389">
        <v>3</v>
      </c>
      <c r="P389" t="s">
        <v>2459</v>
      </c>
      <c r="Q389" t="s">
        <v>2460</v>
      </c>
      <c r="R389" t="s">
        <v>2199</v>
      </c>
      <c r="S389">
        <v>1</v>
      </c>
      <c r="T389">
        <v>1</v>
      </c>
      <c r="U389">
        <v>211</v>
      </c>
      <c r="V389" t="s">
        <v>3045</v>
      </c>
      <c r="W389" t="s">
        <v>3119</v>
      </c>
      <c r="X389" t="s">
        <v>79</v>
      </c>
    </row>
    <row r="390" spans="1:24">
      <c r="A390">
        <v>21141</v>
      </c>
      <c r="B390" t="s">
        <v>3120</v>
      </c>
      <c r="C390" t="s">
        <v>10</v>
      </c>
      <c r="D390" t="s">
        <v>10</v>
      </c>
      <c r="G390">
        <v>14000</v>
      </c>
      <c r="H390">
        <v>280000</v>
      </c>
      <c r="I390" t="s">
        <v>3066</v>
      </c>
      <c r="J390" t="s">
        <v>10</v>
      </c>
      <c r="K390">
        <v>494.8</v>
      </c>
      <c r="L390">
        <v>3.51</v>
      </c>
      <c r="M390">
        <v>2116</v>
      </c>
      <c r="N390" t="s">
        <v>125</v>
      </c>
      <c r="O390">
        <v>3</v>
      </c>
      <c r="P390" t="s">
        <v>2459</v>
      </c>
      <c r="Q390" t="s">
        <v>2460</v>
      </c>
      <c r="R390" t="s">
        <v>2199</v>
      </c>
      <c r="S390">
        <v>0</v>
      </c>
      <c r="T390">
        <v>3</v>
      </c>
      <c r="U390">
        <v>211</v>
      </c>
      <c r="V390" t="s">
        <v>3045</v>
      </c>
      <c r="W390" t="s">
        <v>3121</v>
      </c>
      <c r="X390" t="s">
        <v>79</v>
      </c>
    </row>
    <row r="391" spans="1:24">
      <c r="A391">
        <v>21142</v>
      </c>
      <c r="B391" t="s">
        <v>3122</v>
      </c>
      <c r="C391" t="s">
        <v>10</v>
      </c>
      <c r="D391" t="s">
        <v>10</v>
      </c>
      <c r="G391">
        <v>14000</v>
      </c>
      <c r="H391">
        <v>280000</v>
      </c>
      <c r="I391" t="s">
        <v>3066</v>
      </c>
      <c r="J391" t="s">
        <v>10</v>
      </c>
      <c r="K391">
        <v>494.8</v>
      </c>
      <c r="L391">
        <v>3.51</v>
      </c>
      <c r="M391">
        <v>2116</v>
      </c>
      <c r="N391" t="s">
        <v>125</v>
      </c>
      <c r="O391">
        <v>3</v>
      </c>
      <c r="P391" t="s">
        <v>2459</v>
      </c>
      <c r="Q391" t="s">
        <v>2460</v>
      </c>
      <c r="R391" t="s">
        <v>2199</v>
      </c>
      <c r="S391">
        <v>8</v>
      </c>
      <c r="T391">
        <v>13</v>
      </c>
      <c r="U391">
        <v>211</v>
      </c>
      <c r="V391" t="s">
        <v>3045</v>
      </c>
      <c r="W391" t="s">
        <v>3123</v>
      </c>
      <c r="X391" t="s">
        <v>79</v>
      </c>
    </row>
    <row r="392" spans="1:24">
      <c r="A392">
        <v>21143</v>
      </c>
      <c r="B392" t="s">
        <v>3124</v>
      </c>
      <c r="C392" t="s">
        <v>10</v>
      </c>
      <c r="D392" t="s">
        <v>10</v>
      </c>
      <c r="G392">
        <v>14000</v>
      </c>
      <c r="H392">
        <v>280000</v>
      </c>
      <c r="I392" t="s">
        <v>3066</v>
      </c>
      <c r="J392" t="s">
        <v>10</v>
      </c>
      <c r="K392">
        <v>494.8</v>
      </c>
      <c r="L392">
        <v>3.51</v>
      </c>
      <c r="M392">
        <v>2116</v>
      </c>
      <c r="N392" t="s">
        <v>125</v>
      </c>
      <c r="O392">
        <v>3</v>
      </c>
      <c r="P392" t="s">
        <v>2459</v>
      </c>
      <c r="Q392" t="s">
        <v>2460</v>
      </c>
      <c r="R392" t="s">
        <v>2199</v>
      </c>
      <c r="S392">
        <v>0</v>
      </c>
      <c r="T392">
        <v>0</v>
      </c>
      <c r="U392">
        <v>211</v>
      </c>
      <c r="V392" t="s">
        <v>3045</v>
      </c>
      <c r="W392" t="s">
        <v>3125</v>
      </c>
      <c r="X392" t="s">
        <v>79</v>
      </c>
    </row>
    <row r="393" spans="1:24">
      <c r="A393">
        <v>21144</v>
      </c>
      <c r="B393" t="s">
        <v>3126</v>
      </c>
      <c r="C393" t="s">
        <v>10</v>
      </c>
      <c r="D393" t="s">
        <v>10</v>
      </c>
      <c r="G393">
        <v>14000</v>
      </c>
      <c r="H393">
        <v>280000</v>
      </c>
      <c r="I393" t="s">
        <v>3066</v>
      </c>
      <c r="J393" t="s">
        <v>10</v>
      </c>
      <c r="K393">
        <v>494.8</v>
      </c>
      <c r="L393">
        <v>3.51</v>
      </c>
      <c r="M393">
        <v>2116</v>
      </c>
      <c r="N393" t="s">
        <v>125</v>
      </c>
      <c r="O393">
        <v>3</v>
      </c>
      <c r="P393" t="s">
        <v>2459</v>
      </c>
      <c r="Q393" t="s">
        <v>2460</v>
      </c>
      <c r="R393" t="s">
        <v>2199</v>
      </c>
      <c r="S393">
        <v>0</v>
      </c>
      <c r="T393">
        <v>3</v>
      </c>
      <c r="U393">
        <v>211</v>
      </c>
      <c r="V393" t="s">
        <v>3045</v>
      </c>
      <c r="W393" t="s">
        <v>3127</v>
      </c>
      <c r="X393" t="s">
        <v>79</v>
      </c>
    </row>
    <row r="394" spans="1:24">
      <c r="A394">
        <v>21145</v>
      </c>
      <c r="B394" t="s">
        <v>3128</v>
      </c>
      <c r="C394" t="s">
        <v>10</v>
      </c>
      <c r="D394" t="s">
        <v>10</v>
      </c>
      <c r="G394">
        <v>9900</v>
      </c>
      <c r="H394">
        <v>120000</v>
      </c>
      <c r="I394" t="s">
        <v>3056</v>
      </c>
      <c r="J394" t="s">
        <v>10</v>
      </c>
      <c r="K394">
        <v>485.28</v>
      </c>
      <c r="L394">
        <v>4.41</v>
      </c>
      <c r="M394">
        <v>2112</v>
      </c>
      <c r="N394" t="s">
        <v>125</v>
      </c>
      <c r="O394">
        <v>1</v>
      </c>
      <c r="P394" t="s">
        <v>2459</v>
      </c>
      <c r="Q394" t="s">
        <v>2460</v>
      </c>
      <c r="R394" t="s">
        <v>2199</v>
      </c>
      <c r="S394">
        <v>31</v>
      </c>
      <c r="T394">
        <v>56</v>
      </c>
      <c r="U394">
        <v>211</v>
      </c>
      <c r="V394" t="s">
        <v>3045</v>
      </c>
      <c r="W394" t="s">
        <v>3129</v>
      </c>
      <c r="X394" t="s">
        <v>79</v>
      </c>
    </row>
    <row r="395" spans="1:24">
      <c r="A395">
        <v>21150</v>
      </c>
      <c r="B395" t="s">
        <v>3130</v>
      </c>
      <c r="C395" t="s">
        <v>10</v>
      </c>
      <c r="D395" t="s">
        <v>10</v>
      </c>
      <c r="G395">
        <v>14000</v>
      </c>
      <c r="H395">
        <v>280000</v>
      </c>
      <c r="I395" t="s">
        <v>3066</v>
      </c>
      <c r="J395" t="s">
        <v>10</v>
      </c>
      <c r="K395">
        <v>494.8</v>
      </c>
      <c r="L395">
        <v>3.51</v>
      </c>
      <c r="M395">
        <v>2116</v>
      </c>
      <c r="N395" t="s">
        <v>125</v>
      </c>
      <c r="O395">
        <v>3</v>
      </c>
      <c r="P395" t="s">
        <v>2459</v>
      </c>
      <c r="Q395" t="s">
        <v>2460</v>
      </c>
      <c r="R395" t="s">
        <v>2199</v>
      </c>
      <c r="S395">
        <v>0</v>
      </c>
      <c r="T395">
        <v>1</v>
      </c>
      <c r="U395">
        <v>211</v>
      </c>
      <c r="V395" t="s">
        <v>3045</v>
      </c>
      <c r="W395" t="s">
        <v>3131</v>
      </c>
      <c r="X395" t="s">
        <v>79</v>
      </c>
    </row>
    <row r="396" spans="1:24">
      <c r="A396">
        <v>21151</v>
      </c>
      <c r="B396" t="s">
        <v>3132</v>
      </c>
      <c r="C396" t="s">
        <v>10</v>
      </c>
      <c r="D396" t="s">
        <v>10</v>
      </c>
      <c r="G396">
        <v>14000</v>
      </c>
      <c r="H396">
        <v>280000</v>
      </c>
      <c r="I396" t="s">
        <v>3066</v>
      </c>
      <c r="J396" t="s">
        <v>10</v>
      </c>
      <c r="K396">
        <v>494.8</v>
      </c>
      <c r="L396">
        <v>3.51</v>
      </c>
      <c r="M396">
        <v>2116</v>
      </c>
      <c r="N396" t="s">
        <v>125</v>
      </c>
      <c r="O396">
        <v>3</v>
      </c>
      <c r="P396" t="s">
        <v>2459</v>
      </c>
      <c r="Q396" t="s">
        <v>2460</v>
      </c>
      <c r="R396" t="s">
        <v>2199</v>
      </c>
      <c r="S396">
        <v>0</v>
      </c>
      <c r="T396">
        <v>1</v>
      </c>
      <c r="U396">
        <v>211</v>
      </c>
      <c r="V396" t="s">
        <v>3045</v>
      </c>
      <c r="W396" t="s">
        <v>3133</v>
      </c>
      <c r="X396" t="s">
        <v>79</v>
      </c>
    </row>
    <row r="397" spans="1:24">
      <c r="A397">
        <v>21152</v>
      </c>
      <c r="B397" t="s">
        <v>3134</v>
      </c>
      <c r="C397" t="s">
        <v>10</v>
      </c>
      <c r="D397" t="s">
        <v>10</v>
      </c>
      <c r="G397">
        <v>14000</v>
      </c>
      <c r="H397">
        <v>280000</v>
      </c>
      <c r="I397" t="s">
        <v>3066</v>
      </c>
      <c r="J397" t="s">
        <v>10</v>
      </c>
      <c r="K397">
        <v>494.8</v>
      </c>
      <c r="L397">
        <v>3.51</v>
      </c>
      <c r="M397">
        <v>2116</v>
      </c>
      <c r="N397" t="s">
        <v>125</v>
      </c>
      <c r="O397">
        <v>3</v>
      </c>
      <c r="P397" t="s">
        <v>2459</v>
      </c>
      <c r="Q397" t="s">
        <v>2460</v>
      </c>
      <c r="R397" t="s">
        <v>2199</v>
      </c>
      <c r="S397">
        <v>3</v>
      </c>
      <c r="T397">
        <v>5</v>
      </c>
      <c r="U397">
        <v>211</v>
      </c>
      <c r="V397" t="s">
        <v>3045</v>
      </c>
      <c r="W397" t="s">
        <v>3135</v>
      </c>
      <c r="X397" t="s">
        <v>79</v>
      </c>
    </row>
    <row r="398" spans="1:24">
      <c r="A398">
        <v>21153</v>
      </c>
      <c r="B398" t="s">
        <v>3136</v>
      </c>
      <c r="C398" t="s">
        <v>10</v>
      </c>
      <c r="D398" t="s">
        <v>10</v>
      </c>
      <c r="G398">
        <v>14000</v>
      </c>
      <c r="H398">
        <v>280000</v>
      </c>
      <c r="I398" t="s">
        <v>3066</v>
      </c>
      <c r="J398" t="s">
        <v>10</v>
      </c>
      <c r="K398">
        <v>494.8</v>
      </c>
      <c r="L398">
        <v>3.51</v>
      </c>
      <c r="M398">
        <v>2116</v>
      </c>
      <c r="N398" t="s">
        <v>125</v>
      </c>
      <c r="O398">
        <v>3</v>
      </c>
      <c r="P398" t="s">
        <v>2459</v>
      </c>
      <c r="Q398" t="s">
        <v>2460</v>
      </c>
      <c r="R398" t="s">
        <v>2199</v>
      </c>
      <c r="S398">
        <v>0</v>
      </c>
      <c r="T398">
        <v>0</v>
      </c>
      <c r="U398">
        <v>211</v>
      </c>
      <c r="V398" t="s">
        <v>3045</v>
      </c>
      <c r="W398" t="s">
        <v>3137</v>
      </c>
      <c r="X398" t="s">
        <v>79</v>
      </c>
    </row>
    <row r="399" spans="1:24">
      <c r="A399">
        <v>21154</v>
      </c>
      <c r="B399" t="s">
        <v>3138</v>
      </c>
      <c r="C399" t="s">
        <v>10</v>
      </c>
      <c r="D399" t="s">
        <v>10</v>
      </c>
      <c r="G399">
        <v>9900</v>
      </c>
      <c r="H399">
        <v>120000</v>
      </c>
      <c r="I399" t="s">
        <v>3056</v>
      </c>
      <c r="J399" t="s">
        <v>10</v>
      </c>
      <c r="K399">
        <v>485.28</v>
      </c>
      <c r="L399">
        <v>4.41</v>
      </c>
      <c r="M399">
        <v>2112</v>
      </c>
      <c r="N399" t="s">
        <v>125</v>
      </c>
      <c r="O399">
        <v>1</v>
      </c>
      <c r="P399" t="s">
        <v>2459</v>
      </c>
      <c r="Q399" t="s">
        <v>2460</v>
      </c>
      <c r="R399" t="s">
        <v>2199</v>
      </c>
      <c r="S399">
        <v>25</v>
      </c>
      <c r="T399">
        <v>41</v>
      </c>
      <c r="U399">
        <v>211</v>
      </c>
      <c r="V399" t="s">
        <v>3045</v>
      </c>
      <c r="W399" t="s">
        <v>3139</v>
      </c>
      <c r="X399" t="s">
        <v>79</v>
      </c>
    </row>
    <row r="400" spans="1:24">
      <c r="A400">
        <v>21155</v>
      </c>
      <c r="B400" t="s">
        <v>3140</v>
      </c>
      <c r="C400" t="s">
        <v>10</v>
      </c>
      <c r="D400" t="s">
        <v>10</v>
      </c>
      <c r="G400">
        <v>21000</v>
      </c>
      <c r="H400">
        <v>250000</v>
      </c>
      <c r="I400" t="s">
        <v>3141</v>
      </c>
      <c r="J400" t="s">
        <v>10</v>
      </c>
      <c r="K400">
        <v>223.3</v>
      </c>
      <c r="L400">
        <v>1.01</v>
      </c>
      <c r="M400">
        <v>4412</v>
      </c>
      <c r="N400" t="s">
        <v>79</v>
      </c>
      <c r="O400">
        <v>4</v>
      </c>
      <c r="P400" t="s">
        <v>2459</v>
      </c>
      <c r="Q400" t="s">
        <v>2460</v>
      </c>
      <c r="R400" t="s">
        <v>159</v>
      </c>
      <c r="S400">
        <v>3</v>
      </c>
      <c r="T400">
        <v>4</v>
      </c>
      <c r="U400">
        <v>211</v>
      </c>
      <c r="V400" t="s">
        <v>3045</v>
      </c>
      <c r="W400" t="s">
        <v>3142</v>
      </c>
      <c r="X400" t="s">
        <v>79</v>
      </c>
    </row>
    <row r="401" spans="1:24">
      <c r="A401">
        <v>21160</v>
      </c>
      <c r="B401" t="s">
        <v>3143</v>
      </c>
      <c r="C401" t="s">
        <v>10</v>
      </c>
      <c r="D401" t="s">
        <v>10</v>
      </c>
      <c r="G401">
        <v>14000</v>
      </c>
      <c r="H401">
        <v>280000</v>
      </c>
      <c r="I401" t="s">
        <v>3066</v>
      </c>
      <c r="J401" t="s">
        <v>10</v>
      </c>
      <c r="K401">
        <v>494.8</v>
      </c>
      <c r="L401">
        <v>3.51</v>
      </c>
      <c r="M401">
        <v>2116</v>
      </c>
      <c r="N401" t="s">
        <v>125</v>
      </c>
      <c r="O401">
        <v>3</v>
      </c>
      <c r="P401" t="s">
        <v>2459</v>
      </c>
      <c r="Q401" t="s">
        <v>2460</v>
      </c>
      <c r="R401" t="s">
        <v>2199</v>
      </c>
      <c r="S401">
        <v>6</v>
      </c>
      <c r="T401">
        <v>7</v>
      </c>
      <c r="U401">
        <v>211</v>
      </c>
      <c r="V401" t="s">
        <v>3045</v>
      </c>
      <c r="W401" t="s">
        <v>3144</v>
      </c>
      <c r="X401" t="s">
        <v>79</v>
      </c>
    </row>
    <row r="402" spans="1:24">
      <c r="A402">
        <v>21161</v>
      </c>
      <c r="B402" t="s">
        <v>3145</v>
      </c>
      <c r="C402" t="s">
        <v>10</v>
      </c>
      <c r="D402" t="s">
        <v>10</v>
      </c>
      <c r="G402">
        <v>14000</v>
      </c>
      <c r="H402">
        <v>280000</v>
      </c>
      <c r="I402" t="s">
        <v>3066</v>
      </c>
      <c r="J402" t="s">
        <v>10</v>
      </c>
      <c r="K402">
        <v>494.8</v>
      </c>
      <c r="L402">
        <v>3.51</v>
      </c>
      <c r="M402">
        <v>2116</v>
      </c>
      <c r="N402" t="s">
        <v>125</v>
      </c>
      <c r="O402">
        <v>3</v>
      </c>
      <c r="P402" t="s">
        <v>2459</v>
      </c>
      <c r="Q402" t="s">
        <v>2460</v>
      </c>
      <c r="R402" t="s">
        <v>2199</v>
      </c>
      <c r="S402">
        <v>7</v>
      </c>
      <c r="T402">
        <v>8</v>
      </c>
      <c r="U402">
        <v>211</v>
      </c>
      <c r="V402" t="s">
        <v>3045</v>
      </c>
      <c r="W402" t="s">
        <v>3146</v>
      </c>
      <c r="X402" t="s">
        <v>79</v>
      </c>
    </row>
    <row r="403" spans="1:24">
      <c r="A403">
        <v>21162</v>
      </c>
      <c r="B403" t="s">
        <v>3147</v>
      </c>
      <c r="C403" t="s">
        <v>10</v>
      </c>
      <c r="D403" t="s">
        <v>10</v>
      </c>
      <c r="G403">
        <v>14000</v>
      </c>
      <c r="H403">
        <v>280000</v>
      </c>
      <c r="I403" t="s">
        <v>3066</v>
      </c>
      <c r="J403" t="s">
        <v>10</v>
      </c>
      <c r="K403">
        <v>494.8</v>
      </c>
      <c r="L403">
        <v>3.51</v>
      </c>
      <c r="M403">
        <v>2116</v>
      </c>
      <c r="N403" t="s">
        <v>125</v>
      </c>
      <c r="O403">
        <v>3</v>
      </c>
      <c r="P403" t="s">
        <v>2459</v>
      </c>
      <c r="Q403" t="s">
        <v>2460</v>
      </c>
      <c r="R403" t="s">
        <v>2199</v>
      </c>
      <c r="S403">
        <v>3</v>
      </c>
      <c r="T403">
        <v>13</v>
      </c>
      <c r="U403">
        <v>211</v>
      </c>
      <c r="V403" t="s">
        <v>3045</v>
      </c>
      <c r="W403" t="s">
        <v>3148</v>
      </c>
      <c r="X403" t="s">
        <v>79</v>
      </c>
    </row>
    <row r="404" spans="1:24">
      <c r="A404">
        <v>21163</v>
      </c>
      <c r="B404" t="s">
        <v>3149</v>
      </c>
      <c r="C404" t="s">
        <v>10</v>
      </c>
      <c r="D404" t="s">
        <v>10</v>
      </c>
      <c r="G404">
        <v>14000</v>
      </c>
      <c r="H404">
        <v>280000</v>
      </c>
      <c r="I404" t="s">
        <v>3066</v>
      </c>
      <c r="J404" t="s">
        <v>10</v>
      </c>
      <c r="K404">
        <v>494.8</v>
      </c>
      <c r="L404">
        <v>3.51</v>
      </c>
      <c r="M404">
        <v>2116</v>
      </c>
      <c r="N404" t="s">
        <v>125</v>
      </c>
      <c r="O404">
        <v>3</v>
      </c>
      <c r="P404" t="s">
        <v>2459</v>
      </c>
      <c r="Q404" t="s">
        <v>2460</v>
      </c>
      <c r="R404" t="s">
        <v>2199</v>
      </c>
      <c r="S404">
        <v>23</v>
      </c>
      <c r="T404">
        <v>28</v>
      </c>
      <c r="U404">
        <v>211</v>
      </c>
      <c r="V404" t="s">
        <v>3045</v>
      </c>
      <c r="W404" t="s">
        <v>3150</v>
      </c>
      <c r="X404" t="s">
        <v>79</v>
      </c>
    </row>
    <row r="405" spans="1:24">
      <c r="A405">
        <v>21164</v>
      </c>
      <c r="B405" t="s">
        <v>3151</v>
      </c>
      <c r="C405" t="s">
        <v>10</v>
      </c>
      <c r="D405" t="s">
        <v>10</v>
      </c>
      <c r="G405">
        <v>5400</v>
      </c>
      <c r="H405">
        <v>23000</v>
      </c>
      <c r="I405" t="s">
        <v>3152</v>
      </c>
      <c r="J405" t="s">
        <v>10</v>
      </c>
      <c r="K405">
        <v>290.38</v>
      </c>
      <c r="L405">
        <v>0.89</v>
      </c>
      <c r="M405">
        <v>2185</v>
      </c>
      <c r="N405" t="s">
        <v>125</v>
      </c>
      <c r="O405">
        <v>3</v>
      </c>
      <c r="P405" t="s">
        <v>2459</v>
      </c>
      <c r="Q405" t="s">
        <v>2460</v>
      </c>
      <c r="R405" t="s">
        <v>159</v>
      </c>
      <c r="S405">
        <v>10</v>
      </c>
      <c r="T405">
        <v>10</v>
      </c>
      <c r="U405">
        <v>211</v>
      </c>
      <c r="V405" t="s">
        <v>3045</v>
      </c>
      <c r="W405" t="s">
        <v>3153</v>
      </c>
      <c r="X405" t="s">
        <v>79</v>
      </c>
    </row>
    <row r="406" spans="1:24">
      <c r="A406">
        <v>21165</v>
      </c>
      <c r="B406" t="s">
        <v>3154</v>
      </c>
      <c r="C406" t="s">
        <v>10</v>
      </c>
      <c r="D406" t="s">
        <v>10</v>
      </c>
      <c r="G406">
        <v>9900</v>
      </c>
      <c r="H406">
        <v>120000</v>
      </c>
      <c r="I406" t="s">
        <v>3056</v>
      </c>
      <c r="J406" t="s">
        <v>10</v>
      </c>
      <c r="K406">
        <v>485.28</v>
      </c>
      <c r="L406">
        <v>4.41</v>
      </c>
      <c r="M406">
        <v>2112</v>
      </c>
      <c r="N406" t="s">
        <v>125</v>
      </c>
      <c r="O406">
        <v>3</v>
      </c>
      <c r="P406" t="s">
        <v>2459</v>
      </c>
      <c r="Q406" t="s">
        <v>2460</v>
      </c>
      <c r="R406" t="s">
        <v>2199</v>
      </c>
      <c r="S406">
        <v>4</v>
      </c>
      <c r="T406">
        <v>5</v>
      </c>
      <c r="U406">
        <v>211</v>
      </c>
      <c r="V406" t="s">
        <v>3045</v>
      </c>
      <c r="W406" t="s">
        <v>3155</v>
      </c>
      <c r="X406" t="s">
        <v>79</v>
      </c>
    </row>
    <row r="407" spans="1:24">
      <c r="A407">
        <v>21170</v>
      </c>
      <c r="B407" t="s">
        <v>3156</v>
      </c>
      <c r="C407" t="s">
        <v>10</v>
      </c>
      <c r="D407" t="s">
        <v>10</v>
      </c>
      <c r="G407">
        <v>14000</v>
      </c>
      <c r="H407">
        <v>280000</v>
      </c>
      <c r="I407" t="s">
        <v>3066</v>
      </c>
      <c r="J407" t="s">
        <v>10</v>
      </c>
      <c r="K407">
        <v>494.8</v>
      </c>
      <c r="L407">
        <v>3.51</v>
      </c>
      <c r="M407">
        <v>2116</v>
      </c>
      <c r="N407" t="s">
        <v>125</v>
      </c>
      <c r="O407">
        <v>3</v>
      </c>
      <c r="P407" t="s">
        <v>2459</v>
      </c>
      <c r="Q407" t="s">
        <v>2460</v>
      </c>
      <c r="R407" t="s">
        <v>2199</v>
      </c>
      <c r="S407">
        <v>0</v>
      </c>
      <c r="T407">
        <v>1</v>
      </c>
      <c r="U407">
        <v>211</v>
      </c>
      <c r="V407" t="s">
        <v>3045</v>
      </c>
      <c r="W407" t="s">
        <v>3157</v>
      </c>
      <c r="X407" t="s">
        <v>79</v>
      </c>
    </row>
    <row r="408" spans="1:24">
      <c r="A408">
        <v>21171</v>
      </c>
      <c r="B408" t="s">
        <v>3158</v>
      </c>
      <c r="C408" t="s">
        <v>10</v>
      </c>
      <c r="D408" t="s">
        <v>10</v>
      </c>
      <c r="G408">
        <v>14000</v>
      </c>
      <c r="H408">
        <v>280000</v>
      </c>
      <c r="I408" t="s">
        <v>3066</v>
      </c>
      <c r="J408" t="s">
        <v>10</v>
      </c>
      <c r="K408">
        <v>494.8</v>
      </c>
      <c r="L408">
        <v>3.51</v>
      </c>
      <c r="M408">
        <v>2116</v>
      </c>
      <c r="N408" t="s">
        <v>125</v>
      </c>
      <c r="O408">
        <v>3</v>
      </c>
      <c r="P408" t="s">
        <v>2459</v>
      </c>
      <c r="Q408" t="s">
        <v>2460</v>
      </c>
      <c r="R408" t="s">
        <v>2199</v>
      </c>
      <c r="S408">
        <v>2</v>
      </c>
      <c r="T408">
        <v>15</v>
      </c>
      <c r="U408">
        <v>211</v>
      </c>
      <c r="V408" t="s">
        <v>3045</v>
      </c>
      <c r="W408" t="s">
        <v>3159</v>
      </c>
      <c r="X408" t="s">
        <v>79</v>
      </c>
    </row>
    <row r="409" spans="1:24">
      <c r="A409">
        <v>21172</v>
      </c>
      <c r="B409" t="s">
        <v>3160</v>
      </c>
      <c r="C409" t="s">
        <v>10</v>
      </c>
      <c r="D409" t="s">
        <v>10</v>
      </c>
      <c r="G409">
        <v>14000</v>
      </c>
      <c r="H409">
        <v>280000</v>
      </c>
      <c r="I409" t="s">
        <v>3066</v>
      </c>
      <c r="J409" t="s">
        <v>10</v>
      </c>
      <c r="K409">
        <v>494.8</v>
      </c>
      <c r="L409">
        <v>3.51</v>
      </c>
      <c r="M409">
        <v>2116</v>
      </c>
      <c r="N409" t="s">
        <v>125</v>
      </c>
      <c r="O409">
        <v>3</v>
      </c>
      <c r="P409" t="s">
        <v>2459</v>
      </c>
      <c r="Q409" t="s">
        <v>2460</v>
      </c>
      <c r="R409" t="s">
        <v>2199</v>
      </c>
      <c r="S409">
        <v>6</v>
      </c>
      <c r="T409">
        <v>12</v>
      </c>
      <c r="U409">
        <v>211</v>
      </c>
      <c r="V409" t="s">
        <v>3045</v>
      </c>
      <c r="W409" t="s">
        <v>3161</v>
      </c>
      <c r="X409" t="s">
        <v>79</v>
      </c>
    </row>
    <row r="410" spans="1:24">
      <c r="A410">
        <v>21173</v>
      </c>
      <c r="B410" t="s">
        <v>3162</v>
      </c>
      <c r="C410" t="s">
        <v>10</v>
      </c>
      <c r="D410" t="s">
        <v>10</v>
      </c>
      <c r="G410">
        <v>14000</v>
      </c>
      <c r="H410">
        <v>280000</v>
      </c>
      <c r="I410" t="s">
        <v>3066</v>
      </c>
      <c r="J410" t="s">
        <v>10</v>
      </c>
      <c r="K410">
        <v>494.8</v>
      </c>
      <c r="L410">
        <v>3.51</v>
      </c>
      <c r="M410">
        <v>2116</v>
      </c>
      <c r="N410" t="s">
        <v>125</v>
      </c>
      <c r="O410">
        <v>3</v>
      </c>
      <c r="P410" t="s">
        <v>2459</v>
      </c>
      <c r="Q410" t="s">
        <v>2460</v>
      </c>
      <c r="R410" t="s">
        <v>2199</v>
      </c>
      <c r="S410">
        <v>4</v>
      </c>
      <c r="T410">
        <v>12</v>
      </c>
      <c r="U410">
        <v>211</v>
      </c>
      <c r="V410" t="s">
        <v>3045</v>
      </c>
      <c r="W410" t="s">
        <v>3163</v>
      </c>
      <c r="X410" t="s">
        <v>79</v>
      </c>
    </row>
    <row r="411" spans="1:24">
      <c r="A411">
        <v>21174</v>
      </c>
      <c r="B411" t="s">
        <v>3164</v>
      </c>
      <c r="C411" t="s">
        <v>10</v>
      </c>
      <c r="D411" t="s">
        <v>10</v>
      </c>
      <c r="G411">
        <v>14000</v>
      </c>
      <c r="H411">
        <v>280000</v>
      </c>
      <c r="I411" t="s">
        <v>3066</v>
      </c>
      <c r="J411" t="s">
        <v>10</v>
      </c>
      <c r="K411">
        <v>494.8</v>
      </c>
      <c r="L411">
        <v>3.51</v>
      </c>
      <c r="M411">
        <v>2116</v>
      </c>
      <c r="N411" t="s">
        <v>125</v>
      </c>
      <c r="O411">
        <v>3</v>
      </c>
      <c r="P411" t="s">
        <v>2459</v>
      </c>
      <c r="Q411" t="s">
        <v>2460</v>
      </c>
      <c r="R411" t="s">
        <v>2199</v>
      </c>
      <c r="S411">
        <v>1</v>
      </c>
      <c r="T411">
        <v>4</v>
      </c>
      <c r="U411">
        <v>211</v>
      </c>
      <c r="V411" t="s">
        <v>3045</v>
      </c>
      <c r="W411" t="s">
        <v>3165</v>
      </c>
      <c r="X411" t="s">
        <v>79</v>
      </c>
    </row>
    <row r="412" spans="1:24">
      <c r="A412">
        <v>21175</v>
      </c>
      <c r="B412" t="s">
        <v>3166</v>
      </c>
      <c r="C412" t="s">
        <v>10</v>
      </c>
      <c r="D412" t="s">
        <v>10</v>
      </c>
      <c r="G412">
        <v>12000</v>
      </c>
      <c r="H412">
        <v>57000</v>
      </c>
      <c r="I412" t="s">
        <v>3167</v>
      </c>
      <c r="J412" t="s">
        <v>10</v>
      </c>
      <c r="K412">
        <v>339.49</v>
      </c>
      <c r="L412">
        <v>5.93</v>
      </c>
      <c r="M412">
        <v>2184</v>
      </c>
      <c r="N412" t="s">
        <v>125</v>
      </c>
      <c r="O412">
        <v>1</v>
      </c>
      <c r="P412" t="s">
        <v>2459</v>
      </c>
      <c r="Q412" t="s">
        <v>2460</v>
      </c>
      <c r="R412" t="s">
        <v>2199</v>
      </c>
      <c r="S412">
        <v>44</v>
      </c>
      <c r="T412">
        <v>95</v>
      </c>
      <c r="U412">
        <v>211</v>
      </c>
      <c r="V412" t="s">
        <v>3045</v>
      </c>
      <c r="W412" t="s">
        <v>3168</v>
      </c>
      <c r="X412" t="s">
        <v>79</v>
      </c>
    </row>
    <row r="413" spans="1:24">
      <c r="A413">
        <v>21176</v>
      </c>
      <c r="B413" t="s">
        <v>3169</v>
      </c>
      <c r="C413" t="s">
        <v>10</v>
      </c>
      <c r="D413" t="s">
        <v>10</v>
      </c>
      <c r="G413">
        <v>14000</v>
      </c>
      <c r="H413">
        <v>280000</v>
      </c>
      <c r="I413" t="s">
        <v>3066</v>
      </c>
      <c r="J413" t="s">
        <v>10</v>
      </c>
      <c r="K413">
        <v>494.8</v>
      </c>
      <c r="L413">
        <v>3.51</v>
      </c>
      <c r="M413">
        <v>2116</v>
      </c>
      <c r="N413" t="s">
        <v>125</v>
      </c>
      <c r="O413">
        <v>3</v>
      </c>
      <c r="P413" t="s">
        <v>2459</v>
      </c>
      <c r="Q413" t="s">
        <v>2460</v>
      </c>
      <c r="R413" t="s">
        <v>2199</v>
      </c>
      <c r="S413">
        <v>4</v>
      </c>
      <c r="T413">
        <v>10</v>
      </c>
      <c r="U413">
        <v>211</v>
      </c>
      <c r="V413" t="s">
        <v>3045</v>
      </c>
      <c r="W413" t="s">
        <v>3170</v>
      </c>
      <c r="X413" t="s">
        <v>79</v>
      </c>
    </row>
    <row r="414" spans="1:24">
      <c r="A414">
        <v>21180</v>
      </c>
      <c r="B414" t="s">
        <v>3171</v>
      </c>
      <c r="C414" t="s">
        <v>10</v>
      </c>
      <c r="D414" t="s">
        <v>10</v>
      </c>
      <c r="G414">
        <v>14000</v>
      </c>
      <c r="H414">
        <v>280000</v>
      </c>
      <c r="I414" t="s">
        <v>3066</v>
      </c>
      <c r="J414" t="s">
        <v>10</v>
      </c>
      <c r="K414">
        <v>494.8</v>
      </c>
      <c r="L414">
        <v>3.51</v>
      </c>
      <c r="M414">
        <v>2116</v>
      </c>
      <c r="N414" t="s">
        <v>125</v>
      </c>
      <c r="O414">
        <v>3</v>
      </c>
      <c r="P414" t="s">
        <v>2459</v>
      </c>
      <c r="Q414" t="s">
        <v>2460</v>
      </c>
      <c r="R414" t="s">
        <v>2199</v>
      </c>
      <c r="S414">
        <v>4</v>
      </c>
      <c r="T414">
        <v>6</v>
      </c>
      <c r="U414">
        <v>211</v>
      </c>
      <c r="V414" t="s">
        <v>3045</v>
      </c>
      <c r="W414" t="s">
        <v>3172</v>
      </c>
      <c r="X414" t="s">
        <v>79</v>
      </c>
    </row>
    <row r="415" spans="1:24">
      <c r="A415">
        <v>21181</v>
      </c>
      <c r="B415" t="s">
        <v>3173</v>
      </c>
      <c r="C415" t="s">
        <v>10</v>
      </c>
      <c r="D415" t="s">
        <v>10</v>
      </c>
      <c r="F415" t="s">
        <v>2162</v>
      </c>
      <c r="G415">
        <v>1</v>
      </c>
      <c r="H415">
        <v>2</v>
      </c>
      <c r="I415" t="s">
        <v>3174</v>
      </c>
      <c r="J415" t="s">
        <v>2162</v>
      </c>
      <c r="K415">
        <v>3620395.54</v>
      </c>
      <c r="L415">
        <v>24652.560000000001</v>
      </c>
      <c r="M415">
        <v>2118</v>
      </c>
      <c r="N415" t="s">
        <v>125</v>
      </c>
      <c r="O415">
        <v>1</v>
      </c>
      <c r="P415" t="s">
        <v>2459</v>
      </c>
      <c r="Q415" t="s">
        <v>2460</v>
      </c>
      <c r="R415" t="s">
        <v>159</v>
      </c>
      <c r="S415">
        <v>29</v>
      </c>
      <c r="T415">
        <v>30</v>
      </c>
      <c r="U415">
        <v>211</v>
      </c>
      <c r="V415" t="s">
        <v>3045</v>
      </c>
      <c r="W415" t="s">
        <v>3175</v>
      </c>
      <c r="X415" t="s">
        <v>79</v>
      </c>
    </row>
    <row r="416" spans="1:24">
      <c r="A416">
        <v>21182</v>
      </c>
      <c r="B416" t="s">
        <v>3176</v>
      </c>
      <c r="C416" t="s">
        <v>10</v>
      </c>
      <c r="D416" t="s">
        <v>10</v>
      </c>
      <c r="G416">
        <v>14000</v>
      </c>
      <c r="H416">
        <v>280000</v>
      </c>
      <c r="I416" t="s">
        <v>3066</v>
      </c>
      <c r="J416" t="s">
        <v>10</v>
      </c>
      <c r="K416">
        <v>494.8</v>
      </c>
      <c r="L416">
        <v>3.51</v>
      </c>
      <c r="M416">
        <v>2116</v>
      </c>
      <c r="N416" t="s">
        <v>125</v>
      </c>
      <c r="O416">
        <v>1</v>
      </c>
      <c r="P416" t="s">
        <v>2459</v>
      </c>
      <c r="Q416" t="s">
        <v>2460</v>
      </c>
      <c r="R416" t="s">
        <v>2199</v>
      </c>
      <c r="S416">
        <v>0</v>
      </c>
      <c r="T416">
        <v>0</v>
      </c>
      <c r="U416">
        <v>211</v>
      </c>
      <c r="V416" t="s">
        <v>3045</v>
      </c>
      <c r="W416" t="s">
        <v>3177</v>
      </c>
      <c r="X416" t="s">
        <v>79</v>
      </c>
    </row>
    <row r="417" spans="1:24">
      <c r="A417">
        <v>21183</v>
      </c>
      <c r="B417" t="s">
        <v>3178</v>
      </c>
      <c r="C417" t="s">
        <v>10</v>
      </c>
      <c r="D417" t="s">
        <v>10</v>
      </c>
      <c r="F417" t="s">
        <v>2162</v>
      </c>
      <c r="G417">
        <v>1</v>
      </c>
      <c r="H417">
        <v>2</v>
      </c>
      <c r="I417" t="s">
        <v>3174</v>
      </c>
      <c r="J417" t="s">
        <v>2162</v>
      </c>
      <c r="K417">
        <v>3620395.54</v>
      </c>
      <c r="L417">
        <v>24652.560000000001</v>
      </c>
      <c r="M417">
        <v>2118</v>
      </c>
      <c r="N417" t="s">
        <v>125</v>
      </c>
      <c r="O417">
        <v>3</v>
      </c>
      <c r="P417" t="s">
        <v>2459</v>
      </c>
      <c r="Q417" t="s">
        <v>2460</v>
      </c>
      <c r="R417" t="s">
        <v>159</v>
      </c>
      <c r="S417">
        <v>10</v>
      </c>
      <c r="T417">
        <v>13</v>
      </c>
      <c r="U417">
        <v>211</v>
      </c>
      <c r="V417" t="s">
        <v>3045</v>
      </c>
      <c r="W417" t="s">
        <v>3179</v>
      </c>
      <c r="X417" t="s">
        <v>79</v>
      </c>
    </row>
    <row r="418" spans="1:24">
      <c r="A418">
        <v>21184</v>
      </c>
      <c r="B418" t="s">
        <v>3180</v>
      </c>
      <c r="C418" t="s">
        <v>10</v>
      </c>
      <c r="D418" t="s">
        <v>10</v>
      </c>
      <c r="G418">
        <v>14000</v>
      </c>
      <c r="H418">
        <v>280000</v>
      </c>
      <c r="I418" t="s">
        <v>3066</v>
      </c>
      <c r="J418" t="s">
        <v>10</v>
      </c>
      <c r="K418">
        <v>494.8</v>
      </c>
      <c r="L418">
        <v>3.51</v>
      </c>
      <c r="M418">
        <v>2116</v>
      </c>
      <c r="N418" t="s">
        <v>125</v>
      </c>
      <c r="O418">
        <v>3</v>
      </c>
      <c r="P418" t="s">
        <v>2459</v>
      </c>
      <c r="Q418" t="s">
        <v>2460</v>
      </c>
      <c r="R418" t="s">
        <v>2199</v>
      </c>
      <c r="S418">
        <v>4</v>
      </c>
      <c r="T418">
        <v>4</v>
      </c>
      <c r="U418">
        <v>211</v>
      </c>
      <c r="V418" t="s">
        <v>3045</v>
      </c>
      <c r="W418" t="s">
        <v>3181</v>
      </c>
      <c r="X418" t="s">
        <v>79</v>
      </c>
    </row>
    <row r="419" spans="1:24">
      <c r="A419">
        <v>21185</v>
      </c>
      <c r="B419" t="s">
        <v>3182</v>
      </c>
      <c r="C419" t="s">
        <v>10</v>
      </c>
      <c r="D419" t="s">
        <v>10</v>
      </c>
      <c r="G419">
        <v>14000</v>
      </c>
      <c r="H419">
        <v>280000</v>
      </c>
      <c r="I419" t="s">
        <v>3066</v>
      </c>
      <c r="J419" t="s">
        <v>10</v>
      </c>
      <c r="K419">
        <v>494.8</v>
      </c>
      <c r="L419">
        <v>3.51</v>
      </c>
      <c r="M419">
        <v>2116</v>
      </c>
      <c r="N419" t="s">
        <v>125</v>
      </c>
      <c r="O419">
        <v>3</v>
      </c>
      <c r="P419" t="s">
        <v>2459</v>
      </c>
      <c r="Q419" t="s">
        <v>2460</v>
      </c>
      <c r="R419" t="s">
        <v>2199</v>
      </c>
      <c r="S419">
        <v>1</v>
      </c>
      <c r="T419">
        <v>4</v>
      </c>
      <c r="U419">
        <v>211</v>
      </c>
      <c r="V419" t="s">
        <v>3045</v>
      </c>
      <c r="W419" t="s">
        <v>3183</v>
      </c>
      <c r="X419" t="s">
        <v>79</v>
      </c>
    </row>
    <row r="420" spans="1:24">
      <c r="A420">
        <v>21186</v>
      </c>
      <c r="B420" t="s">
        <v>3184</v>
      </c>
      <c r="C420" t="s">
        <v>10</v>
      </c>
      <c r="D420" t="s">
        <v>10</v>
      </c>
      <c r="F420" t="s">
        <v>2162</v>
      </c>
      <c r="G420">
        <v>14000</v>
      </c>
      <c r="H420">
        <v>280000</v>
      </c>
      <c r="I420" t="s">
        <v>3066</v>
      </c>
      <c r="J420" t="s">
        <v>10</v>
      </c>
      <c r="K420">
        <v>494.8</v>
      </c>
      <c r="L420">
        <v>3.51</v>
      </c>
      <c r="M420">
        <v>2116</v>
      </c>
      <c r="N420" t="s">
        <v>125</v>
      </c>
      <c r="O420">
        <v>3</v>
      </c>
      <c r="P420" t="s">
        <v>2459</v>
      </c>
      <c r="Q420" t="s">
        <v>2460</v>
      </c>
      <c r="R420" t="s">
        <v>2199</v>
      </c>
      <c r="S420">
        <v>6</v>
      </c>
      <c r="T420">
        <v>7</v>
      </c>
      <c r="U420">
        <v>211</v>
      </c>
      <c r="V420" t="s">
        <v>3045</v>
      </c>
      <c r="W420" t="s">
        <v>3185</v>
      </c>
      <c r="X420" t="s">
        <v>79</v>
      </c>
    </row>
    <row r="421" spans="1:24">
      <c r="A421">
        <v>21187</v>
      </c>
      <c r="B421" t="s">
        <v>3186</v>
      </c>
      <c r="C421" t="s">
        <v>10</v>
      </c>
      <c r="D421" t="s">
        <v>10</v>
      </c>
      <c r="F421" t="s">
        <v>2162</v>
      </c>
      <c r="G421">
        <v>14000</v>
      </c>
      <c r="H421">
        <v>280000</v>
      </c>
      <c r="I421" t="s">
        <v>3066</v>
      </c>
      <c r="J421" t="s">
        <v>10</v>
      </c>
      <c r="K421">
        <v>494.8</v>
      </c>
      <c r="L421">
        <v>3.51</v>
      </c>
      <c r="M421">
        <v>2116</v>
      </c>
      <c r="N421" t="s">
        <v>125</v>
      </c>
      <c r="O421">
        <v>3</v>
      </c>
      <c r="P421" t="s">
        <v>2459</v>
      </c>
      <c r="Q421" t="s">
        <v>2460</v>
      </c>
      <c r="R421" t="s">
        <v>2199</v>
      </c>
      <c r="S421">
        <v>0</v>
      </c>
      <c r="T421">
        <v>0</v>
      </c>
      <c r="U421">
        <v>211</v>
      </c>
      <c r="V421" t="s">
        <v>3045</v>
      </c>
      <c r="W421" t="s">
        <v>3187</v>
      </c>
      <c r="X421" t="s">
        <v>79</v>
      </c>
    </row>
    <row r="422" spans="1:24">
      <c r="A422">
        <v>21188</v>
      </c>
      <c r="B422" t="s">
        <v>3188</v>
      </c>
      <c r="C422" t="s">
        <v>2162</v>
      </c>
      <c r="F422" t="s">
        <v>2162</v>
      </c>
      <c r="G422">
        <v>1</v>
      </c>
      <c r="H422">
        <v>2</v>
      </c>
      <c r="I422" t="s">
        <v>3174</v>
      </c>
      <c r="J422" t="s">
        <v>2162</v>
      </c>
      <c r="K422">
        <v>3620395.54</v>
      </c>
      <c r="L422">
        <v>24652.560000000001</v>
      </c>
      <c r="M422">
        <v>2118</v>
      </c>
      <c r="N422" t="s">
        <v>125</v>
      </c>
      <c r="O422">
        <v>1</v>
      </c>
      <c r="P422" t="s">
        <v>2459</v>
      </c>
      <c r="Q422" t="s">
        <v>2460</v>
      </c>
      <c r="R422" t="s">
        <v>159</v>
      </c>
      <c r="S422">
        <v>4</v>
      </c>
      <c r="T422">
        <v>4</v>
      </c>
      <c r="U422">
        <v>211</v>
      </c>
      <c r="V422" t="s">
        <v>3045</v>
      </c>
      <c r="W422" t="s">
        <v>3189</v>
      </c>
      <c r="X422" t="s">
        <v>79</v>
      </c>
    </row>
    <row r="423" spans="1:24">
      <c r="A423">
        <v>21189</v>
      </c>
      <c r="B423" t="s">
        <v>3190</v>
      </c>
      <c r="C423" t="s">
        <v>2162</v>
      </c>
      <c r="F423" t="s">
        <v>2162</v>
      </c>
      <c r="G423">
        <v>1</v>
      </c>
      <c r="H423">
        <v>2</v>
      </c>
      <c r="I423" t="s">
        <v>3174</v>
      </c>
      <c r="J423" t="s">
        <v>2162</v>
      </c>
      <c r="K423">
        <v>3620395.54</v>
      </c>
      <c r="L423">
        <v>24652.560000000001</v>
      </c>
      <c r="M423">
        <v>2118</v>
      </c>
      <c r="N423" t="s">
        <v>125</v>
      </c>
      <c r="O423">
        <v>1</v>
      </c>
      <c r="P423" t="s">
        <v>2459</v>
      </c>
      <c r="Q423" t="s">
        <v>2460</v>
      </c>
      <c r="R423" t="s">
        <v>159</v>
      </c>
      <c r="S423">
        <v>73</v>
      </c>
      <c r="T423">
        <v>76</v>
      </c>
      <c r="U423">
        <v>211</v>
      </c>
      <c r="V423" t="s">
        <v>3045</v>
      </c>
      <c r="W423" t="s">
        <v>3191</v>
      </c>
      <c r="X423" t="s">
        <v>79</v>
      </c>
    </row>
    <row r="424" spans="1:24">
      <c r="A424">
        <v>21190</v>
      </c>
      <c r="B424" t="s">
        <v>3192</v>
      </c>
      <c r="C424" t="s">
        <v>10</v>
      </c>
      <c r="D424" t="s">
        <v>10</v>
      </c>
      <c r="G424">
        <v>14000</v>
      </c>
      <c r="H424">
        <v>280000</v>
      </c>
      <c r="I424" t="s">
        <v>3066</v>
      </c>
      <c r="J424" t="s">
        <v>10</v>
      </c>
      <c r="K424">
        <v>494.8</v>
      </c>
      <c r="L424">
        <v>3.51</v>
      </c>
      <c r="M424">
        <v>2116</v>
      </c>
      <c r="N424" t="s">
        <v>125</v>
      </c>
      <c r="O424">
        <v>3</v>
      </c>
      <c r="P424" t="s">
        <v>2459</v>
      </c>
      <c r="Q424" t="s">
        <v>2460</v>
      </c>
      <c r="R424" t="s">
        <v>2199</v>
      </c>
      <c r="S424">
        <v>12</v>
      </c>
      <c r="T424">
        <v>13</v>
      </c>
      <c r="U424">
        <v>211</v>
      </c>
      <c r="V424" t="s">
        <v>3045</v>
      </c>
      <c r="W424" t="s">
        <v>3193</v>
      </c>
      <c r="X424" t="s">
        <v>79</v>
      </c>
    </row>
    <row r="425" spans="1:24">
      <c r="A425">
        <v>21191</v>
      </c>
      <c r="B425" t="s">
        <v>3194</v>
      </c>
      <c r="C425" t="s">
        <v>10</v>
      </c>
      <c r="D425" t="s">
        <v>10</v>
      </c>
      <c r="E425" t="s">
        <v>2162</v>
      </c>
      <c r="G425">
        <v>1</v>
      </c>
      <c r="H425">
        <v>2</v>
      </c>
      <c r="I425" t="s">
        <v>3174</v>
      </c>
      <c r="J425" t="s">
        <v>2162</v>
      </c>
      <c r="K425">
        <v>3620395.54</v>
      </c>
      <c r="L425">
        <v>24652.560000000001</v>
      </c>
      <c r="M425">
        <v>2118</v>
      </c>
      <c r="N425" t="s">
        <v>125</v>
      </c>
      <c r="O425">
        <v>3</v>
      </c>
      <c r="P425" t="s">
        <v>2459</v>
      </c>
      <c r="Q425" t="s">
        <v>2460</v>
      </c>
      <c r="R425" t="s">
        <v>159</v>
      </c>
      <c r="S425">
        <v>2</v>
      </c>
      <c r="T425">
        <v>2</v>
      </c>
      <c r="U425">
        <v>211</v>
      </c>
      <c r="V425" t="s">
        <v>3045</v>
      </c>
      <c r="W425" t="s">
        <v>3195</v>
      </c>
      <c r="X425" t="s">
        <v>79</v>
      </c>
    </row>
    <row r="426" spans="1:24">
      <c r="A426">
        <v>21192</v>
      </c>
      <c r="B426" t="s">
        <v>3196</v>
      </c>
      <c r="C426" t="s">
        <v>10</v>
      </c>
      <c r="D426" t="s">
        <v>10</v>
      </c>
      <c r="G426">
        <v>14000</v>
      </c>
      <c r="H426">
        <v>280000</v>
      </c>
      <c r="I426" t="s">
        <v>3066</v>
      </c>
      <c r="J426" t="s">
        <v>10</v>
      </c>
      <c r="K426">
        <v>494.8</v>
      </c>
      <c r="L426">
        <v>3.51</v>
      </c>
      <c r="M426">
        <v>2116</v>
      </c>
      <c r="N426" t="s">
        <v>125</v>
      </c>
      <c r="O426">
        <v>3</v>
      </c>
      <c r="P426" t="s">
        <v>2459</v>
      </c>
      <c r="Q426" t="s">
        <v>2460</v>
      </c>
      <c r="R426" t="s">
        <v>2199</v>
      </c>
      <c r="S426">
        <v>4</v>
      </c>
      <c r="T426">
        <v>5</v>
      </c>
      <c r="U426">
        <v>211</v>
      </c>
      <c r="V426" t="s">
        <v>3045</v>
      </c>
      <c r="W426" t="s">
        <v>3197</v>
      </c>
      <c r="X426" t="s">
        <v>79</v>
      </c>
    </row>
    <row r="427" spans="1:24">
      <c r="A427">
        <v>21193</v>
      </c>
      <c r="B427" t="s">
        <v>3198</v>
      </c>
      <c r="C427" t="s">
        <v>10</v>
      </c>
      <c r="D427" t="s">
        <v>10</v>
      </c>
      <c r="G427">
        <v>14000</v>
      </c>
      <c r="H427">
        <v>280000</v>
      </c>
      <c r="I427" t="s">
        <v>3066</v>
      </c>
      <c r="J427" t="s">
        <v>10</v>
      </c>
      <c r="K427">
        <v>494.8</v>
      </c>
      <c r="L427">
        <v>3.51</v>
      </c>
      <c r="M427">
        <v>2116</v>
      </c>
      <c r="N427" t="s">
        <v>125</v>
      </c>
      <c r="O427">
        <v>3</v>
      </c>
      <c r="P427" t="s">
        <v>2459</v>
      </c>
      <c r="Q427" t="s">
        <v>2460</v>
      </c>
      <c r="R427" t="s">
        <v>2199</v>
      </c>
      <c r="S427">
        <v>7</v>
      </c>
      <c r="T427">
        <v>24</v>
      </c>
      <c r="U427">
        <v>211</v>
      </c>
      <c r="V427" t="s">
        <v>3045</v>
      </c>
      <c r="W427" t="s">
        <v>3199</v>
      </c>
      <c r="X427" t="s">
        <v>79</v>
      </c>
    </row>
    <row r="428" spans="1:24">
      <c r="A428">
        <v>21194</v>
      </c>
      <c r="B428" t="s">
        <v>3200</v>
      </c>
      <c r="C428" t="s">
        <v>10</v>
      </c>
      <c r="D428" t="s">
        <v>10</v>
      </c>
      <c r="F428" t="s">
        <v>2162</v>
      </c>
      <c r="G428">
        <v>1</v>
      </c>
      <c r="H428">
        <v>2</v>
      </c>
      <c r="I428" t="s">
        <v>3174</v>
      </c>
      <c r="J428" t="s">
        <v>2162</v>
      </c>
      <c r="K428">
        <v>3620395.54</v>
      </c>
      <c r="L428">
        <v>24652.560000000001</v>
      </c>
      <c r="M428">
        <v>2118</v>
      </c>
      <c r="N428" t="s">
        <v>125</v>
      </c>
      <c r="O428">
        <v>3</v>
      </c>
      <c r="P428" t="s">
        <v>2459</v>
      </c>
      <c r="Q428" t="s">
        <v>2460</v>
      </c>
      <c r="R428" t="s">
        <v>159</v>
      </c>
      <c r="S428">
        <v>4</v>
      </c>
      <c r="T428">
        <v>4</v>
      </c>
      <c r="U428">
        <v>211</v>
      </c>
      <c r="V428" t="s">
        <v>3045</v>
      </c>
      <c r="W428" t="s">
        <v>3201</v>
      </c>
      <c r="X428" t="s">
        <v>79</v>
      </c>
    </row>
    <row r="429" spans="1:24">
      <c r="A429">
        <v>21195</v>
      </c>
      <c r="B429" t="s">
        <v>3202</v>
      </c>
      <c r="C429" t="s">
        <v>10</v>
      </c>
      <c r="D429" t="s">
        <v>10</v>
      </c>
      <c r="G429">
        <v>14000</v>
      </c>
      <c r="H429">
        <v>280000</v>
      </c>
      <c r="I429" t="s">
        <v>3066</v>
      </c>
      <c r="J429" t="s">
        <v>10</v>
      </c>
      <c r="K429">
        <v>494.8</v>
      </c>
      <c r="L429">
        <v>3.51</v>
      </c>
      <c r="M429">
        <v>2116</v>
      </c>
      <c r="N429" t="s">
        <v>125</v>
      </c>
      <c r="O429">
        <v>3</v>
      </c>
      <c r="P429" t="s">
        <v>2459</v>
      </c>
      <c r="Q429" t="s">
        <v>2460</v>
      </c>
      <c r="R429" t="s">
        <v>2199</v>
      </c>
      <c r="S429">
        <v>60</v>
      </c>
      <c r="T429">
        <v>84</v>
      </c>
      <c r="U429">
        <v>211</v>
      </c>
      <c r="V429" t="s">
        <v>3045</v>
      </c>
      <c r="W429" t="s">
        <v>3203</v>
      </c>
      <c r="X429" t="s">
        <v>79</v>
      </c>
    </row>
    <row r="430" spans="1:24">
      <c r="A430">
        <v>21196</v>
      </c>
      <c r="B430" t="s">
        <v>3204</v>
      </c>
      <c r="C430" t="s">
        <v>10</v>
      </c>
      <c r="D430" t="s">
        <v>10</v>
      </c>
      <c r="G430">
        <v>14000</v>
      </c>
      <c r="H430">
        <v>280000</v>
      </c>
      <c r="I430" t="s">
        <v>3066</v>
      </c>
      <c r="J430" t="s">
        <v>10</v>
      </c>
      <c r="K430">
        <v>494.8</v>
      </c>
      <c r="L430">
        <v>3.51</v>
      </c>
      <c r="M430">
        <v>2116</v>
      </c>
      <c r="N430" t="s">
        <v>125</v>
      </c>
      <c r="O430">
        <v>3</v>
      </c>
      <c r="P430" t="s">
        <v>2459</v>
      </c>
      <c r="Q430" t="s">
        <v>2460</v>
      </c>
      <c r="R430" t="s">
        <v>2199</v>
      </c>
      <c r="S430">
        <v>117</v>
      </c>
      <c r="T430">
        <v>165</v>
      </c>
      <c r="U430">
        <v>211</v>
      </c>
      <c r="V430" t="s">
        <v>3045</v>
      </c>
      <c r="W430" t="s">
        <v>3205</v>
      </c>
      <c r="X430" t="s">
        <v>79</v>
      </c>
    </row>
    <row r="431" spans="1:24">
      <c r="A431">
        <v>21197</v>
      </c>
      <c r="B431" t="s">
        <v>3206</v>
      </c>
      <c r="C431" t="s">
        <v>10</v>
      </c>
      <c r="D431" t="s">
        <v>10</v>
      </c>
      <c r="G431">
        <v>14000</v>
      </c>
      <c r="H431">
        <v>280000</v>
      </c>
      <c r="I431" t="s">
        <v>3066</v>
      </c>
      <c r="J431" t="s">
        <v>10</v>
      </c>
      <c r="K431">
        <v>494.8</v>
      </c>
      <c r="L431">
        <v>3.51</v>
      </c>
      <c r="M431">
        <v>2116</v>
      </c>
      <c r="N431" t="s">
        <v>125</v>
      </c>
      <c r="O431">
        <v>3</v>
      </c>
      <c r="P431" t="s">
        <v>2459</v>
      </c>
      <c r="Q431" t="s">
        <v>2460</v>
      </c>
      <c r="R431" t="s">
        <v>2199</v>
      </c>
      <c r="S431">
        <v>23</v>
      </c>
      <c r="T431">
        <v>51</v>
      </c>
      <c r="U431">
        <v>211</v>
      </c>
      <c r="V431" t="s">
        <v>3045</v>
      </c>
      <c r="W431" t="s">
        <v>3207</v>
      </c>
      <c r="X431" t="s">
        <v>79</v>
      </c>
    </row>
    <row r="432" spans="1:24">
      <c r="A432">
        <v>21198</v>
      </c>
      <c r="B432" t="s">
        <v>3208</v>
      </c>
      <c r="C432" t="s">
        <v>10</v>
      </c>
      <c r="D432" t="s">
        <v>10</v>
      </c>
      <c r="F432" t="s">
        <v>2162</v>
      </c>
      <c r="G432">
        <v>14000</v>
      </c>
      <c r="H432">
        <v>280000</v>
      </c>
      <c r="I432" t="s">
        <v>3066</v>
      </c>
      <c r="J432" t="s">
        <v>10</v>
      </c>
      <c r="K432">
        <v>494.8</v>
      </c>
      <c r="L432">
        <v>3.51</v>
      </c>
      <c r="M432">
        <v>2116</v>
      </c>
      <c r="N432" t="s">
        <v>125</v>
      </c>
      <c r="O432">
        <v>3</v>
      </c>
      <c r="P432" t="s">
        <v>2459</v>
      </c>
      <c r="Q432" t="s">
        <v>2460</v>
      </c>
      <c r="R432" t="s">
        <v>2199</v>
      </c>
      <c r="S432">
        <v>2</v>
      </c>
      <c r="T432">
        <v>3</v>
      </c>
      <c r="U432">
        <v>211</v>
      </c>
      <c r="V432" t="s">
        <v>3045</v>
      </c>
      <c r="W432" t="s">
        <v>3209</v>
      </c>
      <c r="X432" t="s">
        <v>79</v>
      </c>
    </row>
    <row r="433" spans="1:24">
      <c r="A433">
        <v>21199</v>
      </c>
      <c r="B433" t="s">
        <v>3210</v>
      </c>
      <c r="C433" t="s">
        <v>10</v>
      </c>
      <c r="D433" t="s">
        <v>10</v>
      </c>
      <c r="G433">
        <v>11000</v>
      </c>
      <c r="H433">
        <v>100000</v>
      </c>
      <c r="I433" t="s">
        <v>3211</v>
      </c>
      <c r="J433" t="s">
        <v>10</v>
      </c>
      <c r="K433">
        <v>641.04</v>
      </c>
      <c r="L433">
        <v>4.74</v>
      </c>
      <c r="M433">
        <v>4413</v>
      </c>
      <c r="N433" t="s">
        <v>125</v>
      </c>
      <c r="O433">
        <v>3</v>
      </c>
      <c r="P433" t="s">
        <v>2459</v>
      </c>
      <c r="Q433" t="s">
        <v>2460</v>
      </c>
      <c r="R433" t="s">
        <v>2199</v>
      </c>
      <c r="S433">
        <v>28</v>
      </c>
      <c r="T433">
        <v>31</v>
      </c>
      <c r="U433">
        <v>211</v>
      </c>
      <c r="V433" t="s">
        <v>3045</v>
      </c>
      <c r="W433" t="s">
        <v>3212</v>
      </c>
      <c r="X433" t="s">
        <v>79</v>
      </c>
    </row>
    <row r="434" spans="1:24">
      <c r="A434">
        <v>21210</v>
      </c>
      <c r="B434" t="s">
        <v>3213</v>
      </c>
      <c r="C434" t="s">
        <v>10</v>
      </c>
      <c r="D434" t="s">
        <v>10</v>
      </c>
      <c r="G434">
        <v>8000</v>
      </c>
      <c r="H434">
        <v>79000</v>
      </c>
      <c r="I434" t="s">
        <v>3214</v>
      </c>
      <c r="J434" t="s">
        <v>10</v>
      </c>
      <c r="K434">
        <v>338.8</v>
      </c>
      <c r="L434">
        <v>3.64</v>
      </c>
      <c r="M434">
        <v>2121</v>
      </c>
      <c r="N434" t="s">
        <v>125</v>
      </c>
      <c r="O434">
        <v>1</v>
      </c>
      <c r="P434" t="s">
        <v>2608</v>
      </c>
      <c r="Q434" t="s">
        <v>2460</v>
      </c>
      <c r="R434" t="s">
        <v>2199</v>
      </c>
      <c r="S434">
        <v>27</v>
      </c>
      <c r="T434">
        <v>27</v>
      </c>
      <c r="U434">
        <v>212</v>
      </c>
      <c r="V434" t="s">
        <v>3215</v>
      </c>
      <c r="W434" t="s">
        <v>3216</v>
      </c>
      <c r="X434" t="s">
        <v>79</v>
      </c>
    </row>
    <row r="435" spans="1:24">
      <c r="A435">
        <v>21211</v>
      </c>
      <c r="B435" t="s">
        <v>3217</v>
      </c>
      <c r="C435" t="s">
        <v>10</v>
      </c>
      <c r="D435" t="s">
        <v>10</v>
      </c>
      <c r="G435">
        <v>8000</v>
      </c>
      <c r="H435">
        <v>79000</v>
      </c>
      <c r="I435" t="s">
        <v>3214</v>
      </c>
      <c r="J435" t="s">
        <v>10</v>
      </c>
      <c r="K435">
        <v>338.8</v>
      </c>
      <c r="L435">
        <v>3.64</v>
      </c>
      <c r="M435">
        <v>2121</v>
      </c>
      <c r="N435" t="s">
        <v>125</v>
      </c>
      <c r="O435">
        <v>3</v>
      </c>
      <c r="P435" t="s">
        <v>2153</v>
      </c>
      <c r="Q435" t="s">
        <v>2154</v>
      </c>
      <c r="R435" t="s">
        <v>2199</v>
      </c>
      <c r="S435">
        <v>0</v>
      </c>
      <c r="T435">
        <v>0</v>
      </c>
      <c r="U435">
        <v>212</v>
      </c>
      <c r="V435" t="s">
        <v>3215</v>
      </c>
      <c r="W435" t="s">
        <v>3218</v>
      </c>
      <c r="X435" t="s">
        <v>79</v>
      </c>
    </row>
    <row r="436" spans="1:24">
      <c r="A436">
        <v>21220</v>
      </c>
      <c r="B436" t="s">
        <v>3219</v>
      </c>
      <c r="C436" t="s">
        <v>10</v>
      </c>
      <c r="D436" t="s">
        <v>10</v>
      </c>
      <c r="G436">
        <v>7600</v>
      </c>
      <c r="H436">
        <v>34000</v>
      </c>
      <c r="I436" t="s">
        <v>3220</v>
      </c>
      <c r="J436" t="s">
        <v>10</v>
      </c>
      <c r="K436">
        <v>290.89999999999998</v>
      </c>
      <c r="L436">
        <v>6.02</v>
      </c>
      <c r="M436">
        <v>2123</v>
      </c>
      <c r="N436" t="s">
        <v>125</v>
      </c>
      <c r="O436">
        <v>3</v>
      </c>
      <c r="P436" t="s">
        <v>2608</v>
      </c>
      <c r="Q436" t="s">
        <v>2460</v>
      </c>
      <c r="R436" t="s">
        <v>2199</v>
      </c>
      <c r="S436">
        <v>16</v>
      </c>
      <c r="T436">
        <v>19</v>
      </c>
      <c r="U436">
        <v>212</v>
      </c>
      <c r="V436" t="s">
        <v>3215</v>
      </c>
      <c r="W436" t="s">
        <v>3221</v>
      </c>
      <c r="X436" t="s">
        <v>79</v>
      </c>
    </row>
    <row r="437" spans="1:24">
      <c r="A437">
        <v>21230</v>
      </c>
      <c r="B437" t="s">
        <v>3222</v>
      </c>
      <c r="C437" t="s">
        <v>10</v>
      </c>
      <c r="D437" t="s">
        <v>10</v>
      </c>
      <c r="G437">
        <v>8000</v>
      </c>
      <c r="H437">
        <v>79000</v>
      </c>
      <c r="I437" t="s">
        <v>3214</v>
      </c>
      <c r="J437" t="s">
        <v>10</v>
      </c>
      <c r="K437">
        <v>338.8</v>
      </c>
      <c r="L437">
        <v>3.64</v>
      </c>
      <c r="M437">
        <v>2121</v>
      </c>
      <c r="N437" t="s">
        <v>125</v>
      </c>
      <c r="O437">
        <v>3</v>
      </c>
      <c r="P437" t="s">
        <v>2608</v>
      </c>
      <c r="Q437" t="s">
        <v>2460</v>
      </c>
      <c r="R437" t="s">
        <v>2199</v>
      </c>
      <c r="S437">
        <v>21</v>
      </c>
      <c r="T437">
        <v>22</v>
      </c>
      <c r="U437">
        <v>212</v>
      </c>
      <c r="V437" t="s">
        <v>3215</v>
      </c>
      <c r="W437" t="s">
        <v>3223</v>
      </c>
      <c r="X437" t="s">
        <v>79</v>
      </c>
    </row>
    <row r="438" spans="1:24">
      <c r="A438">
        <v>21240</v>
      </c>
      <c r="B438" t="s">
        <v>3224</v>
      </c>
      <c r="C438" t="s">
        <v>2162</v>
      </c>
      <c r="F438" t="s">
        <v>2162</v>
      </c>
      <c r="G438">
        <v>1</v>
      </c>
      <c r="H438">
        <v>1</v>
      </c>
      <c r="I438" t="s">
        <v>3225</v>
      </c>
      <c r="J438" t="s">
        <v>2162</v>
      </c>
      <c r="K438">
        <v>417003.61</v>
      </c>
      <c r="L438">
        <v>6856.12</v>
      </c>
      <c r="M438">
        <v>2124</v>
      </c>
      <c r="N438" t="s">
        <v>79</v>
      </c>
      <c r="O438">
        <v>3</v>
      </c>
      <c r="P438" t="s">
        <v>2608</v>
      </c>
      <c r="Q438" t="s">
        <v>2460</v>
      </c>
      <c r="R438" t="s">
        <v>159</v>
      </c>
      <c r="S438">
        <v>4</v>
      </c>
      <c r="T438">
        <v>4</v>
      </c>
      <c r="U438">
        <v>212</v>
      </c>
      <c r="V438" t="s">
        <v>3215</v>
      </c>
      <c r="W438" t="s">
        <v>3226</v>
      </c>
      <c r="X438" t="s">
        <v>79</v>
      </c>
    </row>
    <row r="439" spans="1:24">
      <c r="A439">
        <v>21250</v>
      </c>
      <c r="B439" t="s">
        <v>3227</v>
      </c>
      <c r="C439" t="s">
        <v>10</v>
      </c>
      <c r="D439" t="s">
        <v>10</v>
      </c>
      <c r="G439">
        <v>50000</v>
      </c>
      <c r="H439">
        <v>160000</v>
      </c>
      <c r="I439" t="s">
        <v>3228</v>
      </c>
      <c r="J439" t="s">
        <v>10</v>
      </c>
      <c r="K439">
        <v>289.95</v>
      </c>
      <c r="L439">
        <v>37.14</v>
      </c>
      <c r="M439">
        <v>2126</v>
      </c>
      <c r="N439" t="s">
        <v>125</v>
      </c>
      <c r="O439">
        <v>2</v>
      </c>
      <c r="P439" t="s">
        <v>2608</v>
      </c>
      <c r="Q439" t="s">
        <v>2460</v>
      </c>
      <c r="R439" t="s">
        <v>2199</v>
      </c>
      <c r="S439">
        <v>28</v>
      </c>
      <c r="T439">
        <v>29</v>
      </c>
      <c r="U439">
        <v>212</v>
      </c>
      <c r="V439" t="s">
        <v>3215</v>
      </c>
      <c r="W439" t="s">
        <v>3229</v>
      </c>
      <c r="X439" t="s">
        <v>79</v>
      </c>
    </row>
    <row r="440" spans="1:24">
      <c r="A440">
        <v>21277</v>
      </c>
      <c r="B440" t="s">
        <v>3230</v>
      </c>
      <c r="C440" t="s">
        <v>10</v>
      </c>
      <c r="D440" t="s">
        <v>10</v>
      </c>
      <c r="G440">
        <v>8000</v>
      </c>
      <c r="H440">
        <v>79000</v>
      </c>
      <c r="I440" t="s">
        <v>3214</v>
      </c>
      <c r="J440" t="s">
        <v>10</v>
      </c>
      <c r="K440">
        <v>338.8</v>
      </c>
      <c r="L440">
        <v>3.64</v>
      </c>
      <c r="M440">
        <v>2121</v>
      </c>
      <c r="N440" t="s">
        <v>125</v>
      </c>
      <c r="O440">
        <v>2</v>
      </c>
      <c r="P440" t="s">
        <v>2608</v>
      </c>
      <c r="Q440" t="s">
        <v>2460</v>
      </c>
      <c r="R440" t="s">
        <v>2199</v>
      </c>
      <c r="S440">
        <v>32</v>
      </c>
      <c r="T440">
        <v>35</v>
      </c>
      <c r="U440">
        <v>212</v>
      </c>
      <c r="V440" t="s">
        <v>3215</v>
      </c>
      <c r="W440" t="s">
        <v>3231</v>
      </c>
      <c r="X440" t="s">
        <v>79</v>
      </c>
    </row>
    <row r="441" spans="1:24">
      <c r="A441">
        <v>21310</v>
      </c>
      <c r="B441" t="s">
        <v>3232</v>
      </c>
      <c r="C441" t="s">
        <v>10</v>
      </c>
      <c r="D441" t="s">
        <v>10</v>
      </c>
      <c r="E441" t="s">
        <v>3233</v>
      </c>
      <c r="F441" t="s">
        <v>2098</v>
      </c>
      <c r="G441">
        <v>14960</v>
      </c>
      <c r="H441">
        <v>230000</v>
      </c>
      <c r="I441" t="s">
        <v>3234</v>
      </c>
      <c r="J441" t="s">
        <v>10</v>
      </c>
      <c r="K441">
        <v>2465.1999999999998</v>
      </c>
      <c r="L441">
        <v>38.54</v>
      </c>
      <c r="M441">
        <v>2131</v>
      </c>
      <c r="N441" t="s">
        <v>125</v>
      </c>
      <c r="O441">
        <v>2</v>
      </c>
      <c r="P441" t="s">
        <v>3235</v>
      </c>
      <c r="Q441" t="s">
        <v>2460</v>
      </c>
      <c r="R441" t="s">
        <v>159</v>
      </c>
      <c r="S441">
        <v>47</v>
      </c>
      <c r="T441">
        <v>47</v>
      </c>
      <c r="U441">
        <v>213</v>
      </c>
      <c r="V441" t="s">
        <v>3236</v>
      </c>
      <c r="W441" t="s">
        <v>3237</v>
      </c>
      <c r="X441" t="s">
        <v>79</v>
      </c>
    </row>
    <row r="442" spans="1:24">
      <c r="A442">
        <v>21312</v>
      </c>
      <c r="B442" t="s">
        <v>3238</v>
      </c>
      <c r="C442" t="s">
        <v>2162</v>
      </c>
      <c r="D442" t="s">
        <v>10</v>
      </c>
      <c r="E442" t="s">
        <v>2162</v>
      </c>
      <c r="G442">
        <v>3</v>
      </c>
      <c r="H442">
        <v>200</v>
      </c>
      <c r="I442" t="s">
        <v>2248</v>
      </c>
      <c r="J442" t="s">
        <v>2162</v>
      </c>
      <c r="K442">
        <v>32240.25</v>
      </c>
      <c r="L442">
        <v>252.36</v>
      </c>
      <c r="M442">
        <v>8927</v>
      </c>
      <c r="N442" t="s">
        <v>125</v>
      </c>
      <c r="O442">
        <v>3</v>
      </c>
      <c r="P442" t="s">
        <v>3235</v>
      </c>
      <c r="Q442" t="s">
        <v>2460</v>
      </c>
      <c r="R442" t="s">
        <v>159</v>
      </c>
      <c r="S442">
        <v>0</v>
      </c>
      <c r="T442">
        <v>0</v>
      </c>
      <c r="U442">
        <v>892</v>
      </c>
      <c r="V442" t="s">
        <v>3239</v>
      </c>
      <c r="W442" t="s">
        <v>3240</v>
      </c>
      <c r="X442" t="s">
        <v>79</v>
      </c>
    </row>
    <row r="443" spans="1:24">
      <c r="A443">
        <v>21313</v>
      </c>
      <c r="B443" t="s">
        <v>3241</v>
      </c>
      <c r="C443" t="s">
        <v>10</v>
      </c>
      <c r="D443" t="s">
        <v>10</v>
      </c>
      <c r="G443">
        <v>21000</v>
      </c>
      <c r="H443">
        <v>250000</v>
      </c>
      <c r="I443" t="s">
        <v>3141</v>
      </c>
      <c r="J443" t="s">
        <v>10</v>
      </c>
      <c r="K443">
        <v>223.3</v>
      </c>
      <c r="L443">
        <v>1.01</v>
      </c>
      <c r="M443">
        <v>4412</v>
      </c>
      <c r="N443" t="s">
        <v>125</v>
      </c>
      <c r="O443">
        <v>3</v>
      </c>
      <c r="P443" t="s">
        <v>3235</v>
      </c>
      <c r="Q443" t="s">
        <v>2460</v>
      </c>
      <c r="R443" t="s">
        <v>159</v>
      </c>
      <c r="S443">
        <v>0</v>
      </c>
      <c r="T443">
        <v>0</v>
      </c>
      <c r="U443">
        <v>441</v>
      </c>
      <c r="V443" t="s">
        <v>3242</v>
      </c>
      <c r="W443" t="s">
        <v>3243</v>
      </c>
      <c r="X443" t="s">
        <v>79</v>
      </c>
    </row>
    <row r="444" spans="1:24">
      <c r="A444">
        <v>21320</v>
      </c>
      <c r="B444" t="s">
        <v>3244</v>
      </c>
      <c r="C444" t="s">
        <v>2162</v>
      </c>
      <c r="E444" t="s">
        <v>3245</v>
      </c>
      <c r="F444" t="s">
        <v>2162</v>
      </c>
      <c r="G444">
        <v>1</v>
      </c>
      <c r="H444">
        <v>1</v>
      </c>
      <c r="I444" t="s">
        <v>3244</v>
      </c>
      <c r="J444" t="s">
        <v>2162</v>
      </c>
      <c r="K444">
        <v>19749.52</v>
      </c>
      <c r="L444">
        <v>954.89</v>
      </c>
      <c r="M444">
        <v>2132</v>
      </c>
      <c r="N444" t="s">
        <v>125</v>
      </c>
      <c r="O444">
        <v>2</v>
      </c>
      <c r="P444" t="s">
        <v>2479</v>
      </c>
      <c r="Q444" t="s">
        <v>2460</v>
      </c>
      <c r="R444" t="s">
        <v>159</v>
      </c>
      <c r="S444">
        <v>5</v>
      </c>
      <c r="T444">
        <v>5</v>
      </c>
      <c r="U444">
        <v>213</v>
      </c>
      <c r="V444" t="s">
        <v>3236</v>
      </c>
      <c r="W444" t="s">
        <v>3246</v>
      </c>
      <c r="X444" t="s">
        <v>79</v>
      </c>
    </row>
    <row r="445" spans="1:24">
      <c r="A445">
        <v>21330</v>
      </c>
      <c r="B445" t="s">
        <v>3247</v>
      </c>
      <c r="C445" t="s">
        <v>10</v>
      </c>
      <c r="D445" t="s">
        <v>10</v>
      </c>
      <c r="G445">
        <v>7900</v>
      </c>
      <c r="H445">
        <v>200000</v>
      </c>
      <c r="I445" t="s">
        <v>2478</v>
      </c>
      <c r="J445" t="s">
        <v>10</v>
      </c>
      <c r="K445">
        <v>478.09</v>
      </c>
      <c r="L445">
        <v>6.44</v>
      </c>
      <c r="M445">
        <v>2133</v>
      </c>
      <c r="N445" t="s">
        <v>125</v>
      </c>
      <c r="O445">
        <v>2</v>
      </c>
      <c r="P445" t="s">
        <v>2479</v>
      </c>
      <c r="Q445" t="s">
        <v>2460</v>
      </c>
      <c r="R445" t="s">
        <v>2199</v>
      </c>
      <c r="S445">
        <v>82</v>
      </c>
      <c r="T445">
        <v>114</v>
      </c>
      <c r="U445">
        <v>213</v>
      </c>
      <c r="V445" t="s">
        <v>3236</v>
      </c>
      <c r="W445" t="s">
        <v>3248</v>
      </c>
      <c r="X445" t="s">
        <v>79</v>
      </c>
    </row>
    <row r="446" spans="1:24" ht="409.5">
      <c r="A446">
        <v>21331</v>
      </c>
      <c r="B446" t="s">
        <v>3249</v>
      </c>
      <c r="C446" t="s">
        <v>10</v>
      </c>
      <c r="D446" t="s">
        <v>10</v>
      </c>
      <c r="G446">
        <v>7900</v>
      </c>
      <c r="H446">
        <v>200000</v>
      </c>
      <c r="I446" t="s">
        <v>2478</v>
      </c>
      <c r="J446" t="s">
        <v>10</v>
      </c>
      <c r="K446">
        <v>478.09</v>
      </c>
      <c r="L446">
        <v>6.44</v>
      </c>
      <c r="M446">
        <v>2133</v>
      </c>
      <c r="N446" t="s">
        <v>125</v>
      </c>
      <c r="O446">
        <v>3</v>
      </c>
      <c r="P446" t="s">
        <v>2479</v>
      </c>
      <c r="Q446" t="s">
        <v>2460</v>
      </c>
      <c r="R446" t="s">
        <v>2199</v>
      </c>
      <c r="S446">
        <v>0</v>
      </c>
      <c r="T446">
        <v>0</v>
      </c>
      <c r="U446">
        <v>213</v>
      </c>
      <c r="V446" t="s">
        <v>3236</v>
      </c>
      <c r="W446" s="2" t="s">
        <v>3250</v>
      </c>
      <c r="X446" t="s">
        <v>79</v>
      </c>
    </row>
    <row r="447" spans="1:24" ht="409.5">
      <c r="A447">
        <v>21332</v>
      </c>
      <c r="B447" t="s">
        <v>3251</v>
      </c>
      <c r="C447" t="s">
        <v>10</v>
      </c>
      <c r="D447" t="s">
        <v>10</v>
      </c>
      <c r="G447">
        <v>11000</v>
      </c>
      <c r="H447">
        <v>130000</v>
      </c>
      <c r="I447" t="s">
        <v>3252</v>
      </c>
      <c r="J447" t="s">
        <v>10</v>
      </c>
      <c r="K447">
        <v>285.38</v>
      </c>
      <c r="L447">
        <v>4.8899999999999997</v>
      </c>
      <c r="M447">
        <v>2134</v>
      </c>
      <c r="N447" t="s">
        <v>125</v>
      </c>
      <c r="O447">
        <v>3</v>
      </c>
      <c r="P447" t="s">
        <v>2479</v>
      </c>
      <c r="Q447" t="s">
        <v>2460</v>
      </c>
      <c r="R447" t="s">
        <v>2199</v>
      </c>
      <c r="S447">
        <v>0</v>
      </c>
      <c r="T447">
        <v>0</v>
      </c>
      <c r="U447">
        <v>213</v>
      </c>
      <c r="V447" t="s">
        <v>3236</v>
      </c>
      <c r="W447" s="2" t="s">
        <v>3253</v>
      </c>
      <c r="X447" t="s">
        <v>79</v>
      </c>
    </row>
    <row r="448" spans="1:24">
      <c r="A448">
        <v>21340</v>
      </c>
      <c r="B448" t="s">
        <v>3254</v>
      </c>
      <c r="C448" t="s">
        <v>2162</v>
      </c>
      <c r="E448" t="s">
        <v>3245</v>
      </c>
      <c r="F448" t="s">
        <v>2162</v>
      </c>
      <c r="G448">
        <v>1</v>
      </c>
      <c r="H448">
        <v>10</v>
      </c>
      <c r="I448" t="s">
        <v>3255</v>
      </c>
      <c r="J448" t="s">
        <v>2162</v>
      </c>
      <c r="K448">
        <v>8179597.4000000004</v>
      </c>
      <c r="L448">
        <v>139784.14000000001</v>
      </c>
      <c r="M448">
        <v>2137</v>
      </c>
      <c r="N448" t="s">
        <v>125</v>
      </c>
      <c r="O448">
        <v>2</v>
      </c>
      <c r="P448" t="s">
        <v>2479</v>
      </c>
      <c r="Q448" t="s">
        <v>2460</v>
      </c>
      <c r="R448" t="s">
        <v>159</v>
      </c>
      <c r="S448">
        <v>18</v>
      </c>
      <c r="T448">
        <v>18</v>
      </c>
      <c r="U448">
        <v>213</v>
      </c>
      <c r="V448" t="s">
        <v>3236</v>
      </c>
      <c r="W448" t="s">
        <v>3256</v>
      </c>
      <c r="X448" t="s">
        <v>79</v>
      </c>
    </row>
    <row r="449" spans="1:24">
      <c r="A449">
        <v>21341</v>
      </c>
      <c r="B449" t="s">
        <v>3257</v>
      </c>
      <c r="C449" t="s">
        <v>10</v>
      </c>
      <c r="D449" t="s">
        <v>10</v>
      </c>
      <c r="G449">
        <v>7900</v>
      </c>
      <c r="H449">
        <v>200000</v>
      </c>
      <c r="I449" t="s">
        <v>2478</v>
      </c>
      <c r="J449" t="s">
        <v>10</v>
      </c>
      <c r="K449">
        <v>478.09</v>
      </c>
      <c r="L449">
        <v>6.44</v>
      </c>
      <c r="M449">
        <v>2133</v>
      </c>
      <c r="N449" t="s">
        <v>125</v>
      </c>
      <c r="O449">
        <v>2</v>
      </c>
      <c r="P449" t="s">
        <v>2479</v>
      </c>
      <c r="Q449" t="s">
        <v>2460</v>
      </c>
      <c r="R449" t="s">
        <v>2199</v>
      </c>
      <c r="S449">
        <v>10</v>
      </c>
      <c r="T449">
        <v>40</v>
      </c>
      <c r="U449">
        <v>213</v>
      </c>
      <c r="V449" t="s">
        <v>3236</v>
      </c>
      <c r="W449" t="s">
        <v>3258</v>
      </c>
      <c r="X449" t="s">
        <v>79</v>
      </c>
    </row>
    <row r="450" spans="1:24">
      <c r="A450">
        <v>21342</v>
      </c>
      <c r="B450" t="s">
        <v>3259</v>
      </c>
      <c r="C450" t="s">
        <v>10</v>
      </c>
      <c r="D450" t="s">
        <v>10</v>
      </c>
      <c r="G450">
        <v>7900</v>
      </c>
      <c r="H450">
        <v>200000</v>
      </c>
      <c r="I450" t="s">
        <v>2478</v>
      </c>
      <c r="J450" t="s">
        <v>10</v>
      </c>
      <c r="K450">
        <v>478.09</v>
      </c>
      <c r="L450">
        <v>6.44</v>
      </c>
      <c r="M450">
        <v>2133</v>
      </c>
      <c r="N450" t="s">
        <v>125</v>
      </c>
      <c r="O450">
        <v>2</v>
      </c>
      <c r="P450" t="s">
        <v>2479</v>
      </c>
      <c r="Q450" t="s">
        <v>2460</v>
      </c>
      <c r="R450" t="s">
        <v>2199</v>
      </c>
      <c r="S450">
        <v>12</v>
      </c>
      <c r="T450">
        <v>23</v>
      </c>
      <c r="U450">
        <v>213</v>
      </c>
      <c r="V450" t="s">
        <v>3236</v>
      </c>
      <c r="W450" t="s">
        <v>3260</v>
      </c>
      <c r="X450" t="s">
        <v>79</v>
      </c>
    </row>
    <row r="451" spans="1:24">
      <c r="A451">
        <v>21343</v>
      </c>
      <c r="B451" t="s">
        <v>3261</v>
      </c>
      <c r="C451" t="s">
        <v>10</v>
      </c>
      <c r="D451" t="s">
        <v>10</v>
      </c>
      <c r="G451">
        <v>7900</v>
      </c>
      <c r="H451">
        <v>200000</v>
      </c>
      <c r="I451" t="s">
        <v>2478</v>
      </c>
      <c r="J451" t="s">
        <v>10</v>
      </c>
      <c r="K451">
        <v>478.09</v>
      </c>
      <c r="L451">
        <v>6.44</v>
      </c>
      <c r="M451">
        <v>2133</v>
      </c>
      <c r="N451" t="s">
        <v>125</v>
      </c>
      <c r="O451">
        <v>2</v>
      </c>
      <c r="P451" t="s">
        <v>2479</v>
      </c>
      <c r="Q451" t="s">
        <v>2460</v>
      </c>
      <c r="R451" t="s">
        <v>2199</v>
      </c>
      <c r="S451">
        <v>7</v>
      </c>
      <c r="T451">
        <v>17</v>
      </c>
      <c r="U451">
        <v>213</v>
      </c>
      <c r="V451" t="s">
        <v>3236</v>
      </c>
      <c r="W451" t="s">
        <v>3262</v>
      </c>
      <c r="X451" t="s">
        <v>79</v>
      </c>
    </row>
    <row r="452" spans="1:24">
      <c r="A452">
        <v>21344</v>
      </c>
      <c r="B452" t="s">
        <v>3263</v>
      </c>
      <c r="C452" t="s">
        <v>10</v>
      </c>
      <c r="D452" t="s">
        <v>10</v>
      </c>
      <c r="G452">
        <v>7900</v>
      </c>
      <c r="H452">
        <v>200000</v>
      </c>
      <c r="I452" t="s">
        <v>2478</v>
      </c>
      <c r="J452" t="s">
        <v>10</v>
      </c>
      <c r="K452">
        <v>478.09</v>
      </c>
      <c r="L452">
        <v>6.44</v>
      </c>
      <c r="M452">
        <v>2133</v>
      </c>
      <c r="N452" t="s">
        <v>125</v>
      </c>
      <c r="O452">
        <v>2</v>
      </c>
      <c r="P452" t="s">
        <v>2479</v>
      </c>
      <c r="Q452" t="s">
        <v>2460</v>
      </c>
      <c r="R452" t="s">
        <v>2199</v>
      </c>
      <c r="S452">
        <v>2</v>
      </c>
      <c r="T452">
        <v>5</v>
      </c>
      <c r="U452">
        <v>213</v>
      </c>
      <c r="V452" t="s">
        <v>3236</v>
      </c>
      <c r="W452" t="s">
        <v>3264</v>
      </c>
      <c r="X452" t="s">
        <v>79</v>
      </c>
    </row>
    <row r="453" spans="1:24">
      <c r="A453">
        <v>21345</v>
      </c>
      <c r="B453" t="s">
        <v>3265</v>
      </c>
      <c r="C453" t="s">
        <v>10</v>
      </c>
      <c r="D453" t="s">
        <v>10</v>
      </c>
      <c r="G453">
        <v>7900</v>
      </c>
      <c r="H453">
        <v>200000</v>
      </c>
      <c r="I453" t="s">
        <v>2478</v>
      </c>
      <c r="J453" t="s">
        <v>10</v>
      </c>
      <c r="K453">
        <v>478.09</v>
      </c>
      <c r="L453">
        <v>6.44</v>
      </c>
      <c r="M453">
        <v>2133</v>
      </c>
      <c r="N453" t="s">
        <v>125</v>
      </c>
      <c r="O453">
        <v>2</v>
      </c>
      <c r="P453" t="s">
        <v>2479</v>
      </c>
      <c r="Q453" t="s">
        <v>2460</v>
      </c>
      <c r="R453" t="s">
        <v>2199</v>
      </c>
      <c r="S453">
        <v>6</v>
      </c>
      <c r="T453">
        <v>33</v>
      </c>
      <c r="U453">
        <v>213</v>
      </c>
      <c r="V453" t="s">
        <v>3236</v>
      </c>
      <c r="W453" t="s">
        <v>3266</v>
      </c>
      <c r="X453" t="s">
        <v>79</v>
      </c>
    </row>
    <row r="454" spans="1:24">
      <c r="A454">
        <v>21348</v>
      </c>
      <c r="B454" t="s">
        <v>3267</v>
      </c>
      <c r="C454" t="s">
        <v>10</v>
      </c>
      <c r="D454" t="s">
        <v>10</v>
      </c>
      <c r="G454">
        <v>7900</v>
      </c>
      <c r="H454">
        <v>200000</v>
      </c>
      <c r="I454" t="s">
        <v>2478</v>
      </c>
      <c r="J454" t="s">
        <v>10</v>
      </c>
      <c r="K454">
        <v>478.09</v>
      </c>
      <c r="L454">
        <v>6.44</v>
      </c>
      <c r="M454">
        <v>2133</v>
      </c>
      <c r="N454" t="s">
        <v>125</v>
      </c>
      <c r="O454">
        <v>2</v>
      </c>
      <c r="P454" t="s">
        <v>2479</v>
      </c>
      <c r="Q454" t="s">
        <v>2460</v>
      </c>
      <c r="R454" t="s">
        <v>2199</v>
      </c>
      <c r="S454">
        <v>12</v>
      </c>
      <c r="T454">
        <v>50</v>
      </c>
      <c r="U454">
        <v>213</v>
      </c>
      <c r="V454" t="s">
        <v>3236</v>
      </c>
      <c r="W454" t="s">
        <v>3268</v>
      </c>
      <c r="X454" t="s">
        <v>79</v>
      </c>
    </row>
    <row r="455" spans="1:24">
      <c r="A455">
        <v>21349</v>
      </c>
      <c r="B455" t="s">
        <v>3269</v>
      </c>
      <c r="C455" t="s">
        <v>10</v>
      </c>
      <c r="D455" t="s">
        <v>10</v>
      </c>
      <c r="G455">
        <v>7900</v>
      </c>
      <c r="H455">
        <v>200000</v>
      </c>
      <c r="I455" t="s">
        <v>2478</v>
      </c>
      <c r="J455" t="s">
        <v>10</v>
      </c>
      <c r="K455">
        <v>478.09</v>
      </c>
      <c r="L455">
        <v>6.44</v>
      </c>
      <c r="M455">
        <v>2133</v>
      </c>
      <c r="N455" t="s">
        <v>125</v>
      </c>
      <c r="O455">
        <v>2</v>
      </c>
      <c r="P455" t="s">
        <v>2479</v>
      </c>
      <c r="Q455" t="s">
        <v>2460</v>
      </c>
      <c r="R455" t="s">
        <v>2199</v>
      </c>
      <c r="S455">
        <v>24</v>
      </c>
      <c r="T455">
        <v>43</v>
      </c>
      <c r="U455">
        <v>213</v>
      </c>
      <c r="V455" t="s">
        <v>3236</v>
      </c>
      <c r="W455" t="s">
        <v>3270</v>
      </c>
      <c r="X455" t="s">
        <v>79</v>
      </c>
    </row>
    <row r="456" spans="1:24">
      <c r="A456">
        <v>21350</v>
      </c>
      <c r="B456" t="s">
        <v>3271</v>
      </c>
      <c r="C456" t="s">
        <v>10</v>
      </c>
      <c r="D456" t="s">
        <v>10</v>
      </c>
      <c r="G456">
        <v>7900</v>
      </c>
      <c r="H456">
        <v>200000</v>
      </c>
      <c r="I456" t="s">
        <v>2478</v>
      </c>
      <c r="J456" t="s">
        <v>10</v>
      </c>
      <c r="K456">
        <v>478.09</v>
      </c>
      <c r="L456">
        <v>6.44</v>
      </c>
      <c r="M456">
        <v>2133</v>
      </c>
      <c r="N456" t="s">
        <v>125</v>
      </c>
      <c r="O456">
        <v>2</v>
      </c>
      <c r="P456" t="s">
        <v>2479</v>
      </c>
      <c r="Q456" t="s">
        <v>2460</v>
      </c>
      <c r="R456" t="s">
        <v>2199</v>
      </c>
      <c r="S456">
        <v>2</v>
      </c>
      <c r="T456">
        <v>4</v>
      </c>
      <c r="U456">
        <v>213</v>
      </c>
      <c r="V456" t="s">
        <v>3236</v>
      </c>
      <c r="W456" t="s">
        <v>3272</v>
      </c>
      <c r="X456" t="s">
        <v>79</v>
      </c>
    </row>
    <row r="457" spans="1:24">
      <c r="A457">
        <v>21351</v>
      </c>
      <c r="B457" t="s">
        <v>3273</v>
      </c>
      <c r="C457" t="s">
        <v>10</v>
      </c>
      <c r="D457" t="s">
        <v>10</v>
      </c>
      <c r="G457">
        <v>7900</v>
      </c>
      <c r="H457">
        <v>200000</v>
      </c>
      <c r="I457" t="s">
        <v>2478</v>
      </c>
      <c r="J457" t="s">
        <v>10</v>
      </c>
      <c r="K457">
        <v>478.09</v>
      </c>
      <c r="L457">
        <v>6.44</v>
      </c>
      <c r="M457">
        <v>2133</v>
      </c>
      <c r="N457" t="s">
        <v>125</v>
      </c>
      <c r="O457">
        <v>2</v>
      </c>
      <c r="P457" t="s">
        <v>2505</v>
      </c>
      <c r="Q457" t="s">
        <v>2154</v>
      </c>
      <c r="R457" t="s">
        <v>2199</v>
      </c>
      <c r="S457">
        <v>6</v>
      </c>
      <c r="T457">
        <v>9</v>
      </c>
      <c r="U457">
        <v>213</v>
      </c>
      <c r="V457" t="s">
        <v>3236</v>
      </c>
      <c r="W457" t="s">
        <v>3274</v>
      </c>
      <c r="X457" t="s">
        <v>79</v>
      </c>
    </row>
    <row r="458" spans="1:24">
      <c r="A458">
        <v>21352</v>
      </c>
      <c r="B458" t="s">
        <v>3275</v>
      </c>
      <c r="C458" t="s">
        <v>10</v>
      </c>
      <c r="D458" t="s">
        <v>10</v>
      </c>
      <c r="G458">
        <v>7900</v>
      </c>
      <c r="H458">
        <v>200000</v>
      </c>
      <c r="I458" t="s">
        <v>2478</v>
      </c>
      <c r="J458" t="s">
        <v>10</v>
      </c>
      <c r="K458">
        <v>478.09</v>
      </c>
      <c r="L458">
        <v>6.44</v>
      </c>
      <c r="M458">
        <v>2133</v>
      </c>
      <c r="N458" t="s">
        <v>125</v>
      </c>
      <c r="O458">
        <v>2</v>
      </c>
      <c r="P458" t="s">
        <v>2479</v>
      </c>
      <c r="Q458" t="s">
        <v>2460</v>
      </c>
      <c r="R458" t="s">
        <v>2199</v>
      </c>
      <c r="S458">
        <v>15</v>
      </c>
      <c r="T458">
        <v>31</v>
      </c>
      <c r="U458">
        <v>213</v>
      </c>
      <c r="V458" t="s">
        <v>3236</v>
      </c>
      <c r="W458" t="s">
        <v>3276</v>
      </c>
      <c r="X458" t="s">
        <v>79</v>
      </c>
    </row>
    <row r="459" spans="1:24">
      <c r="A459">
        <v>21353</v>
      </c>
      <c r="B459" t="s">
        <v>3277</v>
      </c>
      <c r="C459" t="s">
        <v>10</v>
      </c>
      <c r="D459" t="s">
        <v>10</v>
      </c>
      <c r="G459">
        <v>7900</v>
      </c>
      <c r="H459">
        <v>200000</v>
      </c>
      <c r="I459" t="s">
        <v>2478</v>
      </c>
      <c r="J459" t="s">
        <v>10</v>
      </c>
      <c r="K459">
        <v>478.09</v>
      </c>
      <c r="L459">
        <v>6.44</v>
      </c>
      <c r="M459">
        <v>2133</v>
      </c>
      <c r="N459" t="s">
        <v>125</v>
      </c>
      <c r="O459">
        <v>2</v>
      </c>
      <c r="P459" t="s">
        <v>2479</v>
      </c>
      <c r="Q459" t="s">
        <v>2460</v>
      </c>
      <c r="R459" t="s">
        <v>2199</v>
      </c>
      <c r="S459">
        <v>0</v>
      </c>
      <c r="T459">
        <v>3</v>
      </c>
      <c r="U459">
        <v>213</v>
      </c>
      <c r="V459" t="s">
        <v>3236</v>
      </c>
      <c r="W459" t="s">
        <v>3278</v>
      </c>
      <c r="X459" t="s">
        <v>79</v>
      </c>
    </row>
    <row r="460" spans="1:24">
      <c r="A460">
        <v>21354</v>
      </c>
      <c r="B460" t="s">
        <v>3279</v>
      </c>
      <c r="C460" t="s">
        <v>10</v>
      </c>
      <c r="D460" t="s">
        <v>10</v>
      </c>
      <c r="G460">
        <v>7900</v>
      </c>
      <c r="H460">
        <v>200000</v>
      </c>
      <c r="I460" t="s">
        <v>2478</v>
      </c>
      <c r="J460" t="s">
        <v>10</v>
      </c>
      <c r="K460">
        <v>478.09</v>
      </c>
      <c r="L460">
        <v>6.44</v>
      </c>
      <c r="M460">
        <v>2133</v>
      </c>
      <c r="N460" t="s">
        <v>125</v>
      </c>
      <c r="O460">
        <v>2</v>
      </c>
      <c r="P460" t="s">
        <v>2479</v>
      </c>
      <c r="Q460" t="s">
        <v>2460</v>
      </c>
      <c r="R460" t="s">
        <v>2199</v>
      </c>
      <c r="S460">
        <v>8</v>
      </c>
      <c r="T460">
        <v>20</v>
      </c>
      <c r="U460">
        <v>213</v>
      </c>
      <c r="V460" t="s">
        <v>3236</v>
      </c>
      <c r="W460" t="s">
        <v>3280</v>
      </c>
      <c r="X460" t="s">
        <v>79</v>
      </c>
    </row>
    <row r="461" spans="1:24">
      <c r="A461">
        <v>21355</v>
      </c>
      <c r="B461" t="s">
        <v>3281</v>
      </c>
      <c r="C461" t="s">
        <v>10</v>
      </c>
      <c r="D461" t="s">
        <v>10</v>
      </c>
      <c r="G461">
        <v>7900</v>
      </c>
      <c r="H461">
        <v>200000</v>
      </c>
      <c r="I461" t="s">
        <v>2478</v>
      </c>
      <c r="J461" t="s">
        <v>10</v>
      </c>
      <c r="K461">
        <v>478.09</v>
      </c>
      <c r="L461">
        <v>6.44</v>
      </c>
      <c r="M461">
        <v>2133</v>
      </c>
      <c r="N461" t="s">
        <v>125</v>
      </c>
      <c r="O461">
        <v>2</v>
      </c>
      <c r="P461" t="s">
        <v>2479</v>
      </c>
      <c r="Q461" t="s">
        <v>2460</v>
      </c>
      <c r="R461" t="s">
        <v>2199</v>
      </c>
      <c r="S461">
        <v>12</v>
      </c>
      <c r="T461">
        <v>29</v>
      </c>
      <c r="U461">
        <v>213</v>
      </c>
      <c r="V461" t="s">
        <v>3236</v>
      </c>
      <c r="W461" t="s">
        <v>3282</v>
      </c>
      <c r="X461" t="s">
        <v>79</v>
      </c>
    </row>
    <row r="462" spans="1:24">
      <c r="A462">
        <v>21356</v>
      </c>
      <c r="B462" t="s">
        <v>3283</v>
      </c>
      <c r="C462" t="s">
        <v>10</v>
      </c>
      <c r="D462" t="s">
        <v>10</v>
      </c>
      <c r="G462">
        <v>7900</v>
      </c>
      <c r="H462">
        <v>200000</v>
      </c>
      <c r="I462" t="s">
        <v>2478</v>
      </c>
      <c r="J462" t="s">
        <v>10</v>
      </c>
      <c r="K462">
        <v>478.09</v>
      </c>
      <c r="L462">
        <v>6.44</v>
      </c>
      <c r="M462">
        <v>2133</v>
      </c>
      <c r="N462" t="s">
        <v>125</v>
      </c>
      <c r="O462">
        <v>2</v>
      </c>
      <c r="P462" t="s">
        <v>2479</v>
      </c>
      <c r="Q462" t="s">
        <v>2460</v>
      </c>
      <c r="R462" t="s">
        <v>2199</v>
      </c>
      <c r="S462">
        <v>32</v>
      </c>
      <c r="T462">
        <v>59</v>
      </c>
      <c r="U462">
        <v>213</v>
      </c>
      <c r="V462" t="s">
        <v>3236</v>
      </c>
      <c r="W462" t="s">
        <v>3284</v>
      </c>
      <c r="X462" t="s">
        <v>79</v>
      </c>
    </row>
    <row r="463" spans="1:24">
      <c r="A463">
        <v>21357</v>
      </c>
      <c r="B463" t="s">
        <v>3285</v>
      </c>
      <c r="C463" t="s">
        <v>10</v>
      </c>
      <c r="D463" t="s">
        <v>10</v>
      </c>
      <c r="G463">
        <v>7900</v>
      </c>
      <c r="H463">
        <v>200000</v>
      </c>
      <c r="I463" t="s">
        <v>2478</v>
      </c>
      <c r="J463" t="s">
        <v>10</v>
      </c>
      <c r="K463">
        <v>478.09</v>
      </c>
      <c r="L463">
        <v>6.44</v>
      </c>
      <c r="M463">
        <v>2133</v>
      </c>
      <c r="N463" t="s">
        <v>125</v>
      </c>
      <c r="O463">
        <v>2</v>
      </c>
      <c r="P463" t="s">
        <v>2479</v>
      </c>
      <c r="Q463" t="s">
        <v>2460</v>
      </c>
      <c r="R463" t="s">
        <v>2199</v>
      </c>
      <c r="S463">
        <v>24</v>
      </c>
      <c r="T463">
        <v>42</v>
      </c>
      <c r="U463">
        <v>213</v>
      </c>
      <c r="V463" t="s">
        <v>3236</v>
      </c>
      <c r="W463" t="s">
        <v>3286</v>
      </c>
      <c r="X463" t="s">
        <v>79</v>
      </c>
    </row>
    <row r="464" spans="1:24">
      <c r="A464">
        <v>21358</v>
      </c>
      <c r="B464" t="s">
        <v>3287</v>
      </c>
      <c r="C464" t="s">
        <v>10</v>
      </c>
      <c r="D464" t="s">
        <v>10</v>
      </c>
      <c r="G464">
        <v>7900</v>
      </c>
      <c r="H464">
        <v>200000</v>
      </c>
      <c r="I464" t="s">
        <v>2478</v>
      </c>
      <c r="J464" t="s">
        <v>10</v>
      </c>
      <c r="K464">
        <v>478.09</v>
      </c>
      <c r="L464">
        <v>6.44</v>
      </c>
      <c r="M464">
        <v>2133</v>
      </c>
      <c r="N464" t="s">
        <v>125</v>
      </c>
      <c r="O464">
        <v>2</v>
      </c>
      <c r="P464" t="s">
        <v>2567</v>
      </c>
      <c r="Q464" t="s">
        <v>2484</v>
      </c>
      <c r="R464" t="s">
        <v>2199</v>
      </c>
      <c r="S464">
        <v>93</v>
      </c>
      <c r="T464">
        <v>115</v>
      </c>
      <c r="U464">
        <v>213</v>
      </c>
      <c r="V464" t="s">
        <v>3236</v>
      </c>
      <c r="W464" t="s">
        <v>3288</v>
      </c>
      <c r="X464" t="s">
        <v>79</v>
      </c>
    </row>
    <row r="465" spans="1:24">
      <c r="A465">
        <v>21359</v>
      </c>
      <c r="B465" t="s">
        <v>3289</v>
      </c>
      <c r="C465" t="s">
        <v>10</v>
      </c>
      <c r="D465" t="s">
        <v>10</v>
      </c>
      <c r="G465">
        <v>7900</v>
      </c>
      <c r="H465">
        <v>200000</v>
      </c>
      <c r="I465" t="s">
        <v>2478</v>
      </c>
      <c r="J465" t="s">
        <v>10</v>
      </c>
      <c r="K465">
        <v>478.09</v>
      </c>
      <c r="L465">
        <v>6.44</v>
      </c>
      <c r="M465">
        <v>2133</v>
      </c>
      <c r="N465" t="s">
        <v>125</v>
      </c>
      <c r="O465">
        <v>2</v>
      </c>
      <c r="P465" t="s">
        <v>2479</v>
      </c>
      <c r="Q465" t="s">
        <v>2460</v>
      </c>
      <c r="R465" t="s">
        <v>2199</v>
      </c>
      <c r="S465">
        <v>4</v>
      </c>
      <c r="T465">
        <v>4</v>
      </c>
      <c r="U465">
        <v>213</v>
      </c>
      <c r="V465" t="s">
        <v>3236</v>
      </c>
      <c r="W465" t="s">
        <v>3290</v>
      </c>
      <c r="X465" t="s">
        <v>79</v>
      </c>
    </row>
    <row r="466" spans="1:24">
      <c r="A466">
        <v>21360</v>
      </c>
      <c r="B466" t="s">
        <v>3291</v>
      </c>
      <c r="C466" t="s">
        <v>10</v>
      </c>
      <c r="D466" t="s">
        <v>10</v>
      </c>
      <c r="G466">
        <v>7900</v>
      </c>
      <c r="H466">
        <v>200000</v>
      </c>
      <c r="I466" t="s">
        <v>2478</v>
      </c>
      <c r="J466" t="s">
        <v>10</v>
      </c>
      <c r="K466">
        <v>478.09</v>
      </c>
      <c r="L466">
        <v>6.44</v>
      </c>
      <c r="M466">
        <v>2133</v>
      </c>
      <c r="N466" t="s">
        <v>125</v>
      </c>
      <c r="O466">
        <v>2</v>
      </c>
      <c r="P466" t="s">
        <v>2479</v>
      </c>
      <c r="Q466" t="s">
        <v>2460</v>
      </c>
      <c r="R466" t="s">
        <v>2199</v>
      </c>
      <c r="S466">
        <v>57</v>
      </c>
      <c r="T466">
        <v>83</v>
      </c>
      <c r="U466">
        <v>213</v>
      </c>
      <c r="V466" t="s">
        <v>3236</v>
      </c>
      <c r="W466" t="s">
        <v>3292</v>
      </c>
      <c r="X466" t="s">
        <v>79</v>
      </c>
    </row>
    <row r="467" spans="1:24">
      <c r="A467">
        <v>21361</v>
      </c>
      <c r="B467" t="s">
        <v>3293</v>
      </c>
      <c r="C467" t="s">
        <v>10</v>
      </c>
      <c r="D467" t="s">
        <v>10</v>
      </c>
      <c r="G467">
        <v>7900</v>
      </c>
      <c r="H467">
        <v>200000</v>
      </c>
      <c r="I467" t="s">
        <v>2478</v>
      </c>
      <c r="J467" t="s">
        <v>10</v>
      </c>
      <c r="K467">
        <v>478.09</v>
      </c>
      <c r="L467">
        <v>6.44</v>
      </c>
      <c r="M467">
        <v>2133</v>
      </c>
      <c r="N467" t="s">
        <v>125</v>
      </c>
      <c r="O467">
        <v>2</v>
      </c>
      <c r="P467" t="s">
        <v>2479</v>
      </c>
      <c r="Q467" t="s">
        <v>2460</v>
      </c>
      <c r="R467" t="s">
        <v>2199</v>
      </c>
      <c r="S467">
        <v>31</v>
      </c>
      <c r="T467">
        <v>59</v>
      </c>
      <c r="U467">
        <v>213</v>
      </c>
      <c r="V467" t="s">
        <v>3236</v>
      </c>
      <c r="W467" t="s">
        <v>3294</v>
      </c>
      <c r="X467" t="s">
        <v>79</v>
      </c>
    </row>
    <row r="468" spans="1:24">
      <c r="A468">
        <v>21362</v>
      </c>
      <c r="B468" t="s">
        <v>3295</v>
      </c>
      <c r="C468" t="s">
        <v>10</v>
      </c>
      <c r="D468" t="s">
        <v>10</v>
      </c>
      <c r="G468">
        <v>7900</v>
      </c>
      <c r="H468">
        <v>200000</v>
      </c>
      <c r="I468" t="s">
        <v>2478</v>
      </c>
      <c r="J468" t="s">
        <v>10</v>
      </c>
      <c r="K468">
        <v>478.09</v>
      </c>
      <c r="L468">
        <v>6.44</v>
      </c>
      <c r="M468">
        <v>2133</v>
      </c>
      <c r="N468" t="s">
        <v>125</v>
      </c>
      <c r="O468">
        <v>2</v>
      </c>
      <c r="P468" t="s">
        <v>2479</v>
      </c>
      <c r="Q468" t="s">
        <v>2460</v>
      </c>
      <c r="R468" t="s">
        <v>2199</v>
      </c>
      <c r="S468">
        <v>0</v>
      </c>
      <c r="T468">
        <v>3</v>
      </c>
      <c r="U468">
        <v>213</v>
      </c>
      <c r="V468" t="s">
        <v>3236</v>
      </c>
      <c r="W468" t="s">
        <v>3296</v>
      </c>
      <c r="X468" t="s">
        <v>79</v>
      </c>
    </row>
    <row r="469" spans="1:24">
      <c r="A469">
        <v>21363</v>
      </c>
      <c r="B469" t="s">
        <v>3297</v>
      </c>
      <c r="C469" t="s">
        <v>10</v>
      </c>
      <c r="D469" t="s">
        <v>10</v>
      </c>
      <c r="G469">
        <v>7900</v>
      </c>
      <c r="H469">
        <v>200000</v>
      </c>
      <c r="I469" t="s">
        <v>2478</v>
      </c>
      <c r="J469" t="s">
        <v>10</v>
      </c>
      <c r="K469">
        <v>478.09</v>
      </c>
      <c r="L469">
        <v>6.44</v>
      </c>
      <c r="M469">
        <v>2133</v>
      </c>
      <c r="N469" t="s">
        <v>125</v>
      </c>
      <c r="O469">
        <v>2</v>
      </c>
      <c r="P469" t="s">
        <v>2479</v>
      </c>
      <c r="Q469" t="s">
        <v>2460</v>
      </c>
      <c r="R469" t="s">
        <v>2199</v>
      </c>
      <c r="S469">
        <v>6</v>
      </c>
      <c r="T469">
        <v>7</v>
      </c>
      <c r="U469">
        <v>213</v>
      </c>
      <c r="V469" t="s">
        <v>3236</v>
      </c>
      <c r="W469" t="s">
        <v>3298</v>
      </c>
      <c r="X469" t="s">
        <v>79</v>
      </c>
    </row>
    <row r="470" spans="1:24">
      <c r="A470">
        <v>21364</v>
      </c>
      <c r="B470" t="s">
        <v>3299</v>
      </c>
      <c r="C470" t="s">
        <v>10</v>
      </c>
      <c r="D470" t="s">
        <v>10</v>
      </c>
      <c r="G470">
        <v>7900</v>
      </c>
      <c r="H470">
        <v>200000</v>
      </c>
      <c r="I470" t="s">
        <v>2478</v>
      </c>
      <c r="J470" t="s">
        <v>10</v>
      </c>
      <c r="K470">
        <v>478.09</v>
      </c>
      <c r="L470">
        <v>6.44</v>
      </c>
      <c r="M470">
        <v>2133</v>
      </c>
      <c r="N470" t="s">
        <v>125</v>
      </c>
      <c r="O470">
        <v>2</v>
      </c>
      <c r="P470" t="s">
        <v>2479</v>
      </c>
      <c r="Q470" t="s">
        <v>2460</v>
      </c>
      <c r="R470" t="s">
        <v>2199</v>
      </c>
      <c r="S470">
        <v>0</v>
      </c>
      <c r="T470">
        <v>0</v>
      </c>
      <c r="U470">
        <v>213</v>
      </c>
      <c r="V470" t="s">
        <v>3236</v>
      </c>
      <c r="W470" t="s">
        <v>3300</v>
      </c>
      <c r="X470" t="s">
        <v>79</v>
      </c>
    </row>
    <row r="471" spans="1:24">
      <c r="A471">
        <v>21365</v>
      </c>
      <c r="B471" t="s">
        <v>3301</v>
      </c>
      <c r="C471" t="s">
        <v>10</v>
      </c>
      <c r="D471" t="s">
        <v>10</v>
      </c>
      <c r="G471">
        <v>36000</v>
      </c>
      <c r="H471">
        <v>51000</v>
      </c>
      <c r="I471" t="s">
        <v>3302</v>
      </c>
      <c r="J471" t="s">
        <v>10</v>
      </c>
      <c r="K471">
        <v>338.8</v>
      </c>
      <c r="L471">
        <v>5.0999999999999996</v>
      </c>
      <c r="M471">
        <v>2136</v>
      </c>
      <c r="N471" t="s">
        <v>125</v>
      </c>
      <c r="O471">
        <v>2</v>
      </c>
      <c r="P471" t="s">
        <v>2479</v>
      </c>
      <c r="Q471" t="s">
        <v>2460</v>
      </c>
      <c r="R471" t="s">
        <v>2199</v>
      </c>
      <c r="S471">
        <v>34</v>
      </c>
      <c r="T471">
        <v>53</v>
      </c>
      <c r="U471">
        <v>213</v>
      </c>
      <c r="V471" t="s">
        <v>3236</v>
      </c>
      <c r="W471" t="s">
        <v>3303</v>
      </c>
      <c r="X471" t="s">
        <v>79</v>
      </c>
    </row>
    <row r="472" spans="1:24">
      <c r="A472">
        <v>21366</v>
      </c>
      <c r="B472" t="s">
        <v>3304</v>
      </c>
      <c r="C472" t="s">
        <v>10</v>
      </c>
      <c r="D472" t="s">
        <v>10</v>
      </c>
      <c r="G472">
        <v>7900</v>
      </c>
      <c r="H472">
        <v>200000</v>
      </c>
      <c r="I472" t="s">
        <v>2478</v>
      </c>
      <c r="J472" t="s">
        <v>10</v>
      </c>
      <c r="K472">
        <v>478.09</v>
      </c>
      <c r="L472">
        <v>6.44</v>
      </c>
      <c r="M472">
        <v>2133</v>
      </c>
      <c r="N472" t="s">
        <v>125</v>
      </c>
      <c r="O472">
        <v>2</v>
      </c>
      <c r="P472" t="s">
        <v>2479</v>
      </c>
      <c r="Q472" t="s">
        <v>2460</v>
      </c>
      <c r="R472" t="s">
        <v>2199</v>
      </c>
      <c r="S472">
        <v>20</v>
      </c>
      <c r="T472">
        <v>42</v>
      </c>
      <c r="U472">
        <v>213</v>
      </c>
      <c r="V472" t="s">
        <v>3236</v>
      </c>
      <c r="W472" t="s">
        <v>3305</v>
      </c>
      <c r="X472" t="s">
        <v>79</v>
      </c>
    </row>
    <row r="473" spans="1:24">
      <c r="A473">
        <v>21367</v>
      </c>
      <c r="B473" t="s">
        <v>3306</v>
      </c>
      <c r="C473" t="s">
        <v>10</v>
      </c>
      <c r="D473" t="s">
        <v>10</v>
      </c>
      <c r="G473">
        <v>11000</v>
      </c>
      <c r="H473">
        <v>130000</v>
      </c>
      <c r="I473" t="s">
        <v>3252</v>
      </c>
      <c r="J473" t="s">
        <v>10</v>
      </c>
      <c r="K473">
        <v>285.38</v>
      </c>
      <c r="L473">
        <v>4.8899999999999997</v>
      </c>
      <c r="M473">
        <v>2134</v>
      </c>
      <c r="N473" t="s">
        <v>125</v>
      </c>
      <c r="O473">
        <v>3</v>
      </c>
      <c r="P473" t="s">
        <v>3235</v>
      </c>
      <c r="Q473" t="s">
        <v>2460</v>
      </c>
      <c r="R473" t="s">
        <v>2199</v>
      </c>
      <c r="S473">
        <v>37</v>
      </c>
      <c r="T473">
        <v>39</v>
      </c>
      <c r="U473">
        <v>213</v>
      </c>
      <c r="V473" t="s">
        <v>3236</v>
      </c>
      <c r="W473" t="s">
        <v>3307</v>
      </c>
      <c r="X473" t="s">
        <v>79</v>
      </c>
    </row>
    <row r="474" spans="1:24" ht="45">
      <c r="A474">
        <v>21368</v>
      </c>
      <c r="B474" t="s">
        <v>3308</v>
      </c>
      <c r="C474" t="s">
        <v>10</v>
      </c>
      <c r="D474" t="s">
        <v>10</v>
      </c>
      <c r="G474">
        <v>11000</v>
      </c>
      <c r="H474">
        <v>130000</v>
      </c>
      <c r="I474" t="s">
        <v>3252</v>
      </c>
      <c r="J474" t="s">
        <v>10</v>
      </c>
      <c r="K474">
        <v>285.38</v>
      </c>
      <c r="L474">
        <v>4.8899999999999997</v>
      </c>
      <c r="M474">
        <v>2134</v>
      </c>
      <c r="N474" t="s">
        <v>125</v>
      </c>
      <c r="O474">
        <v>3</v>
      </c>
      <c r="P474" t="s">
        <v>2483</v>
      </c>
      <c r="Q474" t="s">
        <v>2484</v>
      </c>
      <c r="R474" t="s">
        <v>2199</v>
      </c>
      <c r="S474">
        <v>26</v>
      </c>
      <c r="T474">
        <v>50</v>
      </c>
      <c r="U474">
        <v>213</v>
      </c>
      <c r="V474" t="s">
        <v>3236</v>
      </c>
      <c r="W474" s="2" t="s">
        <v>3309</v>
      </c>
      <c r="X474" t="s">
        <v>79</v>
      </c>
    </row>
    <row r="475" spans="1:24">
      <c r="A475">
        <v>21369</v>
      </c>
      <c r="B475" t="s">
        <v>3310</v>
      </c>
      <c r="C475" t="s">
        <v>10</v>
      </c>
      <c r="D475" t="s">
        <v>10</v>
      </c>
      <c r="G475">
        <v>5400</v>
      </c>
      <c r="H475">
        <v>23000</v>
      </c>
      <c r="I475" t="s">
        <v>3152</v>
      </c>
      <c r="J475" t="s">
        <v>10</v>
      </c>
      <c r="K475">
        <v>290.38</v>
      </c>
      <c r="L475">
        <v>0.89</v>
      </c>
      <c r="M475">
        <v>2185</v>
      </c>
      <c r="N475" t="s">
        <v>125</v>
      </c>
      <c r="O475">
        <v>3</v>
      </c>
      <c r="P475" t="s">
        <v>2545</v>
      </c>
      <c r="Q475" t="s">
        <v>2460</v>
      </c>
      <c r="R475" t="s">
        <v>159</v>
      </c>
      <c r="S475">
        <v>0</v>
      </c>
      <c r="T475">
        <v>0</v>
      </c>
      <c r="U475">
        <v>218</v>
      </c>
      <c r="V475" t="s">
        <v>3311</v>
      </c>
      <c r="W475" t="s">
        <v>3312</v>
      </c>
      <c r="X475" t="s">
        <v>79</v>
      </c>
    </row>
    <row r="476" spans="1:24">
      <c r="A476">
        <v>21370</v>
      </c>
      <c r="B476" t="s">
        <v>3313</v>
      </c>
      <c r="C476" t="s">
        <v>10</v>
      </c>
      <c r="D476" t="s">
        <v>10</v>
      </c>
      <c r="G476">
        <v>11000</v>
      </c>
      <c r="H476">
        <v>130000</v>
      </c>
      <c r="I476" t="s">
        <v>3252</v>
      </c>
      <c r="J476" t="s">
        <v>10</v>
      </c>
      <c r="K476">
        <v>285.38</v>
      </c>
      <c r="L476">
        <v>4.8899999999999997</v>
      </c>
      <c r="M476">
        <v>2134</v>
      </c>
      <c r="N476" t="s">
        <v>125</v>
      </c>
      <c r="O476">
        <v>2</v>
      </c>
      <c r="P476" t="s">
        <v>2479</v>
      </c>
      <c r="Q476" t="s">
        <v>2460</v>
      </c>
      <c r="R476" t="s">
        <v>2199</v>
      </c>
      <c r="S476">
        <v>244</v>
      </c>
      <c r="T476">
        <v>328</v>
      </c>
      <c r="U476">
        <v>213</v>
      </c>
      <c r="V476" t="s">
        <v>3236</v>
      </c>
      <c r="W476" t="s">
        <v>3314</v>
      </c>
      <c r="X476" t="s">
        <v>79</v>
      </c>
    </row>
    <row r="477" spans="1:24">
      <c r="A477">
        <v>21373</v>
      </c>
      <c r="B477" t="s">
        <v>3315</v>
      </c>
      <c r="C477" t="s">
        <v>2162</v>
      </c>
      <c r="F477" t="s">
        <v>2162</v>
      </c>
      <c r="G477">
        <v>1</v>
      </c>
      <c r="H477">
        <v>1</v>
      </c>
      <c r="I477" t="s">
        <v>3316</v>
      </c>
      <c r="J477" t="s">
        <v>2162</v>
      </c>
      <c r="K477">
        <v>9083175.0999999996</v>
      </c>
      <c r="L477">
        <v>12897.72</v>
      </c>
      <c r="M477">
        <v>2135</v>
      </c>
      <c r="N477" t="s">
        <v>125</v>
      </c>
      <c r="P477" t="s">
        <v>2183</v>
      </c>
      <c r="Q477" t="s">
        <v>2184</v>
      </c>
      <c r="R477" t="s">
        <v>159</v>
      </c>
      <c r="S477">
        <v>14</v>
      </c>
      <c r="T477">
        <v>14</v>
      </c>
      <c r="U477">
        <v>213</v>
      </c>
      <c r="V477" t="s">
        <v>3236</v>
      </c>
      <c r="W477" t="s">
        <v>3317</v>
      </c>
      <c r="X477" t="s">
        <v>79</v>
      </c>
    </row>
    <row r="478" spans="1:24">
      <c r="A478">
        <v>21375</v>
      </c>
      <c r="B478" t="s">
        <v>3318</v>
      </c>
      <c r="C478" t="s">
        <v>10</v>
      </c>
      <c r="D478" t="s">
        <v>10</v>
      </c>
      <c r="G478">
        <v>11000</v>
      </c>
      <c r="H478">
        <v>130000</v>
      </c>
      <c r="I478" t="s">
        <v>3252</v>
      </c>
      <c r="J478" t="s">
        <v>10</v>
      </c>
      <c r="K478">
        <v>285.38</v>
      </c>
      <c r="L478">
        <v>4.8899999999999997</v>
      </c>
      <c r="M478">
        <v>2134</v>
      </c>
      <c r="N478" t="s">
        <v>125</v>
      </c>
      <c r="O478">
        <v>1</v>
      </c>
      <c r="P478" t="s">
        <v>2483</v>
      </c>
      <c r="Q478" t="s">
        <v>2484</v>
      </c>
      <c r="R478" t="s">
        <v>2199</v>
      </c>
      <c r="S478">
        <v>25</v>
      </c>
      <c r="T478">
        <v>25</v>
      </c>
      <c r="U478">
        <v>213</v>
      </c>
      <c r="V478" t="s">
        <v>3236</v>
      </c>
      <c r="W478" t="s">
        <v>3319</v>
      </c>
      <c r="X478" t="s">
        <v>79</v>
      </c>
    </row>
    <row r="479" spans="1:24">
      <c r="A479">
        <v>21377</v>
      </c>
      <c r="B479" t="s">
        <v>3320</v>
      </c>
      <c r="C479" t="s">
        <v>10</v>
      </c>
      <c r="D479" t="s">
        <v>10</v>
      </c>
      <c r="G479">
        <v>18000</v>
      </c>
      <c r="H479">
        <v>1500000</v>
      </c>
      <c r="I479" t="s">
        <v>3321</v>
      </c>
      <c r="J479" t="s">
        <v>10</v>
      </c>
      <c r="K479">
        <v>330</v>
      </c>
      <c r="L479">
        <v>3.33</v>
      </c>
      <c r="M479">
        <v>4421</v>
      </c>
      <c r="N479" t="s">
        <v>125</v>
      </c>
      <c r="O479">
        <v>2</v>
      </c>
      <c r="P479" t="s">
        <v>2479</v>
      </c>
      <c r="Q479" t="s">
        <v>2460</v>
      </c>
      <c r="R479" t="s">
        <v>2199</v>
      </c>
      <c r="S479">
        <v>180</v>
      </c>
      <c r="T479">
        <v>243</v>
      </c>
      <c r="U479">
        <v>213</v>
      </c>
      <c r="V479" t="s">
        <v>3236</v>
      </c>
      <c r="W479" t="s">
        <v>3322</v>
      </c>
      <c r="X479" t="s">
        <v>79</v>
      </c>
    </row>
    <row r="480" spans="1:24">
      <c r="A480">
        <v>21410</v>
      </c>
      <c r="B480" t="s">
        <v>3323</v>
      </c>
      <c r="C480" t="s">
        <v>10</v>
      </c>
      <c r="D480" t="s">
        <v>10</v>
      </c>
      <c r="G480">
        <v>10000</v>
      </c>
      <c r="H480">
        <v>210000</v>
      </c>
      <c r="I480" t="s">
        <v>3324</v>
      </c>
      <c r="J480" t="s">
        <v>10</v>
      </c>
      <c r="K480">
        <v>785</v>
      </c>
      <c r="L480">
        <v>5.69</v>
      </c>
      <c r="M480">
        <v>2141</v>
      </c>
      <c r="N480" t="s">
        <v>125</v>
      </c>
      <c r="O480">
        <v>2</v>
      </c>
      <c r="P480" t="s">
        <v>2567</v>
      </c>
      <c r="Q480" t="s">
        <v>2484</v>
      </c>
      <c r="R480" t="s">
        <v>2199</v>
      </c>
      <c r="S480">
        <v>180</v>
      </c>
      <c r="T480">
        <v>204</v>
      </c>
      <c r="U480">
        <v>214</v>
      </c>
      <c r="V480" t="s">
        <v>3325</v>
      </c>
      <c r="W480" t="s">
        <v>3326</v>
      </c>
      <c r="X480" t="s">
        <v>79</v>
      </c>
    </row>
    <row r="481" spans="1:24">
      <c r="A481">
        <v>21420</v>
      </c>
      <c r="B481" t="s">
        <v>3327</v>
      </c>
      <c r="C481" t="s">
        <v>10</v>
      </c>
      <c r="D481" t="s">
        <v>10</v>
      </c>
      <c r="G481">
        <v>10000</v>
      </c>
      <c r="H481">
        <v>210000</v>
      </c>
      <c r="I481" t="s">
        <v>3324</v>
      </c>
      <c r="J481" t="s">
        <v>10</v>
      </c>
      <c r="K481">
        <v>785</v>
      </c>
      <c r="L481">
        <v>5.69</v>
      </c>
      <c r="M481">
        <v>2141</v>
      </c>
      <c r="N481" t="s">
        <v>125</v>
      </c>
      <c r="O481">
        <v>1</v>
      </c>
      <c r="P481" t="s">
        <v>2205</v>
      </c>
      <c r="Q481" t="s">
        <v>2206</v>
      </c>
      <c r="R481" t="s">
        <v>2199</v>
      </c>
      <c r="S481">
        <v>301</v>
      </c>
      <c r="T481">
        <v>360</v>
      </c>
      <c r="U481">
        <v>214</v>
      </c>
      <c r="V481" t="s">
        <v>3325</v>
      </c>
      <c r="W481" t="s">
        <v>3328</v>
      </c>
      <c r="X481" t="s">
        <v>79</v>
      </c>
    </row>
    <row r="482" spans="1:24">
      <c r="A482">
        <v>21430</v>
      </c>
      <c r="B482" t="s">
        <v>3329</v>
      </c>
      <c r="C482" t="s">
        <v>10</v>
      </c>
      <c r="D482" t="s">
        <v>10</v>
      </c>
      <c r="G482">
        <v>10000</v>
      </c>
      <c r="H482">
        <v>210000</v>
      </c>
      <c r="I482" t="s">
        <v>3324</v>
      </c>
      <c r="J482" t="s">
        <v>10</v>
      </c>
      <c r="K482">
        <v>785</v>
      </c>
      <c r="L482">
        <v>5.69</v>
      </c>
      <c r="M482">
        <v>2141</v>
      </c>
      <c r="N482" t="s">
        <v>125</v>
      </c>
      <c r="O482">
        <v>1</v>
      </c>
      <c r="P482" t="s">
        <v>2168</v>
      </c>
      <c r="Q482" t="s">
        <v>2169</v>
      </c>
      <c r="R482" t="s">
        <v>2199</v>
      </c>
      <c r="S482">
        <v>25</v>
      </c>
      <c r="T482">
        <v>28</v>
      </c>
      <c r="U482">
        <v>214</v>
      </c>
      <c r="V482" t="s">
        <v>3325</v>
      </c>
      <c r="W482" t="s">
        <v>3330</v>
      </c>
      <c r="X482" t="s">
        <v>79</v>
      </c>
    </row>
    <row r="483" spans="1:24">
      <c r="A483">
        <v>21440</v>
      </c>
      <c r="B483" t="s">
        <v>3331</v>
      </c>
      <c r="C483" t="s">
        <v>10</v>
      </c>
      <c r="D483" t="s">
        <v>10</v>
      </c>
      <c r="G483">
        <v>5400</v>
      </c>
      <c r="H483">
        <v>23000</v>
      </c>
      <c r="I483" t="s">
        <v>3152</v>
      </c>
      <c r="J483" t="s">
        <v>10</v>
      </c>
      <c r="K483">
        <v>290.38</v>
      </c>
      <c r="L483">
        <v>0.89</v>
      </c>
      <c r="M483">
        <v>2185</v>
      </c>
      <c r="N483" t="s">
        <v>125</v>
      </c>
      <c r="O483">
        <v>1</v>
      </c>
      <c r="P483" t="s">
        <v>2205</v>
      </c>
      <c r="Q483" t="s">
        <v>2206</v>
      </c>
      <c r="R483" t="s">
        <v>159</v>
      </c>
      <c r="S483">
        <v>55</v>
      </c>
      <c r="T483">
        <v>69</v>
      </c>
      <c r="U483">
        <v>214</v>
      </c>
      <c r="V483" t="s">
        <v>3325</v>
      </c>
      <c r="W483" t="s">
        <v>3332</v>
      </c>
      <c r="X483" t="s">
        <v>79</v>
      </c>
    </row>
    <row r="484" spans="1:24">
      <c r="A484">
        <v>21451</v>
      </c>
      <c r="B484" t="s">
        <v>3333</v>
      </c>
      <c r="C484" t="s">
        <v>10</v>
      </c>
      <c r="D484" t="s">
        <v>10</v>
      </c>
      <c r="G484">
        <v>10000</v>
      </c>
      <c r="H484">
        <v>210000</v>
      </c>
      <c r="I484" t="s">
        <v>3324</v>
      </c>
      <c r="J484" t="s">
        <v>10</v>
      </c>
      <c r="K484">
        <v>785</v>
      </c>
      <c r="L484">
        <v>5.69</v>
      </c>
      <c r="M484">
        <v>2141</v>
      </c>
      <c r="N484" t="s">
        <v>125</v>
      </c>
      <c r="O484">
        <v>1</v>
      </c>
      <c r="P484" t="s">
        <v>2483</v>
      </c>
      <c r="Q484" t="s">
        <v>2484</v>
      </c>
      <c r="R484" t="s">
        <v>2199</v>
      </c>
      <c r="S484">
        <v>279</v>
      </c>
      <c r="T484">
        <v>350</v>
      </c>
      <c r="U484">
        <v>214</v>
      </c>
      <c r="V484" t="s">
        <v>3325</v>
      </c>
      <c r="W484" t="s">
        <v>3334</v>
      </c>
      <c r="X484" t="s">
        <v>79</v>
      </c>
    </row>
    <row r="485" spans="1:24">
      <c r="A485">
        <v>21453</v>
      </c>
      <c r="B485" t="s">
        <v>3335</v>
      </c>
      <c r="C485" t="s">
        <v>10</v>
      </c>
      <c r="D485" t="s">
        <v>10</v>
      </c>
      <c r="G485">
        <v>10000</v>
      </c>
      <c r="H485">
        <v>210000</v>
      </c>
      <c r="I485" t="s">
        <v>3324</v>
      </c>
      <c r="J485" t="s">
        <v>10</v>
      </c>
      <c r="K485">
        <v>785</v>
      </c>
      <c r="L485">
        <v>5.69</v>
      </c>
      <c r="M485">
        <v>2141</v>
      </c>
      <c r="N485" t="s">
        <v>125</v>
      </c>
      <c r="O485">
        <v>1</v>
      </c>
      <c r="P485" t="s">
        <v>2505</v>
      </c>
      <c r="Q485" t="s">
        <v>2154</v>
      </c>
      <c r="R485" t="s">
        <v>2199</v>
      </c>
      <c r="S485">
        <v>44</v>
      </c>
      <c r="T485">
        <v>50</v>
      </c>
      <c r="U485">
        <v>214</v>
      </c>
      <c r="V485" t="s">
        <v>3325</v>
      </c>
      <c r="W485" t="s">
        <v>3336</v>
      </c>
      <c r="X485" t="s">
        <v>79</v>
      </c>
    </row>
    <row r="486" spans="1:24">
      <c r="A486">
        <v>21455</v>
      </c>
      <c r="B486" t="s">
        <v>3337</v>
      </c>
      <c r="C486" t="s">
        <v>2162</v>
      </c>
      <c r="D486" t="s">
        <v>10</v>
      </c>
      <c r="F486" t="s">
        <v>2162</v>
      </c>
      <c r="G486">
        <v>1</v>
      </c>
      <c r="H486">
        <v>23</v>
      </c>
      <c r="I486" t="s">
        <v>3338</v>
      </c>
      <c r="J486" t="s">
        <v>2162</v>
      </c>
      <c r="K486">
        <v>198829.05</v>
      </c>
      <c r="L486">
        <v>2939.78</v>
      </c>
      <c r="M486">
        <v>2145</v>
      </c>
      <c r="N486" t="s">
        <v>79</v>
      </c>
      <c r="O486">
        <v>1</v>
      </c>
      <c r="P486" t="s">
        <v>2205</v>
      </c>
      <c r="Q486" t="s">
        <v>2206</v>
      </c>
      <c r="R486" t="s">
        <v>159</v>
      </c>
      <c r="S486">
        <v>580</v>
      </c>
      <c r="T486">
        <v>589</v>
      </c>
      <c r="U486">
        <v>214</v>
      </c>
      <c r="V486" t="s">
        <v>3325</v>
      </c>
      <c r="W486" t="s">
        <v>3339</v>
      </c>
      <c r="X486" t="s">
        <v>79</v>
      </c>
    </row>
    <row r="487" spans="1:24">
      <c r="A487">
        <v>21456</v>
      </c>
      <c r="B487" t="s">
        <v>3340</v>
      </c>
      <c r="C487" t="s">
        <v>2162</v>
      </c>
      <c r="D487" t="s">
        <v>10</v>
      </c>
      <c r="F487" t="s">
        <v>2162</v>
      </c>
      <c r="G487">
        <v>1</v>
      </c>
      <c r="H487">
        <v>23</v>
      </c>
      <c r="I487" t="s">
        <v>3338</v>
      </c>
      <c r="J487" t="s">
        <v>2162</v>
      </c>
      <c r="K487">
        <v>198829.05</v>
      </c>
      <c r="L487">
        <v>2939.78</v>
      </c>
      <c r="M487">
        <v>2145</v>
      </c>
      <c r="N487" t="s">
        <v>79</v>
      </c>
      <c r="O487">
        <v>1</v>
      </c>
      <c r="P487" t="s">
        <v>2205</v>
      </c>
      <c r="Q487" t="s">
        <v>2206</v>
      </c>
      <c r="R487" t="s">
        <v>159</v>
      </c>
      <c r="S487">
        <v>42</v>
      </c>
      <c r="T487">
        <v>42</v>
      </c>
      <c r="U487">
        <v>214</v>
      </c>
      <c r="V487" t="s">
        <v>3325</v>
      </c>
      <c r="W487" t="s">
        <v>3341</v>
      </c>
      <c r="X487" t="s">
        <v>79</v>
      </c>
    </row>
    <row r="488" spans="1:24">
      <c r="A488">
        <v>21510</v>
      </c>
      <c r="B488" t="s">
        <v>3342</v>
      </c>
      <c r="C488" t="s">
        <v>10</v>
      </c>
      <c r="D488" t="s">
        <v>10</v>
      </c>
      <c r="G488">
        <v>8700</v>
      </c>
      <c r="H488">
        <v>35000</v>
      </c>
      <c r="I488" t="s">
        <v>3343</v>
      </c>
      <c r="J488" t="s">
        <v>10</v>
      </c>
      <c r="K488">
        <v>467.67</v>
      </c>
      <c r="L488">
        <v>3.31</v>
      </c>
      <c r="M488">
        <v>2152</v>
      </c>
      <c r="N488" t="s">
        <v>125</v>
      </c>
      <c r="O488">
        <v>3</v>
      </c>
      <c r="P488" t="s">
        <v>2505</v>
      </c>
      <c r="Q488" t="s">
        <v>2154</v>
      </c>
      <c r="R488" t="s">
        <v>2199</v>
      </c>
      <c r="S488">
        <v>7</v>
      </c>
      <c r="T488">
        <v>12</v>
      </c>
      <c r="U488">
        <v>215</v>
      </c>
      <c r="V488" t="s">
        <v>3344</v>
      </c>
      <c r="W488" t="s">
        <v>3345</v>
      </c>
      <c r="X488" t="s">
        <v>79</v>
      </c>
    </row>
    <row r="489" spans="1:24">
      <c r="A489">
        <v>21520</v>
      </c>
      <c r="B489" t="s">
        <v>3346</v>
      </c>
      <c r="C489" t="s">
        <v>10</v>
      </c>
      <c r="D489" t="s">
        <v>10</v>
      </c>
      <c r="G489">
        <v>8700</v>
      </c>
      <c r="H489">
        <v>35000</v>
      </c>
      <c r="I489" t="s">
        <v>3343</v>
      </c>
      <c r="J489" t="s">
        <v>10</v>
      </c>
      <c r="K489">
        <v>467.67</v>
      </c>
      <c r="L489">
        <v>3.31</v>
      </c>
      <c r="M489">
        <v>2152</v>
      </c>
      <c r="N489" t="s">
        <v>125</v>
      </c>
      <c r="O489">
        <v>3</v>
      </c>
      <c r="P489" t="s">
        <v>2505</v>
      </c>
      <c r="Q489" t="s">
        <v>2154</v>
      </c>
      <c r="R489" t="s">
        <v>2199</v>
      </c>
      <c r="S489">
        <v>3</v>
      </c>
      <c r="T489">
        <v>5</v>
      </c>
      <c r="U489">
        <v>215</v>
      </c>
      <c r="V489" t="s">
        <v>3344</v>
      </c>
      <c r="W489" t="s">
        <v>3347</v>
      </c>
      <c r="X489" t="s">
        <v>79</v>
      </c>
    </row>
    <row r="490" spans="1:24">
      <c r="A490">
        <v>21530</v>
      </c>
      <c r="B490" t="s">
        <v>3348</v>
      </c>
      <c r="C490" t="s">
        <v>10</v>
      </c>
      <c r="D490" t="s">
        <v>10</v>
      </c>
      <c r="G490">
        <v>8700</v>
      </c>
      <c r="H490">
        <v>35000</v>
      </c>
      <c r="I490" t="s">
        <v>3343</v>
      </c>
      <c r="J490" t="s">
        <v>10</v>
      </c>
      <c r="K490">
        <v>467.67</v>
      </c>
      <c r="L490">
        <v>3.31</v>
      </c>
      <c r="M490">
        <v>2152</v>
      </c>
      <c r="N490" t="s">
        <v>125</v>
      </c>
      <c r="O490">
        <v>3</v>
      </c>
      <c r="P490" t="s">
        <v>2505</v>
      </c>
      <c r="Q490" t="s">
        <v>2154</v>
      </c>
      <c r="R490" t="s">
        <v>2199</v>
      </c>
      <c r="S490">
        <v>13</v>
      </c>
      <c r="T490">
        <v>15</v>
      </c>
      <c r="U490">
        <v>215</v>
      </c>
      <c r="V490" t="s">
        <v>3344</v>
      </c>
      <c r="W490" t="s">
        <v>3349</v>
      </c>
      <c r="X490" t="s">
        <v>79</v>
      </c>
    </row>
    <row r="491" spans="1:24">
      <c r="A491">
        <v>21540</v>
      </c>
      <c r="B491" t="s">
        <v>3350</v>
      </c>
      <c r="C491" t="s">
        <v>10</v>
      </c>
      <c r="D491" t="s">
        <v>10</v>
      </c>
      <c r="G491">
        <v>11000</v>
      </c>
      <c r="H491">
        <v>130000</v>
      </c>
      <c r="I491" t="s">
        <v>3252</v>
      </c>
      <c r="J491" t="s">
        <v>10</v>
      </c>
      <c r="K491">
        <v>285.38</v>
      </c>
      <c r="L491">
        <v>4.8899999999999997</v>
      </c>
      <c r="M491">
        <v>2134</v>
      </c>
      <c r="N491" t="s">
        <v>79</v>
      </c>
      <c r="O491">
        <v>4</v>
      </c>
      <c r="P491" t="s">
        <v>2713</v>
      </c>
      <c r="Q491" t="s">
        <v>2184</v>
      </c>
      <c r="R491" t="s">
        <v>2199</v>
      </c>
      <c r="S491">
        <v>0</v>
      </c>
      <c r="T491">
        <v>0</v>
      </c>
      <c r="U491">
        <v>215</v>
      </c>
      <c r="V491" t="s">
        <v>3344</v>
      </c>
      <c r="W491" t="s">
        <v>3351</v>
      </c>
      <c r="X491" t="s">
        <v>79</v>
      </c>
    </row>
    <row r="492" spans="1:24">
      <c r="A492">
        <v>21550</v>
      </c>
      <c r="B492" t="s">
        <v>3352</v>
      </c>
      <c r="C492" t="s">
        <v>10</v>
      </c>
      <c r="D492" t="s">
        <v>10</v>
      </c>
      <c r="G492">
        <v>8700</v>
      </c>
      <c r="H492">
        <v>35000</v>
      </c>
      <c r="I492" t="s">
        <v>3343</v>
      </c>
      <c r="J492" t="s">
        <v>10</v>
      </c>
      <c r="K492">
        <v>467.67</v>
      </c>
      <c r="L492">
        <v>3.31</v>
      </c>
      <c r="M492">
        <v>2152</v>
      </c>
      <c r="N492" t="s">
        <v>125</v>
      </c>
      <c r="O492">
        <v>3</v>
      </c>
      <c r="P492" t="s">
        <v>2505</v>
      </c>
      <c r="Q492" t="s">
        <v>2154</v>
      </c>
      <c r="R492" t="s">
        <v>2199</v>
      </c>
      <c r="S492">
        <v>6</v>
      </c>
      <c r="T492">
        <v>8</v>
      </c>
      <c r="U492">
        <v>215</v>
      </c>
      <c r="V492" t="s">
        <v>3344</v>
      </c>
      <c r="W492" t="s">
        <v>3353</v>
      </c>
      <c r="X492" t="s">
        <v>79</v>
      </c>
    </row>
    <row r="493" spans="1:24">
      <c r="A493">
        <v>21560</v>
      </c>
      <c r="B493" t="s">
        <v>3354</v>
      </c>
      <c r="C493" t="s">
        <v>10</v>
      </c>
      <c r="D493" t="s">
        <v>10</v>
      </c>
      <c r="G493">
        <v>9900</v>
      </c>
      <c r="H493">
        <v>38000</v>
      </c>
      <c r="I493" t="s">
        <v>3355</v>
      </c>
      <c r="J493" t="s">
        <v>10</v>
      </c>
      <c r="K493">
        <v>478.09</v>
      </c>
      <c r="L493">
        <v>3.69</v>
      </c>
      <c r="M493">
        <v>2151</v>
      </c>
      <c r="N493" t="s">
        <v>125</v>
      </c>
      <c r="O493">
        <v>3</v>
      </c>
      <c r="P493" t="s">
        <v>2505</v>
      </c>
      <c r="Q493" t="s">
        <v>2154</v>
      </c>
      <c r="R493" t="s">
        <v>2199</v>
      </c>
      <c r="S493">
        <v>25</v>
      </c>
      <c r="T493">
        <v>27</v>
      </c>
      <c r="U493">
        <v>215</v>
      </c>
      <c r="V493" t="s">
        <v>3344</v>
      </c>
      <c r="W493" t="s">
        <v>3356</v>
      </c>
      <c r="X493" t="s">
        <v>79</v>
      </c>
    </row>
    <row r="494" spans="1:24">
      <c r="A494">
        <v>21605</v>
      </c>
      <c r="B494" t="s">
        <v>3357</v>
      </c>
      <c r="C494" t="s">
        <v>10</v>
      </c>
      <c r="D494" t="s">
        <v>10</v>
      </c>
      <c r="E494" t="s">
        <v>2740</v>
      </c>
      <c r="G494">
        <v>5800</v>
      </c>
      <c r="H494">
        <v>83000</v>
      </c>
      <c r="I494" t="s">
        <v>3358</v>
      </c>
      <c r="J494" t="s">
        <v>10</v>
      </c>
      <c r="K494">
        <v>323.42</v>
      </c>
      <c r="L494">
        <v>6.24</v>
      </c>
      <c r="M494">
        <v>2162</v>
      </c>
      <c r="N494" t="s">
        <v>79</v>
      </c>
      <c r="O494">
        <v>3</v>
      </c>
      <c r="P494" t="s">
        <v>2505</v>
      </c>
      <c r="Q494" t="s">
        <v>2154</v>
      </c>
      <c r="R494" t="s">
        <v>2199</v>
      </c>
      <c r="S494">
        <v>48</v>
      </c>
      <c r="T494">
        <v>57</v>
      </c>
      <c r="U494">
        <v>216</v>
      </c>
      <c r="V494" t="s">
        <v>3359</v>
      </c>
      <c r="W494" t="s">
        <v>3360</v>
      </c>
      <c r="X494" t="s">
        <v>79</v>
      </c>
    </row>
    <row r="495" spans="1:24">
      <c r="A495">
        <v>21610</v>
      </c>
      <c r="B495" t="s">
        <v>3361</v>
      </c>
      <c r="C495" t="s">
        <v>10</v>
      </c>
      <c r="D495" t="s">
        <v>10</v>
      </c>
      <c r="G495">
        <v>5800</v>
      </c>
      <c r="H495">
        <v>83000</v>
      </c>
      <c r="I495" t="s">
        <v>3358</v>
      </c>
      <c r="J495" t="s">
        <v>10</v>
      </c>
      <c r="K495">
        <v>323.42</v>
      </c>
      <c r="L495">
        <v>6.24</v>
      </c>
      <c r="M495">
        <v>2162</v>
      </c>
      <c r="N495" t="s">
        <v>125</v>
      </c>
      <c r="O495">
        <v>3</v>
      </c>
      <c r="P495" t="s">
        <v>2505</v>
      </c>
      <c r="Q495" t="s">
        <v>2154</v>
      </c>
      <c r="R495" t="s">
        <v>2199</v>
      </c>
      <c r="S495">
        <v>45</v>
      </c>
      <c r="T495">
        <v>48</v>
      </c>
      <c r="U495">
        <v>216</v>
      </c>
      <c r="V495" t="s">
        <v>3359</v>
      </c>
      <c r="W495" t="s">
        <v>3362</v>
      </c>
      <c r="X495" t="s">
        <v>79</v>
      </c>
    </row>
    <row r="496" spans="1:24">
      <c r="A496">
        <v>21620</v>
      </c>
      <c r="B496" t="s">
        <v>3363</v>
      </c>
      <c r="C496" t="s">
        <v>10</v>
      </c>
      <c r="D496" t="s">
        <v>10</v>
      </c>
      <c r="G496">
        <v>5800</v>
      </c>
      <c r="H496">
        <v>83000</v>
      </c>
      <c r="I496" t="s">
        <v>3358</v>
      </c>
      <c r="J496" t="s">
        <v>10</v>
      </c>
      <c r="K496">
        <v>323.42</v>
      </c>
      <c r="L496">
        <v>6.24</v>
      </c>
      <c r="M496">
        <v>2162</v>
      </c>
      <c r="N496" t="s">
        <v>125</v>
      </c>
      <c r="O496">
        <v>3</v>
      </c>
      <c r="P496" t="s">
        <v>2505</v>
      </c>
      <c r="Q496" t="s">
        <v>2154</v>
      </c>
      <c r="R496" t="s">
        <v>2199</v>
      </c>
      <c r="S496">
        <v>5</v>
      </c>
      <c r="T496">
        <v>5</v>
      </c>
      <c r="U496">
        <v>216</v>
      </c>
      <c r="V496" t="s">
        <v>3359</v>
      </c>
      <c r="W496" t="s">
        <v>3364</v>
      </c>
      <c r="X496" t="s">
        <v>79</v>
      </c>
    </row>
    <row r="497" spans="1:24">
      <c r="A497">
        <v>21630</v>
      </c>
      <c r="B497" t="s">
        <v>3365</v>
      </c>
      <c r="C497" t="s">
        <v>10</v>
      </c>
      <c r="D497" t="s">
        <v>10</v>
      </c>
      <c r="G497">
        <v>5800</v>
      </c>
      <c r="H497">
        <v>83000</v>
      </c>
      <c r="I497" t="s">
        <v>3358</v>
      </c>
      <c r="J497" t="s">
        <v>10</v>
      </c>
      <c r="K497">
        <v>323.42</v>
      </c>
      <c r="L497">
        <v>6.24</v>
      </c>
      <c r="M497">
        <v>2162</v>
      </c>
      <c r="N497" t="s">
        <v>125</v>
      </c>
      <c r="O497">
        <v>3</v>
      </c>
      <c r="P497" t="s">
        <v>2505</v>
      </c>
      <c r="Q497" t="s">
        <v>2154</v>
      </c>
      <c r="R497" t="s">
        <v>2199</v>
      </c>
      <c r="S497">
        <v>12</v>
      </c>
      <c r="T497">
        <v>12</v>
      </c>
      <c r="U497">
        <v>216</v>
      </c>
      <c r="V497" t="s">
        <v>3359</v>
      </c>
      <c r="W497" t="s">
        <v>3366</v>
      </c>
      <c r="X497" t="s">
        <v>79</v>
      </c>
    </row>
    <row r="498" spans="1:24">
      <c r="A498">
        <v>21640</v>
      </c>
      <c r="B498" t="s">
        <v>3367</v>
      </c>
      <c r="C498" t="s">
        <v>10</v>
      </c>
      <c r="D498" t="s">
        <v>10</v>
      </c>
      <c r="G498">
        <v>5800</v>
      </c>
      <c r="H498">
        <v>83000</v>
      </c>
      <c r="I498" t="s">
        <v>3358</v>
      </c>
      <c r="J498" t="s">
        <v>10</v>
      </c>
      <c r="K498">
        <v>323.42</v>
      </c>
      <c r="L498">
        <v>6.24</v>
      </c>
      <c r="M498">
        <v>2162</v>
      </c>
      <c r="N498" t="s">
        <v>125</v>
      </c>
      <c r="O498">
        <v>3</v>
      </c>
      <c r="P498" t="s">
        <v>2505</v>
      </c>
      <c r="Q498" t="s">
        <v>2154</v>
      </c>
      <c r="R498" t="s">
        <v>2199</v>
      </c>
      <c r="S498">
        <v>43</v>
      </c>
      <c r="T498">
        <v>44</v>
      </c>
      <c r="U498">
        <v>216</v>
      </c>
      <c r="V498" t="s">
        <v>3359</v>
      </c>
      <c r="W498" t="s">
        <v>3368</v>
      </c>
      <c r="X498" t="s">
        <v>79</v>
      </c>
    </row>
    <row r="499" spans="1:24">
      <c r="A499">
        <v>21650</v>
      </c>
      <c r="B499" t="s">
        <v>3369</v>
      </c>
      <c r="C499" t="s">
        <v>10</v>
      </c>
      <c r="D499" t="s">
        <v>10</v>
      </c>
      <c r="G499">
        <v>5600</v>
      </c>
      <c r="H499">
        <v>16000</v>
      </c>
      <c r="I499" t="s">
        <v>3370</v>
      </c>
      <c r="J499" t="s">
        <v>10</v>
      </c>
      <c r="K499">
        <v>338.8</v>
      </c>
      <c r="L499">
        <v>3.95</v>
      </c>
      <c r="M499">
        <v>2153</v>
      </c>
      <c r="N499" t="s">
        <v>125</v>
      </c>
      <c r="O499">
        <v>3</v>
      </c>
      <c r="P499" t="s">
        <v>2505</v>
      </c>
      <c r="Q499" t="s">
        <v>2154</v>
      </c>
      <c r="R499" t="s">
        <v>2199</v>
      </c>
      <c r="S499">
        <v>2</v>
      </c>
      <c r="T499">
        <v>3</v>
      </c>
      <c r="U499">
        <v>216</v>
      </c>
      <c r="V499" t="s">
        <v>3359</v>
      </c>
      <c r="W499" t="s">
        <v>3371</v>
      </c>
      <c r="X499" t="s">
        <v>79</v>
      </c>
    </row>
    <row r="500" spans="1:24">
      <c r="A500">
        <v>21655</v>
      </c>
      <c r="B500" t="s">
        <v>3372</v>
      </c>
      <c r="C500" t="s">
        <v>10</v>
      </c>
      <c r="D500" t="s">
        <v>10</v>
      </c>
      <c r="G500">
        <v>13000</v>
      </c>
      <c r="H500">
        <v>16000</v>
      </c>
      <c r="I500" t="s">
        <v>3373</v>
      </c>
      <c r="J500" t="s">
        <v>10</v>
      </c>
      <c r="K500">
        <v>321.12</v>
      </c>
      <c r="L500">
        <v>5.99</v>
      </c>
      <c r="M500">
        <v>2161</v>
      </c>
      <c r="N500" t="s">
        <v>125</v>
      </c>
      <c r="O500">
        <v>1</v>
      </c>
      <c r="P500" t="s">
        <v>2505</v>
      </c>
      <c r="Q500" t="s">
        <v>2154</v>
      </c>
      <c r="R500" t="s">
        <v>2199</v>
      </c>
      <c r="S500">
        <v>11</v>
      </c>
      <c r="T500">
        <v>12</v>
      </c>
      <c r="U500">
        <v>216</v>
      </c>
      <c r="V500" t="s">
        <v>3359</v>
      </c>
      <c r="W500" t="s">
        <v>3374</v>
      </c>
      <c r="X500" t="s">
        <v>79</v>
      </c>
    </row>
    <row r="501" spans="1:24">
      <c r="A501">
        <v>21660</v>
      </c>
      <c r="B501" t="s">
        <v>3375</v>
      </c>
      <c r="C501" t="s">
        <v>10</v>
      </c>
      <c r="D501" t="s">
        <v>10</v>
      </c>
      <c r="G501">
        <v>5800</v>
      </c>
      <c r="H501">
        <v>83000</v>
      </c>
      <c r="I501" t="s">
        <v>3358</v>
      </c>
      <c r="J501" t="s">
        <v>10</v>
      </c>
      <c r="K501">
        <v>323.42</v>
      </c>
      <c r="L501">
        <v>6.24</v>
      </c>
      <c r="M501">
        <v>2162</v>
      </c>
      <c r="N501" t="s">
        <v>125</v>
      </c>
      <c r="O501">
        <v>3</v>
      </c>
      <c r="P501" t="s">
        <v>2505</v>
      </c>
      <c r="Q501" t="s">
        <v>2154</v>
      </c>
      <c r="R501" t="s">
        <v>2199</v>
      </c>
      <c r="S501">
        <v>28</v>
      </c>
      <c r="T501">
        <v>36</v>
      </c>
      <c r="U501">
        <v>216</v>
      </c>
      <c r="V501" t="s">
        <v>3359</v>
      </c>
      <c r="W501" t="s">
        <v>3376</v>
      </c>
      <c r="X501" t="s">
        <v>79</v>
      </c>
    </row>
    <row r="502" spans="1:24">
      <c r="A502">
        <v>21677</v>
      </c>
      <c r="B502" t="s">
        <v>3377</v>
      </c>
      <c r="C502" t="s">
        <v>10</v>
      </c>
      <c r="D502" t="s">
        <v>10</v>
      </c>
      <c r="G502">
        <v>5800</v>
      </c>
      <c r="H502">
        <v>83000</v>
      </c>
      <c r="I502" t="s">
        <v>3358</v>
      </c>
      <c r="J502" t="s">
        <v>10</v>
      </c>
      <c r="K502">
        <v>323.42</v>
      </c>
      <c r="L502">
        <v>6.24</v>
      </c>
      <c r="M502">
        <v>2162</v>
      </c>
      <c r="N502" t="s">
        <v>125</v>
      </c>
      <c r="O502">
        <v>2</v>
      </c>
      <c r="P502" t="s">
        <v>2505</v>
      </c>
      <c r="Q502" t="s">
        <v>2154</v>
      </c>
      <c r="R502" t="s">
        <v>2199</v>
      </c>
      <c r="S502">
        <v>37</v>
      </c>
      <c r="T502">
        <v>42</v>
      </c>
      <c r="U502">
        <v>216</v>
      </c>
      <c r="V502" t="s">
        <v>3359</v>
      </c>
      <c r="W502" t="s">
        <v>3378</v>
      </c>
      <c r="X502" t="s">
        <v>79</v>
      </c>
    </row>
    <row r="503" spans="1:24">
      <c r="A503">
        <v>21710</v>
      </c>
      <c r="B503" t="s">
        <v>3379</v>
      </c>
      <c r="C503" t="s">
        <v>10</v>
      </c>
      <c r="D503" t="s">
        <v>10</v>
      </c>
      <c r="G503">
        <v>7200</v>
      </c>
      <c r="H503">
        <v>72000</v>
      </c>
      <c r="I503" t="s">
        <v>3380</v>
      </c>
      <c r="J503" t="s">
        <v>10</v>
      </c>
      <c r="K503">
        <v>224.09</v>
      </c>
      <c r="L503">
        <v>4.8899999999999997</v>
      </c>
      <c r="M503">
        <v>2171</v>
      </c>
      <c r="N503" t="s">
        <v>125</v>
      </c>
      <c r="O503">
        <v>1</v>
      </c>
      <c r="P503" t="s">
        <v>2545</v>
      </c>
      <c r="Q503" t="s">
        <v>2460</v>
      </c>
      <c r="R503" t="s">
        <v>2199</v>
      </c>
      <c r="S503">
        <v>212</v>
      </c>
      <c r="T503">
        <v>386</v>
      </c>
      <c r="U503">
        <v>217</v>
      </c>
      <c r="V503" t="s">
        <v>3381</v>
      </c>
      <c r="W503" t="s">
        <v>3382</v>
      </c>
      <c r="X503" t="s">
        <v>79</v>
      </c>
    </row>
    <row r="504" spans="1:24">
      <c r="A504">
        <v>21720</v>
      </c>
      <c r="B504" t="s">
        <v>3383</v>
      </c>
      <c r="C504" t="s">
        <v>2162</v>
      </c>
      <c r="F504" t="s">
        <v>2162</v>
      </c>
      <c r="G504">
        <v>1</v>
      </c>
      <c r="H504">
        <v>1</v>
      </c>
      <c r="I504" t="s">
        <v>3384</v>
      </c>
      <c r="J504" t="s">
        <v>2162</v>
      </c>
      <c r="K504">
        <v>140196.84</v>
      </c>
      <c r="L504">
        <v>13885.38</v>
      </c>
      <c r="M504">
        <v>2173</v>
      </c>
      <c r="N504" t="s">
        <v>79</v>
      </c>
      <c r="O504">
        <v>1</v>
      </c>
      <c r="P504" t="s">
        <v>2479</v>
      </c>
      <c r="Q504" t="s">
        <v>2460</v>
      </c>
      <c r="R504" t="s">
        <v>159</v>
      </c>
      <c r="S504">
        <v>18</v>
      </c>
      <c r="T504">
        <v>18</v>
      </c>
      <c r="U504">
        <v>217</v>
      </c>
      <c r="V504" t="s">
        <v>3381</v>
      </c>
      <c r="W504" t="s">
        <v>3385</v>
      </c>
      <c r="X504" t="s">
        <v>79</v>
      </c>
    </row>
    <row r="505" spans="1:24">
      <c r="A505">
        <v>21730</v>
      </c>
      <c r="B505" t="s">
        <v>3386</v>
      </c>
      <c r="C505" t="s">
        <v>10</v>
      </c>
      <c r="D505" t="s">
        <v>10</v>
      </c>
      <c r="G505">
        <v>7200</v>
      </c>
      <c r="H505">
        <v>72000</v>
      </c>
      <c r="I505" t="s">
        <v>3380</v>
      </c>
      <c r="J505" t="s">
        <v>10</v>
      </c>
      <c r="K505">
        <v>224.09</v>
      </c>
      <c r="L505">
        <v>4.8899999999999997</v>
      </c>
      <c r="M505">
        <v>2171</v>
      </c>
      <c r="N505" t="s">
        <v>125</v>
      </c>
      <c r="O505">
        <v>1</v>
      </c>
      <c r="P505" t="s">
        <v>2545</v>
      </c>
      <c r="Q505" t="s">
        <v>2460</v>
      </c>
      <c r="R505" t="s">
        <v>2199</v>
      </c>
      <c r="S505">
        <v>21</v>
      </c>
      <c r="T505">
        <v>23</v>
      </c>
      <c r="U505">
        <v>217</v>
      </c>
      <c r="V505" t="s">
        <v>3381</v>
      </c>
      <c r="W505" t="s">
        <v>3387</v>
      </c>
      <c r="X505" t="s">
        <v>79</v>
      </c>
    </row>
    <row r="506" spans="1:24">
      <c r="A506">
        <v>21740</v>
      </c>
      <c r="B506" t="s">
        <v>3388</v>
      </c>
      <c r="C506" t="s">
        <v>2162</v>
      </c>
      <c r="F506" t="s">
        <v>2162</v>
      </c>
      <c r="G506">
        <v>1</v>
      </c>
      <c r="H506">
        <v>1</v>
      </c>
      <c r="I506" t="s">
        <v>3384</v>
      </c>
      <c r="J506" t="s">
        <v>2162</v>
      </c>
      <c r="K506">
        <v>140196.84</v>
      </c>
      <c r="L506">
        <v>13885.38</v>
      </c>
      <c r="M506">
        <v>2173</v>
      </c>
      <c r="N506" t="s">
        <v>79</v>
      </c>
      <c r="O506">
        <v>2</v>
      </c>
      <c r="P506" t="s">
        <v>2479</v>
      </c>
      <c r="Q506" t="s">
        <v>2460</v>
      </c>
      <c r="R506" t="s">
        <v>159</v>
      </c>
      <c r="S506">
        <v>5</v>
      </c>
      <c r="T506">
        <v>5</v>
      </c>
      <c r="U506">
        <v>217</v>
      </c>
      <c r="V506" t="s">
        <v>3381</v>
      </c>
      <c r="W506" t="s">
        <v>3389</v>
      </c>
      <c r="X506" t="s">
        <v>79</v>
      </c>
    </row>
    <row r="507" spans="1:24">
      <c r="A507">
        <v>21750</v>
      </c>
      <c r="B507" t="s">
        <v>3390</v>
      </c>
      <c r="C507" t="s">
        <v>2162</v>
      </c>
      <c r="F507" t="s">
        <v>2162</v>
      </c>
      <c r="G507">
        <v>1</v>
      </c>
      <c r="H507">
        <v>1</v>
      </c>
      <c r="I507" t="s">
        <v>3384</v>
      </c>
      <c r="J507" t="s">
        <v>2162</v>
      </c>
      <c r="K507">
        <v>140196.84</v>
      </c>
      <c r="L507">
        <v>13885.38</v>
      </c>
      <c r="M507">
        <v>2173</v>
      </c>
      <c r="N507" t="s">
        <v>125</v>
      </c>
      <c r="O507">
        <v>1</v>
      </c>
      <c r="P507" t="s">
        <v>2479</v>
      </c>
      <c r="Q507" t="s">
        <v>2460</v>
      </c>
      <c r="R507" t="s">
        <v>159</v>
      </c>
      <c r="S507">
        <v>2</v>
      </c>
      <c r="T507">
        <v>2</v>
      </c>
      <c r="U507">
        <v>217</v>
      </c>
      <c r="V507" t="s">
        <v>3381</v>
      </c>
      <c r="W507" t="s">
        <v>3391</v>
      </c>
      <c r="X507" t="s">
        <v>79</v>
      </c>
    </row>
    <row r="508" spans="1:24">
      <c r="A508">
        <v>21777</v>
      </c>
      <c r="B508" t="s">
        <v>3392</v>
      </c>
      <c r="C508" t="s">
        <v>10</v>
      </c>
      <c r="D508" t="s">
        <v>10</v>
      </c>
      <c r="G508">
        <v>7200</v>
      </c>
      <c r="H508">
        <v>72000</v>
      </c>
      <c r="I508" t="s">
        <v>3380</v>
      </c>
      <c r="J508" t="s">
        <v>10</v>
      </c>
      <c r="K508">
        <v>224.09</v>
      </c>
      <c r="L508">
        <v>4.8899999999999997</v>
      </c>
      <c r="M508">
        <v>2171</v>
      </c>
      <c r="N508" t="s">
        <v>125</v>
      </c>
      <c r="O508">
        <v>2</v>
      </c>
      <c r="P508" t="s">
        <v>2545</v>
      </c>
      <c r="Q508" t="s">
        <v>2460</v>
      </c>
      <c r="R508" t="s">
        <v>2199</v>
      </c>
      <c r="S508">
        <v>85</v>
      </c>
      <c r="T508">
        <v>119</v>
      </c>
      <c r="U508">
        <v>217</v>
      </c>
      <c r="V508" t="s">
        <v>3381</v>
      </c>
      <c r="W508" t="s">
        <v>3393</v>
      </c>
      <c r="X508" t="s">
        <v>79</v>
      </c>
    </row>
    <row r="509" spans="1:24">
      <c r="A509">
        <v>21810</v>
      </c>
      <c r="B509" t="s">
        <v>3394</v>
      </c>
      <c r="C509" t="s">
        <v>10</v>
      </c>
      <c r="D509" t="s">
        <v>10</v>
      </c>
      <c r="G509">
        <v>5000</v>
      </c>
      <c r="H509">
        <v>100000</v>
      </c>
      <c r="I509" t="s">
        <v>3395</v>
      </c>
      <c r="J509" t="s">
        <v>10</v>
      </c>
      <c r="K509">
        <v>478.09</v>
      </c>
      <c r="L509">
        <v>4.8899999999999997</v>
      </c>
      <c r="M509">
        <v>2182</v>
      </c>
      <c r="N509" t="s">
        <v>125</v>
      </c>
      <c r="O509">
        <v>1</v>
      </c>
      <c r="P509" t="s">
        <v>2479</v>
      </c>
      <c r="Q509" t="s">
        <v>2460</v>
      </c>
      <c r="R509" t="s">
        <v>2199</v>
      </c>
      <c r="S509">
        <v>8</v>
      </c>
      <c r="T509">
        <v>11</v>
      </c>
      <c r="U509">
        <v>218</v>
      </c>
      <c r="V509" t="s">
        <v>3311</v>
      </c>
      <c r="W509" t="s">
        <v>3396</v>
      </c>
      <c r="X509" t="s">
        <v>79</v>
      </c>
    </row>
    <row r="510" spans="1:24">
      <c r="A510">
        <v>21820</v>
      </c>
      <c r="B510" t="s">
        <v>3397</v>
      </c>
      <c r="C510" t="s">
        <v>10</v>
      </c>
      <c r="D510" t="s">
        <v>10</v>
      </c>
      <c r="G510">
        <v>5000</v>
      </c>
      <c r="H510">
        <v>100000</v>
      </c>
      <c r="I510" t="s">
        <v>3395</v>
      </c>
      <c r="J510" t="s">
        <v>10</v>
      </c>
      <c r="K510">
        <v>478.09</v>
      </c>
      <c r="L510">
        <v>4.8899999999999997</v>
      </c>
      <c r="M510">
        <v>2182</v>
      </c>
      <c r="N510" t="s">
        <v>125</v>
      </c>
      <c r="O510">
        <v>1</v>
      </c>
      <c r="P510" t="s">
        <v>2567</v>
      </c>
      <c r="Q510" t="s">
        <v>2484</v>
      </c>
      <c r="R510" t="s">
        <v>2199</v>
      </c>
      <c r="S510">
        <v>65</v>
      </c>
      <c r="T510">
        <v>89</v>
      </c>
      <c r="U510">
        <v>218</v>
      </c>
      <c r="V510" t="s">
        <v>3311</v>
      </c>
      <c r="W510" t="s">
        <v>3398</v>
      </c>
      <c r="X510" t="s">
        <v>79</v>
      </c>
    </row>
    <row r="511" spans="1:24">
      <c r="A511">
        <v>21825</v>
      </c>
      <c r="B511" t="s">
        <v>3399</v>
      </c>
      <c r="C511" t="s">
        <v>10</v>
      </c>
      <c r="D511" t="s">
        <v>10</v>
      </c>
      <c r="G511">
        <v>6100</v>
      </c>
      <c r="H511">
        <v>160000</v>
      </c>
      <c r="I511" t="s">
        <v>3400</v>
      </c>
      <c r="J511" t="s">
        <v>10</v>
      </c>
      <c r="K511">
        <v>478.09</v>
      </c>
      <c r="L511">
        <v>5.1100000000000003</v>
      </c>
      <c r="M511">
        <v>2181</v>
      </c>
      <c r="N511" t="s">
        <v>125</v>
      </c>
      <c r="O511">
        <v>1</v>
      </c>
      <c r="P511" t="s">
        <v>2467</v>
      </c>
      <c r="Q511" t="s">
        <v>2101</v>
      </c>
      <c r="R511" t="s">
        <v>2199</v>
      </c>
      <c r="S511">
        <v>0</v>
      </c>
      <c r="T511">
        <v>0</v>
      </c>
      <c r="U511">
        <v>218</v>
      </c>
      <c r="V511" t="s">
        <v>3311</v>
      </c>
      <c r="W511" t="s">
        <v>3401</v>
      </c>
      <c r="X511" t="s">
        <v>79</v>
      </c>
    </row>
    <row r="512" spans="1:24">
      <c r="A512">
        <v>21830</v>
      </c>
      <c r="B512" t="s">
        <v>3402</v>
      </c>
      <c r="C512" t="s">
        <v>10</v>
      </c>
      <c r="D512" t="s">
        <v>10</v>
      </c>
      <c r="G512">
        <v>5000</v>
      </c>
      <c r="H512">
        <v>100000</v>
      </c>
      <c r="I512" t="s">
        <v>3395</v>
      </c>
      <c r="J512" t="s">
        <v>10</v>
      </c>
      <c r="K512">
        <v>478.09</v>
      </c>
      <c r="L512">
        <v>4.8899999999999997</v>
      </c>
      <c r="M512">
        <v>2182</v>
      </c>
      <c r="N512" t="s">
        <v>125</v>
      </c>
      <c r="O512">
        <v>1</v>
      </c>
      <c r="P512" t="s">
        <v>2479</v>
      </c>
      <c r="Q512" t="s">
        <v>2460</v>
      </c>
      <c r="R512" t="s">
        <v>2199</v>
      </c>
      <c r="S512">
        <v>0</v>
      </c>
      <c r="T512">
        <v>0</v>
      </c>
      <c r="U512">
        <v>218</v>
      </c>
      <c r="V512" t="s">
        <v>3311</v>
      </c>
      <c r="W512" t="s">
        <v>3403</v>
      </c>
      <c r="X512" t="s">
        <v>79</v>
      </c>
    </row>
    <row r="513" spans="1:24">
      <c r="A513">
        <v>21835</v>
      </c>
      <c r="B513" t="s">
        <v>3404</v>
      </c>
      <c r="C513" t="s">
        <v>10</v>
      </c>
      <c r="D513" t="s">
        <v>10</v>
      </c>
      <c r="G513">
        <v>5000</v>
      </c>
      <c r="H513">
        <v>100000</v>
      </c>
      <c r="I513" t="s">
        <v>3395</v>
      </c>
      <c r="J513" t="s">
        <v>10</v>
      </c>
      <c r="K513">
        <v>478.09</v>
      </c>
      <c r="L513">
        <v>4.8899999999999997</v>
      </c>
      <c r="M513">
        <v>2182</v>
      </c>
      <c r="N513" t="s">
        <v>125</v>
      </c>
      <c r="O513">
        <v>3</v>
      </c>
      <c r="P513" t="s">
        <v>2545</v>
      </c>
      <c r="Q513" t="s">
        <v>2460</v>
      </c>
      <c r="R513" t="s">
        <v>2199</v>
      </c>
      <c r="S513">
        <v>9</v>
      </c>
      <c r="T513">
        <v>9</v>
      </c>
      <c r="U513">
        <v>218</v>
      </c>
      <c r="V513" t="s">
        <v>3311</v>
      </c>
      <c r="W513" t="s">
        <v>3405</v>
      </c>
      <c r="X513" t="s">
        <v>79</v>
      </c>
    </row>
    <row r="514" spans="1:24">
      <c r="A514">
        <v>21840</v>
      </c>
      <c r="B514" t="s">
        <v>3406</v>
      </c>
      <c r="C514" t="s">
        <v>10</v>
      </c>
      <c r="D514" t="s">
        <v>10</v>
      </c>
      <c r="G514">
        <v>6000</v>
      </c>
      <c r="H514">
        <v>35000</v>
      </c>
      <c r="I514" t="s">
        <v>3406</v>
      </c>
      <c r="J514" t="s">
        <v>10</v>
      </c>
      <c r="K514">
        <v>478.09</v>
      </c>
      <c r="L514">
        <v>5.09</v>
      </c>
      <c r="M514">
        <v>2183</v>
      </c>
      <c r="N514" t="s">
        <v>125</v>
      </c>
      <c r="O514">
        <v>1</v>
      </c>
      <c r="P514" t="s">
        <v>2205</v>
      </c>
      <c r="Q514" t="s">
        <v>2206</v>
      </c>
      <c r="R514" t="s">
        <v>2199</v>
      </c>
      <c r="S514">
        <v>11</v>
      </c>
      <c r="T514">
        <v>12</v>
      </c>
      <c r="U514">
        <v>218</v>
      </c>
      <c r="V514" t="s">
        <v>3311</v>
      </c>
      <c r="W514" t="s">
        <v>3407</v>
      </c>
      <c r="X514" t="s">
        <v>79</v>
      </c>
    </row>
    <row r="515" spans="1:24">
      <c r="A515">
        <v>21845</v>
      </c>
      <c r="B515" t="s">
        <v>3408</v>
      </c>
      <c r="C515" t="s">
        <v>10</v>
      </c>
      <c r="D515" t="s">
        <v>10</v>
      </c>
      <c r="G515">
        <v>5000</v>
      </c>
      <c r="H515">
        <v>100000</v>
      </c>
      <c r="I515" t="s">
        <v>3395</v>
      </c>
      <c r="J515" t="s">
        <v>10</v>
      </c>
      <c r="K515">
        <v>478.09</v>
      </c>
      <c r="L515">
        <v>4.8899999999999997</v>
      </c>
      <c r="M515">
        <v>2182</v>
      </c>
      <c r="N515" t="s">
        <v>125</v>
      </c>
      <c r="O515">
        <v>2</v>
      </c>
      <c r="P515" t="s">
        <v>2545</v>
      </c>
      <c r="Q515" t="s">
        <v>2460</v>
      </c>
      <c r="R515" t="s">
        <v>2199</v>
      </c>
      <c r="S515">
        <v>20</v>
      </c>
      <c r="T515">
        <v>31</v>
      </c>
      <c r="U515">
        <v>218</v>
      </c>
      <c r="V515" t="s">
        <v>3311</v>
      </c>
      <c r="W515" t="s">
        <v>3409</v>
      </c>
      <c r="X515" t="s">
        <v>79</v>
      </c>
    </row>
    <row r="516" spans="1:24">
      <c r="A516">
        <v>21850</v>
      </c>
      <c r="B516" t="s">
        <v>3410</v>
      </c>
      <c r="C516" t="s">
        <v>10</v>
      </c>
      <c r="D516" t="s">
        <v>10</v>
      </c>
      <c r="G516">
        <v>6100</v>
      </c>
      <c r="H516">
        <v>160000</v>
      </c>
      <c r="I516" t="s">
        <v>3400</v>
      </c>
      <c r="J516" t="s">
        <v>10</v>
      </c>
      <c r="K516">
        <v>478.09</v>
      </c>
      <c r="L516">
        <v>5.1100000000000003</v>
      </c>
      <c r="M516">
        <v>2181</v>
      </c>
      <c r="N516" t="s">
        <v>125</v>
      </c>
      <c r="O516">
        <v>1</v>
      </c>
      <c r="P516" t="s">
        <v>2601</v>
      </c>
      <c r="Q516" t="s">
        <v>2460</v>
      </c>
      <c r="R516" t="s">
        <v>2199</v>
      </c>
      <c r="S516">
        <v>21</v>
      </c>
      <c r="T516">
        <v>35</v>
      </c>
      <c r="U516">
        <v>218</v>
      </c>
      <c r="V516" t="s">
        <v>3311</v>
      </c>
      <c r="W516" t="s">
        <v>3411</v>
      </c>
      <c r="X516" t="s">
        <v>79</v>
      </c>
    </row>
    <row r="517" spans="1:24">
      <c r="A517">
        <v>21851</v>
      </c>
      <c r="B517" t="s">
        <v>3412</v>
      </c>
      <c r="C517" t="s">
        <v>10</v>
      </c>
      <c r="D517" t="s">
        <v>10</v>
      </c>
      <c r="G517">
        <v>6100</v>
      </c>
      <c r="H517">
        <v>160000</v>
      </c>
      <c r="I517" t="s">
        <v>3400</v>
      </c>
      <c r="J517" t="s">
        <v>10</v>
      </c>
      <c r="K517">
        <v>478.09</v>
      </c>
      <c r="L517">
        <v>5.1100000000000003</v>
      </c>
      <c r="M517">
        <v>2181</v>
      </c>
      <c r="N517" t="s">
        <v>125</v>
      </c>
      <c r="O517">
        <v>2</v>
      </c>
      <c r="P517" t="s">
        <v>2205</v>
      </c>
      <c r="Q517" t="s">
        <v>2206</v>
      </c>
      <c r="R517" t="s">
        <v>2199</v>
      </c>
      <c r="S517">
        <v>36</v>
      </c>
      <c r="T517">
        <v>66</v>
      </c>
      <c r="U517">
        <v>218</v>
      </c>
      <c r="V517" t="s">
        <v>3311</v>
      </c>
      <c r="W517" t="s">
        <v>3413</v>
      </c>
      <c r="X517" t="s">
        <v>79</v>
      </c>
    </row>
    <row r="518" spans="1:24">
      <c r="A518">
        <v>21852</v>
      </c>
      <c r="B518" t="s">
        <v>3414</v>
      </c>
      <c r="C518" t="s">
        <v>10</v>
      </c>
      <c r="D518" t="s">
        <v>10</v>
      </c>
      <c r="G518">
        <v>5400</v>
      </c>
      <c r="H518">
        <v>23000</v>
      </c>
      <c r="I518" t="s">
        <v>3152</v>
      </c>
      <c r="J518" t="s">
        <v>10</v>
      </c>
      <c r="K518">
        <v>290.38</v>
      </c>
      <c r="L518">
        <v>0.89</v>
      </c>
      <c r="M518">
        <v>2185</v>
      </c>
      <c r="N518" t="s">
        <v>125</v>
      </c>
      <c r="O518">
        <v>3</v>
      </c>
      <c r="P518" t="s">
        <v>2567</v>
      </c>
      <c r="Q518" t="s">
        <v>2484</v>
      </c>
      <c r="R518" t="s">
        <v>159</v>
      </c>
      <c r="S518">
        <v>2</v>
      </c>
      <c r="T518">
        <v>2</v>
      </c>
      <c r="U518">
        <v>218</v>
      </c>
      <c r="V518" t="s">
        <v>3311</v>
      </c>
      <c r="W518" t="s">
        <v>3415</v>
      </c>
      <c r="X518" t="s">
        <v>79</v>
      </c>
    </row>
    <row r="519" spans="1:24">
      <c r="A519">
        <v>21860</v>
      </c>
      <c r="B519" t="s">
        <v>3416</v>
      </c>
      <c r="C519" t="s">
        <v>10</v>
      </c>
      <c r="D519" t="s">
        <v>10</v>
      </c>
      <c r="G519">
        <v>6100</v>
      </c>
      <c r="H519">
        <v>160000</v>
      </c>
      <c r="I519" t="s">
        <v>3400</v>
      </c>
      <c r="J519" t="s">
        <v>10</v>
      </c>
      <c r="K519">
        <v>478.09</v>
      </c>
      <c r="L519">
        <v>5.1100000000000003</v>
      </c>
      <c r="M519">
        <v>2181</v>
      </c>
      <c r="N519" t="s">
        <v>125</v>
      </c>
      <c r="O519">
        <v>1</v>
      </c>
      <c r="P519" t="s">
        <v>2459</v>
      </c>
      <c r="Q519" t="s">
        <v>2460</v>
      </c>
      <c r="R519" t="s">
        <v>2199</v>
      </c>
      <c r="S519">
        <v>100</v>
      </c>
      <c r="T519">
        <v>125</v>
      </c>
      <c r="U519">
        <v>218</v>
      </c>
      <c r="V519" t="s">
        <v>3311</v>
      </c>
      <c r="W519" t="s">
        <v>3417</v>
      </c>
      <c r="X519" t="s">
        <v>79</v>
      </c>
    </row>
    <row r="520" spans="1:24">
      <c r="A520">
        <v>21861</v>
      </c>
      <c r="B520" t="s">
        <v>3418</v>
      </c>
      <c r="C520" t="s">
        <v>10</v>
      </c>
      <c r="D520" t="s">
        <v>10</v>
      </c>
      <c r="G520">
        <v>5400</v>
      </c>
      <c r="H520">
        <v>23000</v>
      </c>
      <c r="I520" t="s">
        <v>3152</v>
      </c>
      <c r="J520" t="s">
        <v>10</v>
      </c>
      <c r="K520">
        <v>290.38</v>
      </c>
      <c r="L520">
        <v>0.89</v>
      </c>
      <c r="M520">
        <v>2185</v>
      </c>
      <c r="N520" t="s">
        <v>125</v>
      </c>
      <c r="O520">
        <v>1</v>
      </c>
      <c r="P520" t="s">
        <v>2601</v>
      </c>
      <c r="Q520" t="s">
        <v>2460</v>
      </c>
      <c r="R520" t="s">
        <v>159</v>
      </c>
      <c r="S520">
        <v>94</v>
      </c>
      <c r="T520">
        <v>111</v>
      </c>
      <c r="U520">
        <v>218</v>
      </c>
      <c r="V520" t="s">
        <v>3311</v>
      </c>
      <c r="W520" t="s">
        <v>3419</v>
      </c>
      <c r="X520" t="s">
        <v>79</v>
      </c>
    </row>
    <row r="521" spans="1:24">
      <c r="A521">
        <v>21862</v>
      </c>
      <c r="B521" t="s">
        <v>3420</v>
      </c>
      <c r="C521" t="s">
        <v>10</v>
      </c>
      <c r="D521" t="s">
        <v>10</v>
      </c>
      <c r="G521">
        <v>5000</v>
      </c>
      <c r="H521">
        <v>100000</v>
      </c>
      <c r="I521" t="s">
        <v>3395</v>
      </c>
      <c r="J521" t="s">
        <v>10</v>
      </c>
      <c r="K521">
        <v>478.09</v>
      </c>
      <c r="L521">
        <v>4.8899999999999997</v>
      </c>
      <c r="M521">
        <v>2182</v>
      </c>
      <c r="N521" t="s">
        <v>125</v>
      </c>
      <c r="O521">
        <v>3</v>
      </c>
      <c r="P521" t="s">
        <v>2545</v>
      </c>
      <c r="Q521" t="s">
        <v>2460</v>
      </c>
      <c r="R521" t="s">
        <v>2199</v>
      </c>
      <c r="S521">
        <v>18</v>
      </c>
      <c r="T521">
        <v>21</v>
      </c>
      <c r="U521">
        <v>218</v>
      </c>
      <c r="V521" t="s">
        <v>3311</v>
      </c>
      <c r="W521" t="s">
        <v>3421</v>
      </c>
      <c r="X521" t="s">
        <v>79</v>
      </c>
    </row>
    <row r="522" spans="1:24">
      <c r="A522">
        <v>21865</v>
      </c>
      <c r="B522" t="s">
        <v>3422</v>
      </c>
      <c r="C522" t="s">
        <v>10</v>
      </c>
      <c r="D522" t="s">
        <v>10</v>
      </c>
      <c r="G522">
        <v>5400</v>
      </c>
      <c r="H522">
        <v>23000</v>
      </c>
      <c r="I522" t="s">
        <v>3152</v>
      </c>
      <c r="J522" t="s">
        <v>10</v>
      </c>
      <c r="K522">
        <v>290.38</v>
      </c>
      <c r="L522">
        <v>0.89</v>
      </c>
      <c r="M522">
        <v>2185</v>
      </c>
      <c r="N522" t="s">
        <v>125</v>
      </c>
      <c r="O522">
        <v>3</v>
      </c>
      <c r="P522" t="s">
        <v>2205</v>
      </c>
      <c r="Q522" t="s">
        <v>2206</v>
      </c>
      <c r="R522" t="s">
        <v>159</v>
      </c>
      <c r="S522">
        <v>10</v>
      </c>
      <c r="T522">
        <v>11</v>
      </c>
      <c r="U522">
        <v>218</v>
      </c>
      <c r="V522" t="s">
        <v>3311</v>
      </c>
      <c r="W522" t="s">
        <v>3423</v>
      </c>
      <c r="X522" t="s">
        <v>79</v>
      </c>
    </row>
    <row r="523" spans="1:24">
      <c r="A523">
        <v>21868</v>
      </c>
      <c r="B523" t="s">
        <v>3424</v>
      </c>
      <c r="C523" t="s">
        <v>10</v>
      </c>
      <c r="D523" t="s">
        <v>10</v>
      </c>
      <c r="G523">
        <v>5000</v>
      </c>
      <c r="H523">
        <v>100000</v>
      </c>
      <c r="I523" t="s">
        <v>3395</v>
      </c>
      <c r="J523" t="s">
        <v>10</v>
      </c>
      <c r="K523">
        <v>478.09</v>
      </c>
      <c r="L523">
        <v>4.8899999999999997</v>
      </c>
      <c r="M523">
        <v>2182</v>
      </c>
      <c r="N523" t="s">
        <v>125</v>
      </c>
      <c r="O523">
        <v>3</v>
      </c>
      <c r="P523" t="s">
        <v>2545</v>
      </c>
      <c r="Q523" t="s">
        <v>2460</v>
      </c>
      <c r="R523" t="s">
        <v>2199</v>
      </c>
      <c r="S523">
        <v>13</v>
      </c>
      <c r="T523">
        <v>15</v>
      </c>
      <c r="U523">
        <v>218</v>
      </c>
      <c r="V523" t="s">
        <v>3311</v>
      </c>
      <c r="W523" t="s">
        <v>3425</v>
      </c>
      <c r="X523" t="s">
        <v>79</v>
      </c>
    </row>
    <row r="524" spans="1:24">
      <c r="A524">
        <v>21870</v>
      </c>
      <c r="B524" t="s">
        <v>3426</v>
      </c>
      <c r="C524" t="s">
        <v>10</v>
      </c>
      <c r="D524" t="s">
        <v>10</v>
      </c>
      <c r="G524">
        <v>5000</v>
      </c>
      <c r="H524">
        <v>100000</v>
      </c>
      <c r="I524" t="s">
        <v>3395</v>
      </c>
      <c r="J524" t="s">
        <v>10</v>
      </c>
      <c r="K524">
        <v>478.09</v>
      </c>
      <c r="L524">
        <v>4.8899999999999997</v>
      </c>
      <c r="M524">
        <v>2182</v>
      </c>
      <c r="N524" t="s">
        <v>125</v>
      </c>
      <c r="O524">
        <v>1</v>
      </c>
      <c r="P524" t="s">
        <v>2545</v>
      </c>
      <c r="Q524" t="s">
        <v>2460</v>
      </c>
      <c r="R524" t="s">
        <v>2199</v>
      </c>
      <c r="S524">
        <v>1</v>
      </c>
      <c r="T524">
        <v>2</v>
      </c>
      <c r="U524">
        <v>218</v>
      </c>
      <c r="V524" t="s">
        <v>3311</v>
      </c>
      <c r="W524" t="s">
        <v>3427</v>
      </c>
      <c r="X524" t="s">
        <v>79</v>
      </c>
    </row>
    <row r="525" spans="1:24">
      <c r="A525">
        <v>21871</v>
      </c>
      <c r="B525" t="s">
        <v>3428</v>
      </c>
      <c r="C525" t="s">
        <v>10</v>
      </c>
      <c r="D525" t="s">
        <v>10</v>
      </c>
      <c r="G525">
        <v>5000</v>
      </c>
      <c r="H525">
        <v>100000</v>
      </c>
      <c r="I525" t="s">
        <v>3395</v>
      </c>
      <c r="J525" t="s">
        <v>10</v>
      </c>
      <c r="K525">
        <v>478.09</v>
      </c>
      <c r="L525">
        <v>4.8899999999999997</v>
      </c>
      <c r="M525">
        <v>2182</v>
      </c>
      <c r="N525" t="s">
        <v>125</v>
      </c>
      <c r="O525">
        <v>3</v>
      </c>
      <c r="P525" t="s">
        <v>3429</v>
      </c>
      <c r="Q525" t="s">
        <v>2206</v>
      </c>
      <c r="R525" t="s">
        <v>2199</v>
      </c>
      <c r="S525">
        <v>1</v>
      </c>
      <c r="T525">
        <v>3</v>
      </c>
      <c r="U525">
        <v>218</v>
      </c>
      <c r="V525" t="s">
        <v>3311</v>
      </c>
      <c r="W525" t="s">
        <v>3430</v>
      </c>
      <c r="X525" t="s">
        <v>79</v>
      </c>
    </row>
    <row r="526" spans="1:24">
      <c r="A526">
        <v>21877</v>
      </c>
      <c r="B526" t="s">
        <v>3431</v>
      </c>
      <c r="C526" t="s">
        <v>10</v>
      </c>
      <c r="D526" t="s">
        <v>10</v>
      </c>
      <c r="G526">
        <v>5000</v>
      </c>
      <c r="H526">
        <v>100000</v>
      </c>
      <c r="I526" t="s">
        <v>3395</v>
      </c>
      <c r="J526" t="s">
        <v>10</v>
      </c>
      <c r="K526">
        <v>478.09</v>
      </c>
      <c r="L526">
        <v>4.8899999999999997</v>
      </c>
      <c r="M526">
        <v>2182</v>
      </c>
      <c r="N526" t="s">
        <v>125</v>
      </c>
      <c r="O526">
        <v>3</v>
      </c>
      <c r="P526" t="s">
        <v>2545</v>
      </c>
      <c r="Q526" t="s">
        <v>2460</v>
      </c>
      <c r="R526" t="s">
        <v>2199</v>
      </c>
      <c r="S526">
        <v>43</v>
      </c>
      <c r="T526">
        <v>58</v>
      </c>
      <c r="U526">
        <v>218</v>
      </c>
      <c r="V526" t="s">
        <v>3311</v>
      </c>
      <c r="W526" t="s">
        <v>3432</v>
      </c>
      <c r="X526" t="s">
        <v>79</v>
      </c>
    </row>
    <row r="527" spans="1:24">
      <c r="A527">
        <v>21880</v>
      </c>
      <c r="B527" t="s">
        <v>3433</v>
      </c>
      <c r="C527" t="s">
        <v>10</v>
      </c>
      <c r="D527" t="s">
        <v>10</v>
      </c>
      <c r="G527">
        <v>5000</v>
      </c>
      <c r="H527">
        <v>100000</v>
      </c>
      <c r="I527" t="s">
        <v>3395</v>
      </c>
      <c r="J527" t="s">
        <v>10</v>
      </c>
      <c r="K527">
        <v>478.09</v>
      </c>
      <c r="L527">
        <v>4.8899999999999997</v>
      </c>
      <c r="M527">
        <v>2182</v>
      </c>
      <c r="N527" t="s">
        <v>125</v>
      </c>
      <c r="O527">
        <v>1</v>
      </c>
      <c r="P527" t="s">
        <v>2479</v>
      </c>
      <c r="Q527" t="s">
        <v>2460</v>
      </c>
      <c r="R527" t="s">
        <v>2199</v>
      </c>
      <c r="S527">
        <v>8</v>
      </c>
      <c r="T527">
        <v>13</v>
      </c>
      <c r="U527">
        <v>218</v>
      </c>
      <c r="V527" t="s">
        <v>3311</v>
      </c>
      <c r="W527" t="s">
        <v>3434</v>
      </c>
      <c r="X527" t="s">
        <v>79</v>
      </c>
    </row>
    <row r="528" spans="1:24">
      <c r="A528">
        <v>21890</v>
      </c>
      <c r="B528" t="s">
        <v>3435</v>
      </c>
      <c r="C528" t="s">
        <v>10</v>
      </c>
      <c r="D528" t="s">
        <v>10</v>
      </c>
      <c r="G528">
        <v>5000</v>
      </c>
      <c r="H528">
        <v>100000</v>
      </c>
      <c r="I528" t="s">
        <v>3395</v>
      </c>
      <c r="J528" t="s">
        <v>10</v>
      </c>
      <c r="K528">
        <v>478.09</v>
      </c>
      <c r="L528">
        <v>4.8899999999999997</v>
      </c>
      <c r="M528">
        <v>2182</v>
      </c>
      <c r="N528" t="s">
        <v>125</v>
      </c>
      <c r="P528" t="s">
        <v>2459</v>
      </c>
      <c r="Q528" t="s">
        <v>2460</v>
      </c>
      <c r="R528" t="s">
        <v>2199</v>
      </c>
      <c r="S528">
        <v>14</v>
      </c>
      <c r="T528">
        <v>15</v>
      </c>
      <c r="U528">
        <v>218</v>
      </c>
      <c r="V528" t="s">
        <v>3311</v>
      </c>
      <c r="W528" t="s">
        <v>3436</v>
      </c>
      <c r="X528" t="s">
        <v>79</v>
      </c>
    </row>
    <row r="529" spans="1:24">
      <c r="A529">
        <v>21891</v>
      </c>
      <c r="B529" t="s">
        <v>3437</v>
      </c>
      <c r="C529" t="s">
        <v>10</v>
      </c>
      <c r="D529" t="s">
        <v>10</v>
      </c>
      <c r="G529">
        <v>6100</v>
      </c>
      <c r="H529">
        <v>160000</v>
      </c>
      <c r="I529" t="s">
        <v>3400</v>
      </c>
      <c r="J529" t="s">
        <v>10</v>
      </c>
      <c r="K529">
        <v>478.09</v>
      </c>
      <c r="L529">
        <v>5.1100000000000003</v>
      </c>
      <c r="M529">
        <v>2181</v>
      </c>
      <c r="N529" t="s">
        <v>125</v>
      </c>
      <c r="P529" t="s">
        <v>2459</v>
      </c>
      <c r="Q529" t="s">
        <v>2460</v>
      </c>
      <c r="R529" t="s">
        <v>2199</v>
      </c>
      <c r="S529">
        <v>1</v>
      </c>
      <c r="T529">
        <v>1</v>
      </c>
      <c r="U529">
        <v>218</v>
      </c>
      <c r="V529" t="s">
        <v>3311</v>
      </c>
      <c r="W529" t="s">
        <v>3438</v>
      </c>
      <c r="X529" t="s">
        <v>79</v>
      </c>
    </row>
    <row r="530" spans="1:24">
      <c r="A530">
        <v>21892</v>
      </c>
      <c r="B530" t="s">
        <v>3439</v>
      </c>
      <c r="C530" t="s">
        <v>10</v>
      </c>
      <c r="D530" t="s">
        <v>10</v>
      </c>
      <c r="G530">
        <v>5000</v>
      </c>
      <c r="H530">
        <v>100000</v>
      </c>
      <c r="I530" t="s">
        <v>3395</v>
      </c>
      <c r="J530" t="s">
        <v>10</v>
      </c>
      <c r="K530">
        <v>478.09</v>
      </c>
      <c r="L530">
        <v>4.8899999999999997</v>
      </c>
      <c r="M530">
        <v>2182</v>
      </c>
      <c r="N530" t="s">
        <v>125</v>
      </c>
      <c r="P530" t="s">
        <v>2459</v>
      </c>
      <c r="Q530" t="s">
        <v>2460</v>
      </c>
      <c r="R530" t="s">
        <v>2199</v>
      </c>
      <c r="S530">
        <v>1</v>
      </c>
      <c r="T530">
        <v>1</v>
      </c>
      <c r="U530">
        <v>218</v>
      </c>
      <c r="V530" t="s">
        <v>3311</v>
      </c>
      <c r="W530" t="s">
        <v>3440</v>
      </c>
      <c r="X530" t="s">
        <v>79</v>
      </c>
    </row>
    <row r="531" spans="1:24">
      <c r="A531">
        <v>21910</v>
      </c>
      <c r="B531" t="s">
        <v>3441</v>
      </c>
      <c r="C531" t="s">
        <v>10</v>
      </c>
      <c r="D531" t="s">
        <v>10</v>
      </c>
      <c r="G531">
        <v>4700</v>
      </c>
      <c r="H531">
        <v>98000</v>
      </c>
      <c r="I531" t="s">
        <v>3442</v>
      </c>
      <c r="J531" t="s">
        <v>10</v>
      </c>
      <c r="K531">
        <v>478.09</v>
      </c>
      <c r="L531">
        <v>6.43</v>
      </c>
      <c r="M531">
        <v>2191</v>
      </c>
      <c r="N531" t="s">
        <v>125</v>
      </c>
      <c r="O531">
        <v>1</v>
      </c>
      <c r="P531" t="s">
        <v>2205</v>
      </c>
      <c r="Q531" t="s">
        <v>2206</v>
      </c>
      <c r="R531" t="s">
        <v>2199</v>
      </c>
      <c r="S531">
        <v>594</v>
      </c>
      <c r="T531">
        <v>778</v>
      </c>
      <c r="U531">
        <v>219</v>
      </c>
      <c r="V531" t="s">
        <v>3443</v>
      </c>
      <c r="W531" t="s">
        <v>3444</v>
      </c>
      <c r="X531" t="s">
        <v>79</v>
      </c>
    </row>
    <row r="532" spans="1:24">
      <c r="A532">
        <v>21920</v>
      </c>
      <c r="B532" t="s">
        <v>3445</v>
      </c>
      <c r="C532" t="s">
        <v>10</v>
      </c>
      <c r="D532" t="s">
        <v>10</v>
      </c>
      <c r="G532">
        <v>5500</v>
      </c>
      <c r="H532">
        <v>400000</v>
      </c>
      <c r="I532" t="s">
        <v>2536</v>
      </c>
      <c r="J532" t="s">
        <v>10</v>
      </c>
      <c r="K532">
        <v>195.5</v>
      </c>
      <c r="L532">
        <v>1.49</v>
      </c>
      <c r="M532">
        <v>4422</v>
      </c>
      <c r="N532" t="s">
        <v>79</v>
      </c>
      <c r="O532">
        <v>1</v>
      </c>
      <c r="P532" t="s">
        <v>2205</v>
      </c>
      <c r="Q532" t="s">
        <v>2206</v>
      </c>
      <c r="R532" t="s">
        <v>159</v>
      </c>
      <c r="S532">
        <v>131</v>
      </c>
      <c r="T532">
        <v>137</v>
      </c>
      <c r="U532">
        <v>219</v>
      </c>
      <c r="V532" t="s">
        <v>3443</v>
      </c>
      <c r="W532" t="s">
        <v>3446</v>
      </c>
      <c r="X532" t="s">
        <v>79</v>
      </c>
    </row>
    <row r="533" spans="1:24">
      <c r="A533">
        <v>21925</v>
      </c>
      <c r="B533" t="s">
        <v>3447</v>
      </c>
      <c r="C533" t="s">
        <v>10</v>
      </c>
      <c r="D533" t="s">
        <v>10</v>
      </c>
      <c r="G533">
        <v>4700</v>
      </c>
      <c r="H533">
        <v>98000</v>
      </c>
      <c r="I533" t="s">
        <v>3442</v>
      </c>
      <c r="J533" t="s">
        <v>10</v>
      </c>
      <c r="K533">
        <v>478.09</v>
      </c>
      <c r="L533">
        <v>6.43</v>
      </c>
      <c r="M533">
        <v>2191</v>
      </c>
      <c r="N533" t="s">
        <v>125</v>
      </c>
      <c r="O533">
        <v>1</v>
      </c>
      <c r="P533" t="s">
        <v>2205</v>
      </c>
      <c r="Q533" t="s">
        <v>2206</v>
      </c>
      <c r="R533" t="s">
        <v>2199</v>
      </c>
      <c r="S533">
        <v>64</v>
      </c>
      <c r="T533">
        <v>85</v>
      </c>
      <c r="U533">
        <v>219</v>
      </c>
      <c r="V533" t="s">
        <v>3443</v>
      </c>
      <c r="W533" t="s">
        <v>3448</v>
      </c>
      <c r="X533" t="s">
        <v>79</v>
      </c>
    </row>
    <row r="534" spans="1:24">
      <c r="A534">
        <v>21930</v>
      </c>
      <c r="B534" t="s">
        <v>3449</v>
      </c>
      <c r="C534" t="s">
        <v>10</v>
      </c>
      <c r="D534" t="s">
        <v>10</v>
      </c>
      <c r="G534">
        <v>4700</v>
      </c>
      <c r="H534">
        <v>98000</v>
      </c>
      <c r="I534" t="s">
        <v>3442</v>
      </c>
      <c r="J534" t="s">
        <v>10</v>
      </c>
      <c r="K534">
        <v>478.09</v>
      </c>
      <c r="L534">
        <v>6.43</v>
      </c>
      <c r="M534">
        <v>2191</v>
      </c>
      <c r="N534" t="s">
        <v>125</v>
      </c>
      <c r="O534">
        <v>2</v>
      </c>
      <c r="P534" t="s">
        <v>2205</v>
      </c>
      <c r="Q534" t="s">
        <v>2206</v>
      </c>
      <c r="R534" t="s">
        <v>2199</v>
      </c>
      <c r="S534">
        <v>17</v>
      </c>
      <c r="T534">
        <v>24</v>
      </c>
      <c r="U534">
        <v>219</v>
      </c>
      <c r="V534" t="s">
        <v>3443</v>
      </c>
      <c r="W534" t="s">
        <v>3450</v>
      </c>
      <c r="X534" t="s">
        <v>79</v>
      </c>
    </row>
    <row r="535" spans="1:24">
      <c r="A535">
        <v>21931</v>
      </c>
      <c r="B535" t="s">
        <v>3451</v>
      </c>
      <c r="C535" t="s">
        <v>2162</v>
      </c>
      <c r="F535" t="s">
        <v>2162</v>
      </c>
      <c r="G535">
        <v>1</v>
      </c>
      <c r="H535">
        <v>1</v>
      </c>
      <c r="I535" t="s">
        <v>3452</v>
      </c>
      <c r="J535" t="s">
        <v>2162</v>
      </c>
      <c r="K535">
        <v>701510.93</v>
      </c>
      <c r="L535">
        <v>11815.89</v>
      </c>
      <c r="M535">
        <v>2192</v>
      </c>
      <c r="N535" t="s">
        <v>79</v>
      </c>
      <c r="O535">
        <v>2</v>
      </c>
      <c r="P535" t="s">
        <v>2205</v>
      </c>
      <c r="Q535" t="s">
        <v>2206</v>
      </c>
      <c r="R535" t="s">
        <v>159</v>
      </c>
      <c r="S535">
        <v>11</v>
      </c>
      <c r="T535">
        <v>11</v>
      </c>
      <c r="U535">
        <v>219</v>
      </c>
      <c r="V535" t="s">
        <v>3443</v>
      </c>
      <c r="W535" t="s">
        <v>3453</v>
      </c>
      <c r="X535" t="s">
        <v>79</v>
      </c>
    </row>
    <row r="536" spans="1:24">
      <c r="A536">
        <v>21940</v>
      </c>
      <c r="B536" t="s">
        <v>3454</v>
      </c>
      <c r="C536" t="s">
        <v>2162</v>
      </c>
      <c r="F536" t="s">
        <v>2162</v>
      </c>
      <c r="G536">
        <v>1</v>
      </c>
      <c r="H536">
        <v>1</v>
      </c>
      <c r="I536" t="s">
        <v>3452</v>
      </c>
      <c r="J536" t="s">
        <v>2162</v>
      </c>
      <c r="K536">
        <v>701510.93</v>
      </c>
      <c r="L536">
        <v>11815.89</v>
      </c>
      <c r="M536">
        <v>2192</v>
      </c>
      <c r="N536" t="s">
        <v>125</v>
      </c>
      <c r="P536" t="s">
        <v>2205</v>
      </c>
      <c r="Q536" t="s">
        <v>2206</v>
      </c>
      <c r="R536" t="s">
        <v>159</v>
      </c>
      <c r="S536">
        <v>5</v>
      </c>
      <c r="T536">
        <v>5</v>
      </c>
      <c r="U536">
        <v>219</v>
      </c>
      <c r="V536" t="s">
        <v>3443</v>
      </c>
      <c r="W536" t="s">
        <v>3455</v>
      </c>
      <c r="X536" t="s">
        <v>79</v>
      </c>
    </row>
    <row r="537" spans="1:24">
      <c r="A537">
        <v>21977</v>
      </c>
      <c r="B537" t="s">
        <v>3456</v>
      </c>
      <c r="C537" t="s">
        <v>10</v>
      </c>
      <c r="D537" t="s">
        <v>10</v>
      </c>
      <c r="G537">
        <v>4700</v>
      </c>
      <c r="H537">
        <v>98000</v>
      </c>
      <c r="I537" t="s">
        <v>3442</v>
      </c>
      <c r="J537" t="s">
        <v>10</v>
      </c>
      <c r="K537">
        <v>478.09</v>
      </c>
      <c r="L537">
        <v>6.43</v>
      </c>
      <c r="M537">
        <v>2191</v>
      </c>
      <c r="N537" t="s">
        <v>125</v>
      </c>
      <c r="O537">
        <v>1</v>
      </c>
      <c r="P537" t="s">
        <v>2205</v>
      </c>
      <c r="Q537" t="s">
        <v>2206</v>
      </c>
      <c r="R537" t="s">
        <v>2199</v>
      </c>
      <c r="S537">
        <v>551</v>
      </c>
      <c r="T537">
        <v>693</v>
      </c>
      <c r="U537">
        <v>219</v>
      </c>
      <c r="V537" t="s">
        <v>3443</v>
      </c>
      <c r="W537" t="s">
        <v>3457</v>
      </c>
      <c r="X537" t="s">
        <v>79</v>
      </c>
    </row>
    <row r="538" spans="1:24">
      <c r="A538">
        <v>22110</v>
      </c>
      <c r="B538" t="s">
        <v>3458</v>
      </c>
      <c r="C538" t="s">
        <v>10</v>
      </c>
      <c r="D538" t="s">
        <v>10</v>
      </c>
      <c r="G538">
        <v>7700</v>
      </c>
      <c r="H538">
        <v>486000</v>
      </c>
      <c r="I538" t="s">
        <v>3459</v>
      </c>
      <c r="J538" t="s">
        <v>10</v>
      </c>
      <c r="K538">
        <v>308.61</v>
      </c>
      <c r="L538">
        <v>2.31</v>
      </c>
      <c r="M538">
        <v>2211</v>
      </c>
      <c r="N538" t="s">
        <v>125</v>
      </c>
      <c r="O538">
        <v>4</v>
      </c>
      <c r="P538" t="s">
        <v>2459</v>
      </c>
      <c r="Q538" t="s">
        <v>2460</v>
      </c>
      <c r="R538" t="s">
        <v>2199</v>
      </c>
      <c r="S538">
        <v>0</v>
      </c>
      <c r="T538">
        <v>0</v>
      </c>
      <c r="U538">
        <v>221</v>
      </c>
      <c r="V538" t="s">
        <v>3460</v>
      </c>
      <c r="W538" t="s">
        <v>3461</v>
      </c>
      <c r="X538" t="s">
        <v>79</v>
      </c>
    </row>
    <row r="539" spans="1:24">
      <c r="A539">
        <v>22120</v>
      </c>
      <c r="B539" t="s">
        <v>3462</v>
      </c>
      <c r="C539" t="s">
        <v>10</v>
      </c>
      <c r="D539" t="s">
        <v>10</v>
      </c>
      <c r="G539">
        <v>7700</v>
      </c>
      <c r="H539">
        <v>486000</v>
      </c>
      <c r="I539" t="s">
        <v>3459</v>
      </c>
      <c r="J539" t="s">
        <v>10</v>
      </c>
      <c r="K539">
        <v>308.61</v>
      </c>
      <c r="L539">
        <v>2.31</v>
      </c>
      <c r="M539">
        <v>2211</v>
      </c>
      <c r="N539" t="s">
        <v>125</v>
      </c>
      <c r="O539">
        <v>4</v>
      </c>
      <c r="P539" t="s">
        <v>2459</v>
      </c>
      <c r="Q539" t="s">
        <v>2460</v>
      </c>
      <c r="R539" t="s">
        <v>2199</v>
      </c>
      <c r="S539">
        <v>5</v>
      </c>
      <c r="T539">
        <v>5</v>
      </c>
      <c r="U539">
        <v>221</v>
      </c>
      <c r="V539" t="s">
        <v>3460</v>
      </c>
      <c r="W539" t="s">
        <v>3463</v>
      </c>
      <c r="X539" t="s">
        <v>79</v>
      </c>
    </row>
    <row r="540" spans="1:24">
      <c r="A540">
        <v>22130</v>
      </c>
      <c r="B540" t="s">
        <v>3464</v>
      </c>
      <c r="C540" t="s">
        <v>10</v>
      </c>
      <c r="D540" t="s">
        <v>10</v>
      </c>
      <c r="G540">
        <v>7700</v>
      </c>
      <c r="H540">
        <v>486000</v>
      </c>
      <c r="I540" t="s">
        <v>3459</v>
      </c>
      <c r="J540" t="s">
        <v>10</v>
      </c>
      <c r="K540">
        <v>308.61</v>
      </c>
      <c r="L540">
        <v>2.31</v>
      </c>
      <c r="M540">
        <v>2211</v>
      </c>
      <c r="N540" t="s">
        <v>125</v>
      </c>
      <c r="O540">
        <v>4</v>
      </c>
      <c r="P540" t="s">
        <v>2459</v>
      </c>
      <c r="Q540" t="s">
        <v>2460</v>
      </c>
      <c r="R540" t="s">
        <v>2199</v>
      </c>
      <c r="S540">
        <v>0</v>
      </c>
      <c r="T540">
        <v>0</v>
      </c>
      <c r="U540">
        <v>221</v>
      </c>
      <c r="V540" t="s">
        <v>3460</v>
      </c>
      <c r="W540" t="s">
        <v>3465</v>
      </c>
      <c r="X540" t="s">
        <v>79</v>
      </c>
    </row>
    <row r="541" spans="1:24">
      <c r="A541">
        <v>22210</v>
      </c>
      <c r="B541" t="s">
        <v>3466</v>
      </c>
      <c r="C541" t="s">
        <v>10</v>
      </c>
      <c r="D541" t="s">
        <v>10</v>
      </c>
      <c r="G541">
        <v>7400</v>
      </c>
      <c r="H541">
        <v>137000</v>
      </c>
      <c r="I541" t="s">
        <v>3467</v>
      </c>
      <c r="J541" t="s">
        <v>10</v>
      </c>
      <c r="K541">
        <v>323.02</v>
      </c>
      <c r="L541">
        <v>3.62</v>
      </c>
      <c r="M541">
        <v>2221</v>
      </c>
      <c r="N541" t="s">
        <v>125</v>
      </c>
      <c r="O541">
        <v>4</v>
      </c>
      <c r="P541" t="s">
        <v>2505</v>
      </c>
      <c r="Q541" t="s">
        <v>2154</v>
      </c>
      <c r="R541" t="s">
        <v>2199</v>
      </c>
      <c r="S541">
        <v>67</v>
      </c>
      <c r="T541">
        <v>67</v>
      </c>
      <c r="U541">
        <v>222</v>
      </c>
      <c r="V541" t="s">
        <v>3468</v>
      </c>
      <c r="W541" t="s">
        <v>3469</v>
      </c>
      <c r="X541" t="s">
        <v>79</v>
      </c>
    </row>
    <row r="542" spans="1:24">
      <c r="A542">
        <v>22220</v>
      </c>
      <c r="B542" t="s">
        <v>3470</v>
      </c>
      <c r="C542" t="s">
        <v>10</v>
      </c>
      <c r="D542" t="s">
        <v>10</v>
      </c>
      <c r="G542">
        <v>7400</v>
      </c>
      <c r="H542">
        <v>137000</v>
      </c>
      <c r="I542" t="s">
        <v>3467</v>
      </c>
      <c r="J542" t="s">
        <v>10</v>
      </c>
      <c r="K542">
        <v>323.02</v>
      </c>
      <c r="L542">
        <v>3.62</v>
      </c>
      <c r="M542">
        <v>2221</v>
      </c>
      <c r="N542" t="s">
        <v>125</v>
      </c>
      <c r="O542">
        <v>4</v>
      </c>
      <c r="P542" t="s">
        <v>2505</v>
      </c>
      <c r="Q542" t="s">
        <v>2154</v>
      </c>
      <c r="R542" t="s">
        <v>2199</v>
      </c>
      <c r="S542">
        <v>0</v>
      </c>
      <c r="T542">
        <v>0</v>
      </c>
      <c r="U542">
        <v>222</v>
      </c>
      <c r="V542" t="s">
        <v>3468</v>
      </c>
      <c r="W542" t="s">
        <v>3471</v>
      </c>
      <c r="X542" t="s">
        <v>79</v>
      </c>
    </row>
    <row r="543" spans="1:24">
      <c r="A543">
        <v>22310</v>
      </c>
      <c r="B543" t="s">
        <v>3472</v>
      </c>
      <c r="C543" t="s">
        <v>10</v>
      </c>
      <c r="D543" t="s">
        <v>10</v>
      </c>
      <c r="G543">
        <v>10000</v>
      </c>
      <c r="H543">
        <v>38000</v>
      </c>
      <c r="I543" t="s">
        <v>3473</v>
      </c>
      <c r="J543" t="s">
        <v>10</v>
      </c>
      <c r="K543">
        <v>272.26</v>
      </c>
      <c r="L543">
        <v>3.33</v>
      </c>
      <c r="M543">
        <v>2231</v>
      </c>
      <c r="N543" t="s">
        <v>125</v>
      </c>
      <c r="O543">
        <v>4</v>
      </c>
      <c r="P543" t="s">
        <v>2479</v>
      </c>
      <c r="Q543" t="s">
        <v>2460</v>
      </c>
      <c r="R543" t="s">
        <v>2199</v>
      </c>
      <c r="S543">
        <v>4</v>
      </c>
      <c r="T543">
        <v>4</v>
      </c>
      <c r="U543">
        <v>223</v>
      </c>
      <c r="V543" t="s">
        <v>3474</v>
      </c>
      <c r="W543" t="s">
        <v>3475</v>
      </c>
      <c r="X543" t="s">
        <v>79</v>
      </c>
    </row>
    <row r="544" spans="1:24">
      <c r="A544">
        <v>22410</v>
      </c>
      <c r="B544" t="s">
        <v>3476</v>
      </c>
      <c r="C544" t="s">
        <v>10</v>
      </c>
      <c r="D544" t="s">
        <v>10</v>
      </c>
      <c r="G544">
        <v>4000</v>
      </c>
      <c r="H544">
        <v>139000</v>
      </c>
      <c r="I544" t="s">
        <v>3477</v>
      </c>
      <c r="J544" t="s">
        <v>10</v>
      </c>
      <c r="K544">
        <v>295.27999999999997</v>
      </c>
      <c r="L544">
        <v>2.79</v>
      </c>
      <c r="M544">
        <v>2241</v>
      </c>
      <c r="N544" t="s">
        <v>125</v>
      </c>
      <c r="O544">
        <v>4</v>
      </c>
      <c r="P544" t="s">
        <v>2505</v>
      </c>
      <c r="Q544" t="s">
        <v>2154</v>
      </c>
      <c r="R544" t="s">
        <v>2199</v>
      </c>
      <c r="S544">
        <v>0</v>
      </c>
      <c r="T544">
        <v>0</v>
      </c>
      <c r="U544">
        <v>224</v>
      </c>
      <c r="V544" t="s">
        <v>3478</v>
      </c>
      <c r="W544" t="s">
        <v>3479</v>
      </c>
      <c r="X544" t="s">
        <v>79</v>
      </c>
    </row>
    <row r="545" spans="1:24">
      <c r="A545">
        <v>22420</v>
      </c>
      <c r="B545" t="s">
        <v>3480</v>
      </c>
      <c r="C545" t="s">
        <v>10</v>
      </c>
      <c r="D545" t="s">
        <v>10</v>
      </c>
      <c r="G545">
        <v>4000</v>
      </c>
      <c r="H545">
        <v>139000</v>
      </c>
      <c r="I545" t="s">
        <v>3477</v>
      </c>
      <c r="J545" t="s">
        <v>10</v>
      </c>
      <c r="K545">
        <v>295.27999999999997</v>
      </c>
      <c r="L545">
        <v>2.79</v>
      </c>
      <c r="M545">
        <v>2241</v>
      </c>
      <c r="N545" t="s">
        <v>125</v>
      </c>
      <c r="O545">
        <v>4</v>
      </c>
      <c r="P545" t="s">
        <v>2567</v>
      </c>
      <c r="Q545" t="s">
        <v>2484</v>
      </c>
      <c r="R545" t="s">
        <v>2199</v>
      </c>
      <c r="S545">
        <v>0</v>
      </c>
      <c r="T545">
        <v>0</v>
      </c>
      <c r="U545">
        <v>224</v>
      </c>
      <c r="V545" t="s">
        <v>3478</v>
      </c>
      <c r="W545" t="s">
        <v>3481</v>
      </c>
      <c r="X545" t="s">
        <v>79</v>
      </c>
    </row>
    <row r="546" spans="1:24">
      <c r="A546">
        <v>22510</v>
      </c>
      <c r="B546" t="s">
        <v>3482</v>
      </c>
      <c r="C546" t="s">
        <v>10</v>
      </c>
      <c r="D546" t="s">
        <v>10</v>
      </c>
      <c r="G546">
        <v>3600</v>
      </c>
      <c r="H546">
        <v>120000</v>
      </c>
      <c r="I546" t="s">
        <v>3483</v>
      </c>
      <c r="J546" t="s">
        <v>10</v>
      </c>
      <c r="K546">
        <v>310.31</v>
      </c>
      <c r="L546">
        <v>2.78</v>
      </c>
      <c r="M546">
        <v>2251</v>
      </c>
      <c r="N546" t="s">
        <v>125</v>
      </c>
      <c r="O546">
        <v>4</v>
      </c>
      <c r="P546" t="s">
        <v>2505</v>
      </c>
      <c r="Q546" t="s">
        <v>2154</v>
      </c>
      <c r="R546" t="s">
        <v>2199</v>
      </c>
      <c r="S546">
        <v>0</v>
      </c>
      <c r="T546">
        <v>0</v>
      </c>
      <c r="U546">
        <v>225</v>
      </c>
      <c r="V546" t="s">
        <v>3484</v>
      </c>
      <c r="W546" t="s">
        <v>3485</v>
      </c>
      <c r="X546" t="s">
        <v>79</v>
      </c>
    </row>
    <row r="547" spans="1:24">
      <c r="A547">
        <v>22520</v>
      </c>
      <c r="B547" t="s">
        <v>3486</v>
      </c>
      <c r="C547" t="s">
        <v>10</v>
      </c>
      <c r="D547" t="s">
        <v>10</v>
      </c>
      <c r="G547">
        <v>3600</v>
      </c>
      <c r="H547">
        <v>120000</v>
      </c>
      <c r="I547" t="s">
        <v>3483</v>
      </c>
      <c r="J547" t="s">
        <v>10</v>
      </c>
      <c r="K547">
        <v>310.31</v>
      </c>
      <c r="L547">
        <v>2.78</v>
      </c>
      <c r="M547">
        <v>2251</v>
      </c>
      <c r="N547" t="s">
        <v>125</v>
      </c>
      <c r="O547">
        <v>4</v>
      </c>
      <c r="P547" t="s">
        <v>2505</v>
      </c>
      <c r="Q547" t="s">
        <v>2154</v>
      </c>
      <c r="R547" t="s">
        <v>2199</v>
      </c>
      <c r="S547">
        <v>0</v>
      </c>
      <c r="T547">
        <v>0</v>
      </c>
      <c r="U547">
        <v>225</v>
      </c>
      <c r="V547" t="s">
        <v>3484</v>
      </c>
      <c r="W547" t="s">
        <v>3487</v>
      </c>
      <c r="X547" t="s">
        <v>79</v>
      </c>
    </row>
    <row r="548" spans="1:24">
      <c r="A548">
        <v>22530</v>
      </c>
      <c r="B548" t="s">
        <v>3488</v>
      </c>
      <c r="C548" t="s">
        <v>10</v>
      </c>
      <c r="D548" t="s">
        <v>10</v>
      </c>
      <c r="G548">
        <v>3600</v>
      </c>
      <c r="H548">
        <v>120000</v>
      </c>
      <c r="I548" t="s">
        <v>3483</v>
      </c>
      <c r="J548" t="s">
        <v>10</v>
      </c>
      <c r="K548">
        <v>310.31</v>
      </c>
      <c r="L548">
        <v>2.78</v>
      </c>
      <c r="M548">
        <v>2251</v>
      </c>
      <c r="N548" t="s">
        <v>125</v>
      </c>
      <c r="O548">
        <v>4</v>
      </c>
      <c r="P548" t="s">
        <v>2505</v>
      </c>
      <c r="Q548" t="s">
        <v>2154</v>
      </c>
      <c r="R548" t="s">
        <v>2199</v>
      </c>
      <c r="S548">
        <v>0</v>
      </c>
      <c r="T548">
        <v>0</v>
      </c>
      <c r="U548">
        <v>225</v>
      </c>
      <c r="V548" t="s">
        <v>3484</v>
      </c>
      <c r="W548" t="s">
        <v>3489</v>
      </c>
      <c r="X548" t="s">
        <v>79</v>
      </c>
    </row>
    <row r="549" spans="1:24">
      <c r="A549">
        <v>22540</v>
      </c>
      <c r="B549" t="s">
        <v>3490</v>
      </c>
      <c r="C549" t="s">
        <v>10</v>
      </c>
      <c r="D549" t="s">
        <v>10</v>
      </c>
      <c r="G549">
        <v>3600</v>
      </c>
      <c r="H549">
        <v>120000</v>
      </c>
      <c r="I549" t="s">
        <v>3483</v>
      </c>
      <c r="J549" t="s">
        <v>10</v>
      </c>
      <c r="K549">
        <v>310.31</v>
      </c>
      <c r="L549">
        <v>2.78</v>
      </c>
      <c r="M549">
        <v>2251</v>
      </c>
      <c r="N549" t="s">
        <v>125</v>
      </c>
      <c r="O549">
        <v>4</v>
      </c>
      <c r="P549" t="s">
        <v>2505</v>
      </c>
      <c r="Q549" t="s">
        <v>2154</v>
      </c>
      <c r="R549" t="s">
        <v>2199</v>
      </c>
      <c r="S549">
        <v>0</v>
      </c>
      <c r="T549">
        <v>0</v>
      </c>
      <c r="U549">
        <v>225</v>
      </c>
      <c r="V549" t="s">
        <v>3484</v>
      </c>
      <c r="W549" t="s">
        <v>3491</v>
      </c>
      <c r="X549" t="s">
        <v>79</v>
      </c>
    </row>
    <row r="550" spans="1:24">
      <c r="A550">
        <v>22550</v>
      </c>
      <c r="B550" t="s">
        <v>3492</v>
      </c>
      <c r="C550" t="s">
        <v>10</v>
      </c>
      <c r="D550" t="s">
        <v>10</v>
      </c>
      <c r="G550">
        <v>3600</v>
      </c>
      <c r="H550">
        <v>120000</v>
      </c>
      <c r="I550" t="s">
        <v>3483</v>
      </c>
      <c r="J550" t="s">
        <v>10</v>
      </c>
      <c r="K550">
        <v>310.31</v>
      </c>
      <c r="L550">
        <v>2.78</v>
      </c>
      <c r="M550">
        <v>2251</v>
      </c>
      <c r="N550" t="s">
        <v>125</v>
      </c>
      <c r="O550">
        <v>4</v>
      </c>
      <c r="P550" t="s">
        <v>2505</v>
      </c>
      <c r="Q550" t="s">
        <v>2154</v>
      </c>
      <c r="R550" t="s">
        <v>2199</v>
      </c>
      <c r="S550">
        <v>0</v>
      </c>
      <c r="T550">
        <v>0</v>
      </c>
      <c r="U550">
        <v>225</v>
      </c>
      <c r="V550" t="s">
        <v>3484</v>
      </c>
      <c r="W550" t="s">
        <v>3493</v>
      </c>
      <c r="X550" t="s">
        <v>79</v>
      </c>
    </row>
    <row r="551" spans="1:24">
      <c r="A551">
        <v>22560</v>
      </c>
      <c r="B551" t="s">
        <v>3494</v>
      </c>
      <c r="C551" t="s">
        <v>10</v>
      </c>
      <c r="D551" t="s">
        <v>10</v>
      </c>
      <c r="G551">
        <v>3600</v>
      </c>
      <c r="H551">
        <v>120000</v>
      </c>
      <c r="I551" t="s">
        <v>3483</v>
      </c>
      <c r="J551" t="s">
        <v>10</v>
      </c>
      <c r="K551">
        <v>310.31</v>
      </c>
      <c r="L551">
        <v>2.78</v>
      </c>
      <c r="M551">
        <v>2251</v>
      </c>
      <c r="N551" t="s">
        <v>125</v>
      </c>
      <c r="O551">
        <v>4</v>
      </c>
      <c r="P551" t="s">
        <v>2505</v>
      </c>
      <c r="Q551" t="s">
        <v>2154</v>
      </c>
      <c r="R551" t="s">
        <v>2199</v>
      </c>
      <c r="S551">
        <v>0</v>
      </c>
      <c r="T551">
        <v>0</v>
      </c>
      <c r="U551">
        <v>225</v>
      </c>
      <c r="V551" t="s">
        <v>3484</v>
      </c>
      <c r="W551" t="s">
        <v>3495</v>
      </c>
      <c r="X551" t="s">
        <v>79</v>
      </c>
    </row>
    <row r="552" spans="1:24">
      <c r="A552">
        <v>22610</v>
      </c>
      <c r="B552" t="s">
        <v>3496</v>
      </c>
      <c r="C552" t="s">
        <v>10</v>
      </c>
      <c r="D552" t="s">
        <v>10</v>
      </c>
      <c r="G552">
        <v>3900</v>
      </c>
      <c r="H552">
        <v>110000</v>
      </c>
      <c r="I552" t="s">
        <v>3497</v>
      </c>
      <c r="J552" t="s">
        <v>10</v>
      </c>
      <c r="K552">
        <v>340.04</v>
      </c>
      <c r="L552">
        <v>7.5</v>
      </c>
      <c r="M552">
        <v>2261</v>
      </c>
      <c r="N552" t="s">
        <v>125</v>
      </c>
      <c r="O552">
        <v>4</v>
      </c>
      <c r="P552" t="s">
        <v>2505</v>
      </c>
      <c r="Q552" t="s">
        <v>2154</v>
      </c>
      <c r="R552" t="s">
        <v>2199</v>
      </c>
      <c r="S552">
        <v>1</v>
      </c>
      <c r="T552">
        <v>2</v>
      </c>
      <c r="U552">
        <v>226</v>
      </c>
      <c r="V552" t="s">
        <v>3498</v>
      </c>
      <c r="W552" t="s">
        <v>3499</v>
      </c>
      <c r="X552" t="s">
        <v>79</v>
      </c>
    </row>
    <row r="553" spans="1:24">
      <c r="A553">
        <v>22615</v>
      </c>
      <c r="B553" t="s">
        <v>3500</v>
      </c>
      <c r="C553" t="s">
        <v>10</v>
      </c>
      <c r="D553" t="s">
        <v>10</v>
      </c>
      <c r="G553">
        <v>3900</v>
      </c>
      <c r="H553">
        <v>110000</v>
      </c>
      <c r="I553" t="s">
        <v>3497</v>
      </c>
      <c r="J553" t="s">
        <v>10</v>
      </c>
      <c r="K553">
        <v>340.04</v>
      </c>
      <c r="L553">
        <v>7.5</v>
      </c>
      <c r="M553">
        <v>2261</v>
      </c>
      <c r="N553" t="s">
        <v>125</v>
      </c>
      <c r="O553">
        <v>4</v>
      </c>
      <c r="P553" t="s">
        <v>2505</v>
      </c>
      <c r="Q553" t="s">
        <v>2154</v>
      </c>
      <c r="R553" t="s">
        <v>2199</v>
      </c>
      <c r="S553">
        <v>1</v>
      </c>
      <c r="T553">
        <v>1</v>
      </c>
      <c r="U553">
        <v>226</v>
      </c>
      <c r="V553" t="s">
        <v>3498</v>
      </c>
      <c r="W553" t="s">
        <v>3501</v>
      </c>
      <c r="X553" t="s">
        <v>79</v>
      </c>
    </row>
    <row r="554" spans="1:24">
      <c r="A554">
        <v>22620</v>
      </c>
      <c r="B554" t="s">
        <v>3502</v>
      </c>
      <c r="C554" t="s">
        <v>10</v>
      </c>
      <c r="D554" t="s">
        <v>10</v>
      </c>
      <c r="G554">
        <v>3900</v>
      </c>
      <c r="H554">
        <v>110000</v>
      </c>
      <c r="I554" t="s">
        <v>3497</v>
      </c>
      <c r="J554" t="s">
        <v>10</v>
      </c>
      <c r="K554">
        <v>340.04</v>
      </c>
      <c r="L554">
        <v>7.5</v>
      </c>
      <c r="M554">
        <v>2261</v>
      </c>
      <c r="N554" t="s">
        <v>125</v>
      </c>
      <c r="O554">
        <v>4</v>
      </c>
      <c r="P554" t="s">
        <v>2505</v>
      </c>
      <c r="Q554" t="s">
        <v>2154</v>
      </c>
      <c r="R554" t="s">
        <v>2199</v>
      </c>
      <c r="S554">
        <v>3</v>
      </c>
      <c r="T554">
        <v>5</v>
      </c>
      <c r="U554">
        <v>226</v>
      </c>
      <c r="V554" t="s">
        <v>3498</v>
      </c>
      <c r="W554" t="s">
        <v>3503</v>
      </c>
      <c r="X554" t="s">
        <v>79</v>
      </c>
    </row>
    <row r="555" spans="1:24">
      <c r="A555">
        <v>22625</v>
      </c>
      <c r="B555" t="s">
        <v>3504</v>
      </c>
      <c r="C555" t="s">
        <v>10</v>
      </c>
      <c r="D555" t="s">
        <v>10</v>
      </c>
      <c r="G555">
        <v>3900</v>
      </c>
      <c r="H555">
        <v>110000</v>
      </c>
      <c r="I555" t="s">
        <v>3497</v>
      </c>
      <c r="J555" t="s">
        <v>10</v>
      </c>
      <c r="K555">
        <v>340.04</v>
      </c>
      <c r="L555">
        <v>7.5</v>
      </c>
      <c r="M555">
        <v>2261</v>
      </c>
      <c r="N555" t="s">
        <v>125</v>
      </c>
      <c r="O555">
        <v>4</v>
      </c>
      <c r="P555" t="s">
        <v>2505</v>
      </c>
      <c r="Q555" t="s">
        <v>2154</v>
      </c>
      <c r="R555" t="s">
        <v>2199</v>
      </c>
      <c r="S555">
        <v>0</v>
      </c>
      <c r="T555">
        <v>0</v>
      </c>
      <c r="U555">
        <v>226</v>
      </c>
      <c r="V555" t="s">
        <v>3498</v>
      </c>
      <c r="W555" t="s">
        <v>3505</v>
      </c>
      <c r="X555" t="s">
        <v>79</v>
      </c>
    </row>
    <row r="556" spans="1:24">
      <c r="A556">
        <v>22630</v>
      </c>
      <c r="B556" t="s">
        <v>3506</v>
      </c>
      <c r="C556" t="s">
        <v>10</v>
      </c>
      <c r="D556" t="s">
        <v>10</v>
      </c>
      <c r="G556">
        <v>3900</v>
      </c>
      <c r="H556">
        <v>110000</v>
      </c>
      <c r="I556" t="s">
        <v>3497</v>
      </c>
      <c r="J556" t="s">
        <v>10</v>
      </c>
      <c r="K556">
        <v>340.04</v>
      </c>
      <c r="L556">
        <v>7.5</v>
      </c>
      <c r="M556">
        <v>2261</v>
      </c>
      <c r="N556" t="s">
        <v>125</v>
      </c>
      <c r="O556">
        <v>4</v>
      </c>
      <c r="P556" t="s">
        <v>2505</v>
      </c>
      <c r="Q556" t="s">
        <v>2154</v>
      </c>
      <c r="R556" t="s">
        <v>2199</v>
      </c>
      <c r="S556">
        <v>0</v>
      </c>
      <c r="T556">
        <v>0</v>
      </c>
      <c r="U556">
        <v>226</v>
      </c>
      <c r="V556" t="s">
        <v>3498</v>
      </c>
      <c r="W556" t="s">
        <v>3507</v>
      </c>
      <c r="X556" t="s">
        <v>79</v>
      </c>
    </row>
    <row r="557" spans="1:24">
      <c r="A557">
        <v>22635</v>
      </c>
      <c r="B557" t="s">
        <v>3508</v>
      </c>
      <c r="C557" t="s">
        <v>10</v>
      </c>
      <c r="D557" t="s">
        <v>10</v>
      </c>
      <c r="G557">
        <v>3900</v>
      </c>
      <c r="H557">
        <v>110000</v>
      </c>
      <c r="I557" t="s">
        <v>3497</v>
      </c>
      <c r="J557" t="s">
        <v>10</v>
      </c>
      <c r="K557">
        <v>340.04</v>
      </c>
      <c r="L557">
        <v>7.5</v>
      </c>
      <c r="M557">
        <v>2261</v>
      </c>
      <c r="N557" t="s">
        <v>125</v>
      </c>
      <c r="O557">
        <v>4</v>
      </c>
      <c r="P557" t="s">
        <v>2505</v>
      </c>
      <c r="Q557" t="s">
        <v>2154</v>
      </c>
      <c r="R557" t="s">
        <v>2199</v>
      </c>
      <c r="S557">
        <v>2</v>
      </c>
      <c r="T557">
        <v>2</v>
      </c>
      <c r="U557">
        <v>226</v>
      </c>
      <c r="V557" t="s">
        <v>3498</v>
      </c>
      <c r="W557" t="s">
        <v>3509</v>
      </c>
      <c r="X557" t="s">
        <v>79</v>
      </c>
    </row>
    <row r="558" spans="1:24">
      <c r="A558">
        <v>22640</v>
      </c>
      <c r="B558" t="s">
        <v>3510</v>
      </c>
      <c r="C558" t="s">
        <v>10</v>
      </c>
      <c r="D558" t="s">
        <v>10</v>
      </c>
      <c r="G558">
        <v>3900</v>
      </c>
      <c r="H558">
        <v>110000</v>
      </c>
      <c r="I558" t="s">
        <v>3497</v>
      </c>
      <c r="J558" t="s">
        <v>10</v>
      </c>
      <c r="K558">
        <v>340.04</v>
      </c>
      <c r="L558">
        <v>7.5</v>
      </c>
      <c r="M558">
        <v>2261</v>
      </c>
      <c r="N558" t="s">
        <v>125</v>
      </c>
      <c r="O558">
        <v>4</v>
      </c>
      <c r="P558" t="s">
        <v>2505</v>
      </c>
      <c r="Q558" t="s">
        <v>2154</v>
      </c>
      <c r="R558" t="s">
        <v>2199</v>
      </c>
      <c r="S558">
        <v>10</v>
      </c>
      <c r="T558">
        <v>10</v>
      </c>
      <c r="U558">
        <v>226</v>
      </c>
      <c r="V558" t="s">
        <v>3498</v>
      </c>
      <c r="W558" t="s">
        <v>3511</v>
      </c>
      <c r="X558" t="s">
        <v>79</v>
      </c>
    </row>
    <row r="559" spans="1:24">
      <c r="A559">
        <v>22645</v>
      </c>
      <c r="B559" t="s">
        <v>3512</v>
      </c>
      <c r="C559" t="s">
        <v>10</v>
      </c>
      <c r="D559" t="s">
        <v>10</v>
      </c>
      <c r="G559">
        <v>3900</v>
      </c>
      <c r="H559">
        <v>110000</v>
      </c>
      <c r="I559" t="s">
        <v>3497</v>
      </c>
      <c r="J559" t="s">
        <v>10</v>
      </c>
      <c r="K559">
        <v>340.04</v>
      </c>
      <c r="L559">
        <v>7.5</v>
      </c>
      <c r="M559">
        <v>2261</v>
      </c>
      <c r="N559" t="s">
        <v>125</v>
      </c>
      <c r="O559">
        <v>4</v>
      </c>
      <c r="P559" t="s">
        <v>2505</v>
      </c>
      <c r="Q559" t="s">
        <v>2154</v>
      </c>
      <c r="R559" t="s">
        <v>2199</v>
      </c>
      <c r="S559">
        <v>0</v>
      </c>
      <c r="T559">
        <v>0</v>
      </c>
      <c r="U559">
        <v>226</v>
      </c>
      <c r="V559" t="s">
        <v>3498</v>
      </c>
      <c r="W559" t="s">
        <v>3513</v>
      </c>
      <c r="X559" t="s">
        <v>79</v>
      </c>
    </row>
    <row r="560" spans="1:24">
      <c r="A560">
        <v>22650</v>
      </c>
      <c r="B560" t="s">
        <v>3514</v>
      </c>
      <c r="C560" t="s">
        <v>10</v>
      </c>
      <c r="D560" t="s">
        <v>10</v>
      </c>
      <c r="G560">
        <v>3900</v>
      </c>
      <c r="H560">
        <v>110000</v>
      </c>
      <c r="I560" t="s">
        <v>3497</v>
      </c>
      <c r="J560" t="s">
        <v>10</v>
      </c>
      <c r="K560">
        <v>340.04</v>
      </c>
      <c r="L560">
        <v>7.5</v>
      </c>
      <c r="M560">
        <v>2261</v>
      </c>
      <c r="N560" t="s">
        <v>125</v>
      </c>
      <c r="O560">
        <v>4</v>
      </c>
      <c r="P560" t="s">
        <v>2505</v>
      </c>
      <c r="Q560" t="s">
        <v>2154</v>
      </c>
      <c r="R560" t="s">
        <v>2199</v>
      </c>
      <c r="S560">
        <v>10</v>
      </c>
      <c r="T560">
        <v>10</v>
      </c>
      <c r="U560">
        <v>226</v>
      </c>
      <c r="V560" t="s">
        <v>3498</v>
      </c>
      <c r="W560" t="s">
        <v>3515</v>
      </c>
      <c r="X560" t="s">
        <v>79</v>
      </c>
    </row>
    <row r="561" spans="1:24">
      <c r="A561">
        <v>22655</v>
      </c>
      <c r="B561" t="s">
        <v>3516</v>
      </c>
      <c r="C561" t="s">
        <v>10</v>
      </c>
      <c r="D561" t="s">
        <v>10</v>
      </c>
      <c r="G561">
        <v>3900</v>
      </c>
      <c r="H561">
        <v>110000</v>
      </c>
      <c r="I561" t="s">
        <v>3497</v>
      </c>
      <c r="J561" t="s">
        <v>10</v>
      </c>
      <c r="K561">
        <v>340.04</v>
      </c>
      <c r="L561">
        <v>7.5</v>
      </c>
      <c r="M561">
        <v>2261</v>
      </c>
      <c r="N561" t="s">
        <v>125</v>
      </c>
      <c r="O561">
        <v>4</v>
      </c>
      <c r="P561" t="s">
        <v>2505</v>
      </c>
      <c r="Q561" t="s">
        <v>2154</v>
      </c>
      <c r="R561" t="s">
        <v>2199</v>
      </c>
      <c r="S561">
        <v>43</v>
      </c>
      <c r="T561">
        <v>44</v>
      </c>
      <c r="U561">
        <v>226</v>
      </c>
      <c r="V561" t="s">
        <v>3498</v>
      </c>
      <c r="W561" t="s">
        <v>3517</v>
      </c>
      <c r="X561" t="s">
        <v>79</v>
      </c>
    </row>
    <row r="562" spans="1:24">
      <c r="A562">
        <v>22656</v>
      </c>
      <c r="B562" t="s">
        <v>3518</v>
      </c>
      <c r="C562" t="s">
        <v>2162</v>
      </c>
      <c r="D562" t="s">
        <v>10</v>
      </c>
      <c r="F562" t="s">
        <v>2162</v>
      </c>
      <c r="G562">
        <v>4400</v>
      </c>
      <c r="H562">
        <v>25000</v>
      </c>
      <c r="I562" t="s">
        <v>3519</v>
      </c>
      <c r="J562" t="s">
        <v>10</v>
      </c>
      <c r="K562">
        <v>256.44</v>
      </c>
      <c r="L562">
        <v>3.7</v>
      </c>
      <c r="M562">
        <v>2262</v>
      </c>
      <c r="N562" t="s">
        <v>79</v>
      </c>
      <c r="O562">
        <v>4</v>
      </c>
      <c r="P562" t="s">
        <v>2505</v>
      </c>
      <c r="Q562" t="s">
        <v>2154</v>
      </c>
      <c r="R562" t="s">
        <v>159</v>
      </c>
      <c r="S562">
        <v>5</v>
      </c>
      <c r="T562">
        <v>5</v>
      </c>
      <c r="U562">
        <v>226</v>
      </c>
      <c r="V562" t="s">
        <v>3498</v>
      </c>
      <c r="W562" t="s">
        <v>3520</v>
      </c>
      <c r="X562" t="s">
        <v>79</v>
      </c>
    </row>
    <row r="563" spans="1:24">
      <c r="A563">
        <v>22660</v>
      </c>
      <c r="B563" t="s">
        <v>3521</v>
      </c>
      <c r="C563" t="s">
        <v>10</v>
      </c>
      <c r="D563" t="s">
        <v>10</v>
      </c>
      <c r="G563">
        <v>3900</v>
      </c>
      <c r="H563">
        <v>110000</v>
      </c>
      <c r="I563" t="s">
        <v>3497</v>
      </c>
      <c r="J563" t="s">
        <v>10</v>
      </c>
      <c r="K563">
        <v>340.04</v>
      </c>
      <c r="L563">
        <v>7.5</v>
      </c>
      <c r="M563">
        <v>2261</v>
      </c>
      <c r="N563" t="s">
        <v>125</v>
      </c>
      <c r="O563">
        <v>4</v>
      </c>
      <c r="P563" t="s">
        <v>2505</v>
      </c>
      <c r="Q563" t="s">
        <v>2154</v>
      </c>
      <c r="R563" t="s">
        <v>2199</v>
      </c>
      <c r="S563">
        <v>3</v>
      </c>
      <c r="T563">
        <v>3</v>
      </c>
      <c r="U563">
        <v>226</v>
      </c>
      <c r="V563" t="s">
        <v>3498</v>
      </c>
      <c r="W563" t="s">
        <v>3522</v>
      </c>
      <c r="X563" t="s">
        <v>79</v>
      </c>
    </row>
    <row r="564" spans="1:24">
      <c r="A564">
        <v>22665</v>
      </c>
      <c r="B564" t="s">
        <v>3523</v>
      </c>
      <c r="C564" t="s">
        <v>10</v>
      </c>
      <c r="D564" t="s">
        <v>10</v>
      </c>
      <c r="G564">
        <v>3900</v>
      </c>
      <c r="H564">
        <v>110000</v>
      </c>
      <c r="I564" t="s">
        <v>3497</v>
      </c>
      <c r="J564" t="s">
        <v>10</v>
      </c>
      <c r="K564">
        <v>340.04</v>
      </c>
      <c r="L564">
        <v>7.5</v>
      </c>
      <c r="M564">
        <v>2261</v>
      </c>
      <c r="N564" t="s">
        <v>125</v>
      </c>
      <c r="O564">
        <v>4</v>
      </c>
      <c r="P564" t="s">
        <v>2505</v>
      </c>
      <c r="Q564" t="s">
        <v>2154</v>
      </c>
      <c r="R564" t="s">
        <v>2199</v>
      </c>
      <c r="S564">
        <v>104</v>
      </c>
      <c r="T564">
        <v>105</v>
      </c>
      <c r="U564">
        <v>226</v>
      </c>
      <c r="V564" t="s">
        <v>3498</v>
      </c>
      <c r="W564" t="s">
        <v>3524</v>
      </c>
      <c r="X564" t="s">
        <v>79</v>
      </c>
    </row>
    <row r="565" spans="1:24">
      <c r="A565">
        <v>22666</v>
      </c>
      <c r="B565" t="s">
        <v>3525</v>
      </c>
      <c r="C565" t="s">
        <v>2162</v>
      </c>
      <c r="D565" t="s">
        <v>10</v>
      </c>
      <c r="F565" t="s">
        <v>2162</v>
      </c>
      <c r="G565">
        <v>4400</v>
      </c>
      <c r="H565">
        <v>25000</v>
      </c>
      <c r="I565" t="s">
        <v>3519</v>
      </c>
      <c r="J565" t="s">
        <v>10</v>
      </c>
      <c r="K565">
        <v>256.44</v>
      </c>
      <c r="L565">
        <v>3.7</v>
      </c>
      <c r="M565">
        <v>2262</v>
      </c>
      <c r="N565" t="s">
        <v>79</v>
      </c>
      <c r="O565">
        <v>4</v>
      </c>
      <c r="P565" t="s">
        <v>2505</v>
      </c>
      <c r="Q565" t="s">
        <v>2154</v>
      </c>
      <c r="R565" t="s">
        <v>159</v>
      </c>
      <c r="S565">
        <v>19</v>
      </c>
      <c r="T565">
        <v>19</v>
      </c>
      <c r="U565">
        <v>226</v>
      </c>
      <c r="V565" t="s">
        <v>3498</v>
      </c>
      <c r="W565" t="s">
        <v>3526</v>
      </c>
      <c r="X565" t="s">
        <v>79</v>
      </c>
    </row>
    <row r="566" spans="1:24">
      <c r="A566">
        <v>22670</v>
      </c>
      <c r="B566" t="s">
        <v>3527</v>
      </c>
      <c r="C566" t="s">
        <v>10</v>
      </c>
      <c r="D566" t="s">
        <v>10</v>
      </c>
      <c r="G566">
        <v>3900</v>
      </c>
      <c r="H566">
        <v>110000</v>
      </c>
      <c r="I566" t="s">
        <v>3497</v>
      </c>
      <c r="J566" t="s">
        <v>10</v>
      </c>
      <c r="K566">
        <v>340.04</v>
      </c>
      <c r="L566">
        <v>7.5</v>
      </c>
      <c r="M566">
        <v>2261</v>
      </c>
      <c r="N566" t="s">
        <v>125</v>
      </c>
      <c r="O566">
        <v>4</v>
      </c>
      <c r="P566" t="s">
        <v>2505</v>
      </c>
      <c r="Q566" t="s">
        <v>2154</v>
      </c>
      <c r="R566" t="s">
        <v>2199</v>
      </c>
      <c r="S566">
        <v>0</v>
      </c>
      <c r="T566">
        <v>0</v>
      </c>
      <c r="U566">
        <v>226</v>
      </c>
      <c r="V566" t="s">
        <v>3498</v>
      </c>
      <c r="W566" t="s">
        <v>3528</v>
      </c>
      <c r="X566" t="s">
        <v>79</v>
      </c>
    </row>
    <row r="567" spans="1:24">
      <c r="A567">
        <v>22675</v>
      </c>
      <c r="B567" t="s">
        <v>3529</v>
      </c>
      <c r="C567" t="s">
        <v>10</v>
      </c>
      <c r="D567" t="s">
        <v>10</v>
      </c>
      <c r="G567">
        <v>3900</v>
      </c>
      <c r="H567">
        <v>110000</v>
      </c>
      <c r="I567" t="s">
        <v>3497</v>
      </c>
      <c r="J567" t="s">
        <v>10</v>
      </c>
      <c r="K567">
        <v>340.04</v>
      </c>
      <c r="L567">
        <v>7.5</v>
      </c>
      <c r="M567">
        <v>2261</v>
      </c>
      <c r="N567" t="s">
        <v>125</v>
      </c>
      <c r="O567">
        <v>4</v>
      </c>
      <c r="P567" t="s">
        <v>2505</v>
      </c>
      <c r="Q567" t="s">
        <v>2154</v>
      </c>
      <c r="R567" t="s">
        <v>2199</v>
      </c>
      <c r="S567">
        <v>0</v>
      </c>
      <c r="T567">
        <v>0</v>
      </c>
      <c r="U567">
        <v>226</v>
      </c>
      <c r="V567" t="s">
        <v>3498</v>
      </c>
      <c r="W567" t="s">
        <v>3530</v>
      </c>
      <c r="X567" t="s">
        <v>79</v>
      </c>
    </row>
    <row r="568" spans="1:24">
      <c r="A568">
        <v>22680</v>
      </c>
      <c r="B568" t="s">
        <v>3531</v>
      </c>
      <c r="C568" t="s">
        <v>10</v>
      </c>
      <c r="D568" t="s">
        <v>10</v>
      </c>
      <c r="G568">
        <v>3900</v>
      </c>
      <c r="H568">
        <v>110000</v>
      </c>
      <c r="I568" t="s">
        <v>3497</v>
      </c>
      <c r="J568" t="s">
        <v>10</v>
      </c>
      <c r="K568">
        <v>340.04</v>
      </c>
      <c r="L568">
        <v>7.5</v>
      </c>
      <c r="M568">
        <v>2261</v>
      </c>
      <c r="N568" t="s">
        <v>125</v>
      </c>
      <c r="O568">
        <v>4</v>
      </c>
      <c r="P568" t="s">
        <v>2505</v>
      </c>
      <c r="Q568" t="s">
        <v>2154</v>
      </c>
      <c r="R568" t="s">
        <v>2199</v>
      </c>
      <c r="S568">
        <v>16</v>
      </c>
      <c r="T568">
        <v>16</v>
      </c>
      <c r="U568">
        <v>226</v>
      </c>
      <c r="V568" t="s">
        <v>3498</v>
      </c>
      <c r="W568" t="s">
        <v>3532</v>
      </c>
      <c r="X568" t="s">
        <v>79</v>
      </c>
    </row>
    <row r="569" spans="1:24">
      <c r="A569">
        <v>22681</v>
      </c>
      <c r="B569" t="s">
        <v>3533</v>
      </c>
      <c r="C569" t="s">
        <v>10</v>
      </c>
      <c r="D569" t="s">
        <v>10</v>
      </c>
      <c r="G569">
        <v>12000</v>
      </c>
      <c r="H569">
        <v>41000</v>
      </c>
      <c r="I569" t="s">
        <v>3534</v>
      </c>
      <c r="J569" t="s">
        <v>10</v>
      </c>
      <c r="K569">
        <v>1858.49</v>
      </c>
      <c r="L569">
        <v>13.99</v>
      </c>
      <c r="M569">
        <v>2264</v>
      </c>
      <c r="N569" t="s">
        <v>125</v>
      </c>
      <c r="O569">
        <v>4</v>
      </c>
      <c r="P569" t="s">
        <v>2505</v>
      </c>
      <c r="Q569" t="s">
        <v>2154</v>
      </c>
      <c r="R569" t="s">
        <v>2199</v>
      </c>
      <c r="S569">
        <v>15</v>
      </c>
      <c r="T569">
        <v>15</v>
      </c>
      <c r="U569">
        <v>226</v>
      </c>
      <c r="V569" t="s">
        <v>3498</v>
      </c>
      <c r="W569" t="s">
        <v>3535</v>
      </c>
      <c r="X569" t="s">
        <v>79</v>
      </c>
    </row>
    <row r="570" spans="1:24">
      <c r="A570">
        <v>22682</v>
      </c>
      <c r="B570" t="s">
        <v>3536</v>
      </c>
      <c r="C570" t="s">
        <v>2162</v>
      </c>
      <c r="F570" t="s">
        <v>2162</v>
      </c>
      <c r="G570">
        <v>1</v>
      </c>
      <c r="H570">
        <v>1</v>
      </c>
      <c r="I570" t="s">
        <v>3537</v>
      </c>
      <c r="J570" t="s">
        <v>2162</v>
      </c>
      <c r="K570">
        <v>5914.61</v>
      </c>
      <c r="L570">
        <v>3264.06</v>
      </c>
      <c r="M570">
        <v>2265</v>
      </c>
      <c r="N570" t="s">
        <v>79</v>
      </c>
      <c r="O570">
        <v>4</v>
      </c>
      <c r="P570" t="s">
        <v>2505</v>
      </c>
      <c r="Q570" t="s">
        <v>2154</v>
      </c>
      <c r="R570" t="s">
        <v>159</v>
      </c>
      <c r="S570">
        <v>7</v>
      </c>
      <c r="T570">
        <v>7</v>
      </c>
      <c r="U570">
        <v>226</v>
      </c>
      <c r="V570" t="s">
        <v>3498</v>
      </c>
      <c r="W570" t="s">
        <v>3538</v>
      </c>
      <c r="X570" t="s">
        <v>79</v>
      </c>
    </row>
    <row r="571" spans="1:24">
      <c r="A571">
        <v>22685</v>
      </c>
      <c r="B571" t="s">
        <v>3539</v>
      </c>
      <c r="C571" t="s">
        <v>10</v>
      </c>
      <c r="D571" t="s">
        <v>10</v>
      </c>
      <c r="G571">
        <v>3900</v>
      </c>
      <c r="H571">
        <v>110000</v>
      </c>
      <c r="I571" t="s">
        <v>3497</v>
      </c>
      <c r="J571" t="s">
        <v>10</v>
      </c>
      <c r="K571">
        <v>340.04</v>
      </c>
      <c r="L571">
        <v>7.5</v>
      </c>
      <c r="M571">
        <v>2261</v>
      </c>
      <c r="N571" t="s">
        <v>125</v>
      </c>
      <c r="O571">
        <v>4</v>
      </c>
      <c r="P571" t="s">
        <v>2505</v>
      </c>
      <c r="Q571" t="s">
        <v>2154</v>
      </c>
      <c r="R571" t="s">
        <v>2199</v>
      </c>
      <c r="S571">
        <v>2</v>
      </c>
      <c r="T571">
        <v>2</v>
      </c>
      <c r="U571">
        <v>226</v>
      </c>
      <c r="V571" t="s">
        <v>3498</v>
      </c>
      <c r="W571" t="s">
        <v>3540</v>
      </c>
      <c r="X571" t="s">
        <v>79</v>
      </c>
    </row>
    <row r="572" spans="1:24">
      <c r="A572">
        <v>22686</v>
      </c>
      <c r="B572" t="s">
        <v>3541</v>
      </c>
      <c r="C572" t="s">
        <v>10</v>
      </c>
      <c r="D572" t="s">
        <v>10</v>
      </c>
      <c r="G572">
        <v>3900</v>
      </c>
      <c r="H572">
        <v>110000</v>
      </c>
      <c r="I572" t="s">
        <v>3497</v>
      </c>
      <c r="J572" t="s">
        <v>10</v>
      </c>
      <c r="K572">
        <v>340.04</v>
      </c>
      <c r="L572">
        <v>7.5</v>
      </c>
      <c r="M572">
        <v>2261</v>
      </c>
      <c r="N572" t="s">
        <v>125</v>
      </c>
      <c r="O572">
        <v>4</v>
      </c>
      <c r="P572" t="s">
        <v>2505</v>
      </c>
      <c r="Q572" t="s">
        <v>2154</v>
      </c>
      <c r="R572" t="s">
        <v>2199</v>
      </c>
      <c r="S572">
        <v>2</v>
      </c>
      <c r="T572">
        <v>2</v>
      </c>
      <c r="U572">
        <v>226</v>
      </c>
      <c r="V572" t="s">
        <v>3498</v>
      </c>
      <c r="W572" t="s">
        <v>3542</v>
      </c>
      <c r="X572" t="s">
        <v>79</v>
      </c>
    </row>
    <row r="573" spans="1:24">
      <c r="A573">
        <v>22688</v>
      </c>
      <c r="B573" t="s">
        <v>3543</v>
      </c>
      <c r="C573" t="s">
        <v>10</v>
      </c>
      <c r="D573" t="s">
        <v>10</v>
      </c>
      <c r="G573">
        <v>3900</v>
      </c>
      <c r="H573">
        <v>110000</v>
      </c>
      <c r="I573" t="s">
        <v>3497</v>
      </c>
      <c r="J573" t="s">
        <v>10</v>
      </c>
      <c r="K573">
        <v>340.04</v>
      </c>
      <c r="L573">
        <v>7.5</v>
      </c>
      <c r="M573">
        <v>2261</v>
      </c>
      <c r="N573" t="s">
        <v>125</v>
      </c>
      <c r="O573">
        <v>4</v>
      </c>
      <c r="P573" t="s">
        <v>2505</v>
      </c>
      <c r="Q573" t="s">
        <v>2154</v>
      </c>
      <c r="R573" t="s">
        <v>2199</v>
      </c>
      <c r="S573">
        <v>10</v>
      </c>
      <c r="T573">
        <v>10</v>
      </c>
      <c r="U573">
        <v>226</v>
      </c>
      <c r="V573" t="s">
        <v>3498</v>
      </c>
      <c r="W573" t="s">
        <v>3544</v>
      </c>
      <c r="X573" t="s">
        <v>79</v>
      </c>
    </row>
    <row r="574" spans="1:24">
      <c r="A574">
        <v>22710</v>
      </c>
      <c r="B574" t="s">
        <v>3545</v>
      </c>
      <c r="C574" t="s">
        <v>10</v>
      </c>
      <c r="D574" t="s">
        <v>10</v>
      </c>
      <c r="G574">
        <v>25100</v>
      </c>
      <c r="H574">
        <v>34000</v>
      </c>
      <c r="I574" t="s">
        <v>3546</v>
      </c>
      <c r="J574" t="s">
        <v>10</v>
      </c>
      <c r="K574">
        <v>132.52000000000001</v>
      </c>
      <c r="L574">
        <v>2.4700000000000002</v>
      </c>
      <c r="M574">
        <v>2271</v>
      </c>
      <c r="N574" t="s">
        <v>125</v>
      </c>
      <c r="O574">
        <v>4</v>
      </c>
      <c r="P574" t="s">
        <v>2286</v>
      </c>
      <c r="Q574" t="s">
        <v>2244</v>
      </c>
      <c r="R574" t="s">
        <v>2199</v>
      </c>
      <c r="S574">
        <v>2</v>
      </c>
      <c r="T574">
        <v>2</v>
      </c>
      <c r="U574">
        <v>227</v>
      </c>
      <c r="V574" t="s">
        <v>3547</v>
      </c>
      <c r="W574" t="s">
        <v>3548</v>
      </c>
      <c r="X574" t="s">
        <v>79</v>
      </c>
    </row>
    <row r="575" spans="1:24">
      <c r="A575">
        <v>22720</v>
      </c>
      <c r="B575" t="s">
        <v>3549</v>
      </c>
      <c r="C575" t="s">
        <v>10</v>
      </c>
      <c r="D575" t="s">
        <v>10</v>
      </c>
      <c r="G575">
        <v>25100</v>
      </c>
      <c r="H575">
        <v>34000</v>
      </c>
      <c r="I575" t="s">
        <v>3546</v>
      </c>
      <c r="J575" t="s">
        <v>10</v>
      </c>
      <c r="K575">
        <v>132.52000000000001</v>
      </c>
      <c r="L575">
        <v>2.4700000000000002</v>
      </c>
      <c r="M575">
        <v>2271</v>
      </c>
      <c r="N575" t="s">
        <v>125</v>
      </c>
      <c r="O575">
        <v>4</v>
      </c>
      <c r="P575" t="s">
        <v>2286</v>
      </c>
      <c r="Q575" t="s">
        <v>2244</v>
      </c>
      <c r="R575" t="s">
        <v>2199</v>
      </c>
      <c r="S575">
        <v>0</v>
      </c>
      <c r="T575">
        <v>0</v>
      </c>
      <c r="U575">
        <v>227</v>
      </c>
      <c r="V575" t="s">
        <v>3547</v>
      </c>
      <c r="W575" t="s">
        <v>3550</v>
      </c>
      <c r="X575" t="s">
        <v>79</v>
      </c>
    </row>
    <row r="576" spans="1:24">
      <c r="A576">
        <v>22730</v>
      </c>
      <c r="B576" t="s">
        <v>3551</v>
      </c>
      <c r="C576" t="s">
        <v>10</v>
      </c>
      <c r="D576" t="s">
        <v>10</v>
      </c>
      <c r="G576">
        <v>25100</v>
      </c>
      <c r="H576">
        <v>34000</v>
      </c>
      <c r="I576" t="s">
        <v>3546</v>
      </c>
      <c r="J576" t="s">
        <v>10</v>
      </c>
      <c r="K576">
        <v>132.52000000000001</v>
      </c>
      <c r="L576">
        <v>2.4700000000000002</v>
      </c>
      <c r="M576">
        <v>2271</v>
      </c>
      <c r="N576" t="s">
        <v>125</v>
      </c>
      <c r="O576">
        <v>4</v>
      </c>
      <c r="P576" t="s">
        <v>2286</v>
      </c>
      <c r="Q576" t="s">
        <v>2244</v>
      </c>
      <c r="R576" t="s">
        <v>2199</v>
      </c>
      <c r="S576">
        <v>1</v>
      </c>
      <c r="T576">
        <v>2</v>
      </c>
      <c r="U576">
        <v>227</v>
      </c>
      <c r="V576" t="s">
        <v>3547</v>
      </c>
      <c r="W576" t="s">
        <v>3552</v>
      </c>
      <c r="X576" t="s">
        <v>79</v>
      </c>
    </row>
    <row r="577" spans="1:24">
      <c r="A577">
        <v>22735</v>
      </c>
      <c r="B577" t="s">
        <v>3553</v>
      </c>
      <c r="C577" t="s">
        <v>10</v>
      </c>
      <c r="D577" t="s">
        <v>10</v>
      </c>
      <c r="G577">
        <v>25100</v>
      </c>
      <c r="H577">
        <v>34000</v>
      </c>
      <c r="I577" t="s">
        <v>3546</v>
      </c>
      <c r="J577" t="s">
        <v>10</v>
      </c>
      <c r="K577">
        <v>132.52000000000001</v>
      </c>
      <c r="L577">
        <v>2.4700000000000002</v>
      </c>
      <c r="M577">
        <v>2271</v>
      </c>
      <c r="N577" t="s">
        <v>125</v>
      </c>
      <c r="O577">
        <v>4</v>
      </c>
      <c r="P577" t="s">
        <v>2286</v>
      </c>
      <c r="Q577" t="s">
        <v>2244</v>
      </c>
      <c r="R577" t="s">
        <v>2199</v>
      </c>
      <c r="S577">
        <v>0</v>
      </c>
      <c r="T577">
        <v>0</v>
      </c>
      <c r="U577">
        <v>227</v>
      </c>
      <c r="V577" t="s">
        <v>3547</v>
      </c>
      <c r="W577" t="s">
        <v>3554</v>
      </c>
      <c r="X577" t="s">
        <v>79</v>
      </c>
    </row>
    <row r="578" spans="1:24">
      <c r="A578">
        <v>22810</v>
      </c>
      <c r="B578" t="s">
        <v>3555</v>
      </c>
      <c r="C578" t="s">
        <v>10</v>
      </c>
      <c r="D578" t="s">
        <v>10</v>
      </c>
      <c r="G578">
        <v>6300</v>
      </c>
      <c r="H578">
        <v>54000</v>
      </c>
      <c r="I578" t="s">
        <v>3556</v>
      </c>
      <c r="J578" t="s">
        <v>10</v>
      </c>
      <c r="K578">
        <v>172.82</v>
      </c>
      <c r="L578">
        <v>5.79</v>
      </c>
      <c r="M578">
        <v>2281</v>
      </c>
      <c r="N578" t="s">
        <v>125</v>
      </c>
      <c r="O578">
        <v>4</v>
      </c>
      <c r="P578" t="s">
        <v>2459</v>
      </c>
      <c r="Q578" t="s">
        <v>2460</v>
      </c>
      <c r="R578" t="s">
        <v>2199</v>
      </c>
      <c r="S578">
        <v>1</v>
      </c>
      <c r="T578">
        <v>1</v>
      </c>
      <c r="U578">
        <v>228</v>
      </c>
      <c r="V578" t="s">
        <v>3557</v>
      </c>
      <c r="W578" t="s">
        <v>3558</v>
      </c>
      <c r="X578" t="s">
        <v>79</v>
      </c>
    </row>
    <row r="579" spans="1:24">
      <c r="A579">
        <v>22820</v>
      </c>
      <c r="B579" t="s">
        <v>3559</v>
      </c>
      <c r="C579" t="s">
        <v>10</v>
      </c>
      <c r="D579" t="s">
        <v>10</v>
      </c>
      <c r="G579">
        <v>6300</v>
      </c>
      <c r="H579">
        <v>54000</v>
      </c>
      <c r="I579" t="s">
        <v>3556</v>
      </c>
      <c r="J579" t="s">
        <v>10</v>
      </c>
      <c r="K579">
        <v>172.82</v>
      </c>
      <c r="L579">
        <v>5.79</v>
      </c>
      <c r="M579">
        <v>2281</v>
      </c>
      <c r="N579" t="s">
        <v>125</v>
      </c>
      <c r="O579">
        <v>4</v>
      </c>
      <c r="P579" t="s">
        <v>2205</v>
      </c>
      <c r="Q579" t="s">
        <v>2206</v>
      </c>
      <c r="R579" t="s">
        <v>2199</v>
      </c>
      <c r="S579">
        <v>2</v>
      </c>
      <c r="T579">
        <v>2</v>
      </c>
      <c r="U579">
        <v>228</v>
      </c>
      <c r="V579" t="s">
        <v>3557</v>
      </c>
      <c r="W579" t="s">
        <v>3560</v>
      </c>
      <c r="X579" t="s">
        <v>79</v>
      </c>
    </row>
    <row r="580" spans="1:24">
      <c r="A580">
        <v>22830</v>
      </c>
      <c r="B580" t="s">
        <v>3561</v>
      </c>
      <c r="C580" t="s">
        <v>10</v>
      </c>
      <c r="D580" t="s">
        <v>10</v>
      </c>
      <c r="G580">
        <v>6300</v>
      </c>
      <c r="H580">
        <v>54000</v>
      </c>
      <c r="I580" t="s">
        <v>3556</v>
      </c>
      <c r="J580" t="s">
        <v>10</v>
      </c>
      <c r="K580">
        <v>172.82</v>
      </c>
      <c r="L580">
        <v>5.79</v>
      </c>
      <c r="M580">
        <v>2281</v>
      </c>
      <c r="N580" t="s">
        <v>125</v>
      </c>
      <c r="O580">
        <v>4</v>
      </c>
      <c r="P580" t="s">
        <v>2205</v>
      </c>
      <c r="Q580" t="s">
        <v>2206</v>
      </c>
      <c r="R580" t="s">
        <v>2199</v>
      </c>
      <c r="S580">
        <v>0</v>
      </c>
      <c r="T580">
        <v>0</v>
      </c>
      <c r="U580">
        <v>228</v>
      </c>
      <c r="V580" t="s">
        <v>3557</v>
      </c>
      <c r="W580" t="s">
        <v>3562</v>
      </c>
      <c r="X580" t="s">
        <v>79</v>
      </c>
    </row>
    <row r="581" spans="1:24">
      <c r="A581">
        <v>22835</v>
      </c>
      <c r="B581" t="s">
        <v>3563</v>
      </c>
      <c r="C581" t="s">
        <v>10</v>
      </c>
      <c r="D581" t="s">
        <v>10</v>
      </c>
      <c r="G581">
        <v>7500</v>
      </c>
      <c r="H581">
        <v>120000</v>
      </c>
      <c r="I581" t="s">
        <v>3564</v>
      </c>
      <c r="J581" t="s">
        <v>10</v>
      </c>
      <c r="K581">
        <v>459.02</v>
      </c>
      <c r="L581">
        <v>12.12</v>
      </c>
      <c r="M581">
        <v>5302</v>
      </c>
      <c r="N581" t="s">
        <v>125</v>
      </c>
      <c r="O581">
        <v>4</v>
      </c>
      <c r="P581" t="s">
        <v>3565</v>
      </c>
      <c r="Q581" t="s">
        <v>2206</v>
      </c>
      <c r="R581" t="s">
        <v>2199</v>
      </c>
      <c r="S581">
        <v>1</v>
      </c>
      <c r="T581">
        <v>2</v>
      </c>
      <c r="U581">
        <v>228</v>
      </c>
      <c r="V581" t="s">
        <v>3557</v>
      </c>
      <c r="W581" t="s">
        <v>3566</v>
      </c>
      <c r="X581" t="s">
        <v>79</v>
      </c>
    </row>
    <row r="582" spans="1:24">
      <c r="A582">
        <v>22910</v>
      </c>
      <c r="B582" t="s">
        <v>3567</v>
      </c>
      <c r="C582" t="s">
        <v>2162</v>
      </c>
      <c r="E582" t="s">
        <v>3568</v>
      </c>
      <c r="F582" t="s">
        <v>2162</v>
      </c>
      <c r="G582">
        <v>1</v>
      </c>
      <c r="H582">
        <v>1</v>
      </c>
      <c r="I582" t="s">
        <v>3569</v>
      </c>
      <c r="J582" t="s">
        <v>2162</v>
      </c>
      <c r="K582">
        <v>2807757.49</v>
      </c>
      <c r="L582">
        <v>43491.07</v>
      </c>
      <c r="M582">
        <v>2291</v>
      </c>
      <c r="N582" t="s">
        <v>125</v>
      </c>
      <c r="O582">
        <v>4</v>
      </c>
      <c r="P582" t="s">
        <v>2205</v>
      </c>
      <c r="Q582" t="s">
        <v>2206</v>
      </c>
      <c r="R582" t="s">
        <v>159</v>
      </c>
      <c r="S582">
        <v>0</v>
      </c>
      <c r="T582">
        <v>1</v>
      </c>
      <c r="U582">
        <v>229</v>
      </c>
      <c r="V582" t="s">
        <v>3570</v>
      </c>
      <c r="W582" t="s">
        <v>3571</v>
      </c>
      <c r="X582" t="s">
        <v>79</v>
      </c>
    </row>
    <row r="583" spans="1:24">
      <c r="A583">
        <v>22920</v>
      </c>
      <c r="B583" t="s">
        <v>3572</v>
      </c>
      <c r="C583" t="s">
        <v>2162</v>
      </c>
      <c r="E583" t="s">
        <v>3568</v>
      </c>
      <c r="F583" t="s">
        <v>2162</v>
      </c>
      <c r="G583">
        <v>1</v>
      </c>
      <c r="H583">
        <v>1</v>
      </c>
      <c r="I583" t="s">
        <v>3569</v>
      </c>
      <c r="J583" t="s">
        <v>2162</v>
      </c>
      <c r="K583">
        <v>2807757.49</v>
      </c>
      <c r="L583">
        <v>43491.07</v>
      </c>
      <c r="M583">
        <v>2291</v>
      </c>
      <c r="N583" t="s">
        <v>125</v>
      </c>
      <c r="O583">
        <v>4</v>
      </c>
      <c r="P583" t="s">
        <v>2205</v>
      </c>
      <c r="Q583" t="s">
        <v>2206</v>
      </c>
      <c r="R583" t="s">
        <v>159</v>
      </c>
      <c r="S583">
        <v>3</v>
      </c>
      <c r="T583">
        <v>4</v>
      </c>
      <c r="U583">
        <v>229</v>
      </c>
      <c r="V583" t="s">
        <v>3570</v>
      </c>
      <c r="W583" t="s">
        <v>3573</v>
      </c>
      <c r="X583" t="s">
        <v>79</v>
      </c>
    </row>
    <row r="584" spans="1:24">
      <c r="A584">
        <v>22930</v>
      </c>
      <c r="B584" t="s">
        <v>3574</v>
      </c>
      <c r="C584" t="s">
        <v>2162</v>
      </c>
      <c r="E584" t="s">
        <v>3568</v>
      </c>
      <c r="F584" t="s">
        <v>2162</v>
      </c>
      <c r="G584">
        <v>1</v>
      </c>
      <c r="H584">
        <v>1</v>
      </c>
      <c r="I584" t="s">
        <v>3569</v>
      </c>
      <c r="J584" t="s">
        <v>2162</v>
      </c>
      <c r="K584">
        <v>2807757.49</v>
      </c>
      <c r="L584">
        <v>43491.07</v>
      </c>
      <c r="M584">
        <v>2291</v>
      </c>
      <c r="N584" t="s">
        <v>125</v>
      </c>
      <c r="O584">
        <v>4</v>
      </c>
      <c r="P584" t="s">
        <v>2205</v>
      </c>
      <c r="Q584" t="s">
        <v>2206</v>
      </c>
      <c r="R584" t="s">
        <v>159</v>
      </c>
      <c r="S584">
        <v>4</v>
      </c>
      <c r="T584">
        <v>4</v>
      </c>
      <c r="U584">
        <v>229</v>
      </c>
      <c r="V584" t="s">
        <v>3570</v>
      </c>
      <c r="W584" t="s">
        <v>3575</v>
      </c>
      <c r="X584" t="s">
        <v>79</v>
      </c>
    </row>
    <row r="585" spans="1:24">
      <c r="A585">
        <v>22950</v>
      </c>
      <c r="B585" t="s">
        <v>3576</v>
      </c>
      <c r="C585" t="s">
        <v>10</v>
      </c>
      <c r="D585" t="s">
        <v>10</v>
      </c>
      <c r="F585" t="s">
        <v>2162</v>
      </c>
      <c r="G585">
        <v>9500</v>
      </c>
      <c r="H585">
        <v>48000</v>
      </c>
      <c r="I585" t="s">
        <v>3577</v>
      </c>
      <c r="J585" t="s">
        <v>10</v>
      </c>
      <c r="K585">
        <v>140.30000000000001</v>
      </c>
      <c r="L585">
        <v>5.12</v>
      </c>
      <c r="M585">
        <v>6103</v>
      </c>
      <c r="N585" t="s">
        <v>125</v>
      </c>
      <c r="O585">
        <v>4</v>
      </c>
      <c r="P585" t="s">
        <v>2449</v>
      </c>
      <c r="Q585" t="s">
        <v>2206</v>
      </c>
      <c r="R585" t="s">
        <v>2199</v>
      </c>
      <c r="S585">
        <v>20</v>
      </c>
      <c r="T585">
        <v>44</v>
      </c>
      <c r="U585">
        <v>229</v>
      </c>
      <c r="V585" t="s">
        <v>3570</v>
      </c>
      <c r="W585" t="s">
        <v>3578</v>
      </c>
      <c r="X585" t="s">
        <v>79</v>
      </c>
    </row>
    <row r="586" spans="1:24">
      <c r="A586">
        <v>22977</v>
      </c>
      <c r="B586" t="s">
        <v>3579</v>
      </c>
      <c r="C586" t="s">
        <v>10</v>
      </c>
      <c r="D586" t="s">
        <v>10</v>
      </c>
      <c r="G586">
        <v>6300</v>
      </c>
      <c r="H586">
        <v>54000</v>
      </c>
      <c r="I586" t="s">
        <v>3556</v>
      </c>
      <c r="J586" t="s">
        <v>10</v>
      </c>
      <c r="K586">
        <v>172.82</v>
      </c>
      <c r="L586">
        <v>5.79</v>
      </c>
      <c r="M586">
        <v>2281</v>
      </c>
      <c r="N586" t="s">
        <v>125</v>
      </c>
      <c r="O586">
        <v>4</v>
      </c>
      <c r="P586" t="s">
        <v>2205</v>
      </c>
      <c r="Q586" t="s">
        <v>2206</v>
      </c>
      <c r="R586" t="s">
        <v>2199</v>
      </c>
      <c r="S586">
        <v>73</v>
      </c>
      <c r="T586">
        <v>78</v>
      </c>
      <c r="U586">
        <v>229</v>
      </c>
      <c r="V586" t="s">
        <v>3570</v>
      </c>
      <c r="W586" t="s">
        <v>3580</v>
      </c>
      <c r="X586" t="s">
        <v>79</v>
      </c>
    </row>
    <row r="587" spans="1:24">
      <c r="A587">
        <v>22980</v>
      </c>
      <c r="B587" t="s">
        <v>3581</v>
      </c>
      <c r="C587" t="s">
        <v>10</v>
      </c>
      <c r="D587" t="s">
        <v>10</v>
      </c>
      <c r="G587">
        <v>6300</v>
      </c>
      <c r="H587">
        <v>54000</v>
      </c>
      <c r="I587" t="s">
        <v>3556</v>
      </c>
      <c r="J587" t="s">
        <v>10</v>
      </c>
      <c r="K587">
        <v>172.82</v>
      </c>
      <c r="L587">
        <v>5.79</v>
      </c>
      <c r="M587">
        <v>2281</v>
      </c>
      <c r="N587" t="s">
        <v>125</v>
      </c>
      <c r="O587">
        <v>4</v>
      </c>
      <c r="P587" t="s">
        <v>2479</v>
      </c>
      <c r="Q587" t="s">
        <v>2460</v>
      </c>
      <c r="R587" t="s">
        <v>2199</v>
      </c>
      <c r="S587">
        <v>3</v>
      </c>
      <c r="T587">
        <v>6</v>
      </c>
      <c r="U587">
        <v>229</v>
      </c>
      <c r="V587" t="s">
        <v>3570</v>
      </c>
      <c r="W587" t="s">
        <v>3582</v>
      </c>
      <c r="X587" t="s">
        <v>79</v>
      </c>
    </row>
    <row r="588" spans="1:24">
      <c r="A588">
        <v>31010</v>
      </c>
      <c r="B588" t="s">
        <v>3583</v>
      </c>
      <c r="C588" t="s">
        <v>10</v>
      </c>
      <c r="D588" t="s">
        <v>10</v>
      </c>
      <c r="G588">
        <v>8400</v>
      </c>
      <c r="H588">
        <v>1000000</v>
      </c>
      <c r="I588" t="s">
        <v>2780</v>
      </c>
      <c r="J588" t="s">
        <v>10</v>
      </c>
      <c r="K588">
        <v>587</v>
      </c>
      <c r="L588">
        <v>4.5999999999999996</v>
      </c>
      <c r="M588">
        <v>6100</v>
      </c>
      <c r="N588" t="s">
        <v>125</v>
      </c>
      <c r="O588">
        <v>1</v>
      </c>
      <c r="P588" t="s">
        <v>3584</v>
      </c>
      <c r="Q588" t="s">
        <v>3585</v>
      </c>
      <c r="R588" t="s">
        <v>2199</v>
      </c>
      <c r="S588">
        <v>38</v>
      </c>
      <c r="T588">
        <v>58</v>
      </c>
      <c r="U588">
        <v>310</v>
      </c>
      <c r="V588" t="s">
        <v>3586</v>
      </c>
      <c r="W588" t="s">
        <v>3587</v>
      </c>
      <c r="X588" t="s">
        <v>79</v>
      </c>
    </row>
    <row r="589" spans="1:24">
      <c r="A589">
        <v>31011</v>
      </c>
      <c r="B589" t="s">
        <v>3588</v>
      </c>
      <c r="C589" t="s">
        <v>10</v>
      </c>
      <c r="D589" t="s">
        <v>10</v>
      </c>
      <c r="G589">
        <v>22000</v>
      </c>
      <c r="H589">
        <v>290000</v>
      </c>
      <c r="I589" t="s">
        <v>3589</v>
      </c>
      <c r="J589" t="s">
        <v>10</v>
      </c>
      <c r="K589">
        <v>942</v>
      </c>
      <c r="L589">
        <v>8.31</v>
      </c>
      <c r="M589">
        <v>3101</v>
      </c>
      <c r="N589" t="s">
        <v>125</v>
      </c>
      <c r="O589">
        <v>2</v>
      </c>
      <c r="P589" t="s">
        <v>3584</v>
      </c>
      <c r="Q589" t="s">
        <v>3585</v>
      </c>
      <c r="R589" t="s">
        <v>2199</v>
      </c>
      <c r="S589">
        <v>20</v>
      </c>
      <c r="T589">
        <v>24</v>
      </c>
      <c r="U589">
        <v>310</v>
      </c>
      <c r="V589" t="s">
        <v>3586</v>
      </c>
      <c r="W589" t="s">
        <v>3590</v>
      </c>
      <c r="X589" t="s">
        <v>79</v>
      </c>
    </row>
    <row r="590" spans="1:24">
      <c r="A590">
        <v>31013</v>
      </c>
      <c r="B590" t="s">
        <v>3591</v>
      </c>
      <c r="C590" t="s">
        <v>10</v>
      </c>
      <c r="D590" t="s">
        <v>10</v>
      </c>
      <c r="G590">
        <v>22000</v>
      </c>
      <c r="H590">
        <v>290000</v>
      </c>
      <c r="I590" t="s">
        <v>3589</v>
      </c>
      <c r="J590" t="s">
        <v>10</v>
      </c>
      <c r="K590">
        <v>942</v>
      </c>
      <c r="L590">
        <v>8.31</v>
      </c>
      <c r="M590">
        <v>3101</v>
      </c>
      <c r="N590" t="s">
        <v>125</v>
      </c>
      <c r="O590">
        <v>2</v>
      </c>
      <c r="P590" t="s">
        <v>3584</v>
      </c>
      <c r="Q590" t="s">
        <v>3585</v>
      </c>
      <c r="R590" t="s">
        <v>2199</v>
      </c>
      <c r="S590">
        <v>35</v>
      </c>
      <c r="T590">
        <v>41</v>
      </c>
      <c r="U590">
        <v>310</v>
      </c>
      <c r="V590" t="s">
        <v>3586</v>
      </c>
      <c r="W590" t="s">
        <v>3592</v>
      </c>
      <c r="X590" t="s">
        <v>79</v>
      </c>
    </row>
    <row r="591" spans="1:24">
      <c r="A591">
        <v>31015</v>
      </c>
      <c r="B591" t="s">
        <v>3593</v>
      </c>
      <c r="C591" t="s">
        <v>10</v>
      </c>
      <c r="D591" t="s">
        <v>10</v>
      </c>
      <c r="G591">
        <v>22000</v>
      </c>
      <c r="H591">
        <v>290000</v>
      </c>
      <c r="I591" t="s">
        <v>3589</v>
      </c>
      <c r="J591" t="s">
        <v>10</v>
      </c>
      <c r="K591">
        <v>942</v>
      </c>
      <c r="L591">
        <v>8.31</v>
      </c>
      <c r="M591">
        <v>3101</v>
      </c>
      <c r="N591" t="s">
        <v>125</v>
      </c>
      <c r="O591">
        <v>2</v>
      </c>
      <c r="P591" t="s">
        <v>3584</v>
      </c>
      <c r="Q591" t="s">
        <v>3585</v>
      </c>
      <c r="R591" t="s">
        <v>2199</v>
      </c>
      <c r="S591">
        <v>38</v>
      </c>
      <c r="T591">
        <v>50</v>
      </c>
      <c r="U591">
        <v>310</v>
      </c>
      <c r="V591" t="s">
        <v>3586</v>
      </c>
      <c r="W591" t="s">
        <v>3594</v>
      </c>
      <c r="X591" t="s">
        <v>79</v>
      </c>
    </row>
    <row r="592" spans="1:24">
      <c r="A592">
        <v>31017</v>
      </c>
      <c r="B592" t="s">
        <v>3595</v>
      </c>
      <c r="C592" t="s">
        <v>10</v>
      </c>
      <c r="D592" t="s">
        <v>10</v>
      </c>
      <c r="G592">
        <v>22000</v>
      </c>
      <c r="H592">
        <v>290000</v>
      </c>
      <c r="I592" t="s">
        <v>3589</v>
      </c>
      <c r="J592" t="s">
        <v>10</v>
      </c>
      <c r="K592">
        <v>942</v>
      </c>
      <c r="L592">
        <v>8.31</v>
      </c>
      <c r="M592">
        <v>3101</v>
      </c>
      <c r="N592" t="s">
        <v>125</v>
      </c>
      <c r="O592">
        <v>2</v>
      </c>
      <c r="P592" t="s">
        <v>3584</v>
      </c>
      <c r="Q592" t="s">
        <v>3585</v>
      </c>
      <c r="R592" t="s">
        <v>2199</v>
      </c>
      <c r="S592">
        <v>20</v>
      </c>
      <c r="T592">
        <v>28</v>
      </c>
      <c r="U592">
        <v>310</v>
      </c>
      <c r="V592" t="s">
        <v>3586</v>
      </c>
      <c r="W592" t="s">
        <v>3596</v>
      </c>
      <c r="X592" t="s">
        <v>79</v>
      </c>
    </row>
    <row r="593" spans="1:24">
      <c r="A593">
        <v>31019</v>
      </c>
      <c r="B593" t="s">
        <v>3597</v>
      </c>
      <c r="C593" t="s">
        <v>10</v>
      </c>
      <c r="D593" t="s">
        <v>10</v>
      </c>
      <c r="G593">
        <v>22000</v>
      </c>
      <c r="H593">
        <v>290000</v>
      </c>
      <c r="I593" t="s">
        <v>3589</v>
      </c>
      <c r="J593" t="s">
        <v>10</v>
      </c>
      <c r="K593">
        <v>942</v>
      </c>
      <c r="L593">
        <v>8.31</v>
      </c>
      <c r="M593">
        <v>3101</v>
      </c>
      <c r="N593" t="s">
        <v>125</v>
      </c>
      <c r="O593">
        <v>2</v>
      </c>
      <c r="P593" t="s">
        <v>3584</v>
      </c>
      <c r="Q593" t="s">
        <v>3585</v>
      </c>
      <c r="R593" t="s">
        <v>2199</v>
      </c>
      <c r="S593">
        <v>12</v>
      </c>
      <c r="T593">
        <v>15</v>
      </c>
      <c r="U593">
        <v>310</v>
      </c>
      <c r="V593" t="s">
        <v>3586</v>
      </c>
      <c r="W593" t="s">
        <v>3598</v>
      </c>
      <c r="X593" t="s">
        <v>79</v>
      </c>
    </row>
    <row r="594" spans="1:24">
      <c r="A594">
        <v>31021</v>
      </c>
      <c r="B594" t="s">
        <v>3599</v>
      </c>
      <c r="C594" t="s">
        <v>10</v>
      </c>
      <c r="D594" t="s">
        <v>10</v>
      </c>
      <c r="G594">
        <v>22000</v>
      </c>
      <c r="H594">
        <v>290000</v>
      </c>
      <c r="I594" t="s">
        <v>3589</v>
      </c>
      <c r="J594" t="s">
        <v>10</v>
      </c>
      <c r="K594">
        <v>942</v>
      </c>
      <c r="L594">
        <v>8.31</v>
      </c>
      <c r="M594">
        <v>3101</v>
      </c>
      <c r="N594" t="s">
        <v>125</v>
      </c>
      <c r="O594">
        <v>2</v>
      </c>
      <c r="P594" t="s">
        <v>3584</v>
      </c>
      <c r="Q594" t="s">
        <v>3585</v>
      </c>
      <c r="R594" t="s">
        <v>2199</v>
      </c>
      <c r="S594">
        <v>15</v>
      </c>
      <c r="T594">
        <v>20</v>
      </c>
      <c r="U594">
        <v>310</v>
      </c>
      <c r="V594" t="s">
        <v>3586</v>
      </c>
      <c r="W594" t="s">
        <v>3600</v>
      </c>
      <c r="X594" t="s">
        <v>79</v>
      </c>
    </row>
    <row r="595" spans="1:24">
      <c r="A595">
        <v>31023</v>
      </c>
      <c r="B595" t="s">
        <v>3601</v>
      </c>
      <c r="C595" t="s">
        <v>10</v>
      </c>
      <c r="D595" t="s">
        <v>10</v>
      </c>
      <c r="G595">
        <v>22000</v>
      </c>
      <c r="H595">
        <v>290000</v>
      </c>
      <c r="I595" t="s">
        <v>3589</v>
      </c>
      <c r="J595" t="s">
        <v>10</v>
      </c>
      <c r="K595">
        <v>942</v>
      </c>
      <c r="L595">
        <v>8.31</v>
      </c>
      <c r="M595">
        <v>3101</v>
      </c>
      <c r="N595" t="s">
        <v>125</v>
      </c>
      <c r="O595">
        <v>2</v>
      </c>
      <c r="P595" t="s">
        <v>3584</v>
      </c>
      <c r="Q595" t="s">
        <v>3585</v>
      </c>
      <c r="R595" t="s">
        <v>2199</v>
      </c>
      <c r="S595">
        <v>375</v>
      </c>
      <c r="T595">
        <v>416</v>
      </c>
      <c r="U595">
        <v>310</v>
      </c>
      <c r="V595" t="s">
        <v>3586</v>
      </c>
      <c r="W595" t="s">
        <v>3602</v>
      </c>
      <c r="X595" t="s">
        <v>79</v>
      </c>
    </row>
    <row r="596" spans="1:24">
      <c r="A596">
        <v>31025</v>
      </c>
      <c r="B596" t="s">
        <v>3603</v>
      </c>
      <c r="C596" t="s">
        <v>10</v>
      </c>
      <c r="D596" t="s">
        <v>10</v>
      </c>
      <c r="G596">
        <v>22000</v>
      </c>
      <c r="H596">
        <v>290000</v>
      </c>
      <c r="I596" t="s">
        <v>3589</v>
      </c>
      <c r="J596" t="s">
        <v>10</v>
      </c>
      <c r="K596">
        <v>942</v>
      </c>
      <c r="L596">
        <v>8.31</v>
      </c>
      <c r="M596">
        <v>3101</v>
      </c>
      <c r="N596" t="s">
        <v>125</v>
      </c>
      <c r="O596">
        <v>2</v>
      </c>
      <c r="P596" t="s">
        <v>3584</v>
      </c>
      <c r="Q596" t="s">
        <v>3585</v>
      </c>
      <c r="R596" t="s">
        <v>2199</v>
      </c>
      <c r="S596">
        <v>15</v>
      </c>
      <c r="T596">
        <v>19</v>
      </c>
      <c r="U596">
        <v>310</v>
      </c>
      <c r="V596" t="s">
        <v>3586</v>
      </c>
      <c r="W596" t="s">
        <v>3604</v>
      </c>
      <c r="X596" t="s">
        <v>79</v>
      </c>
    </row>
    <row r="597" spans="1:24">
      <c r="A597">
        <v>31027</v>
      </c>
      <c r="B597" t="s">
        <v>3605</v>
      </c>
      <c r="C597" t="s">
        <v>10</v>
      </c>
      <c r="D597" t="s">
        <v>10</v>
      </c>
      <c r="G597">
        <v>22000</v>
      </c>
      <c r="H597">
        <v>290000</v>
      </c>
      <c r="I597" t="s">
        <v>3589</v>
      </c>
      <c r="J597" t="s">
        <v>10</v>
      </c>
      <c r="K597">
        <v>942</v>
      </c>
      <c r="L597">
        <v>8.31</v>
      </c>
      <c r="M597">
        <v>3101</v>
      </c>
      <c r="N597" t="s">
        <v>125</v>
      </c>
      <c r="O597">
        <v>2</v>
      </c>
      <c r="P597" t="s">
        <v>3584</v>
      </c>
      <c r="Q597" t="s">
        <v>3585</v>
      </c>
      <c r="R597" t="s">
        <v>2199</v>
      </c>
      <c r="S597">
        <v>10</v>
      </c>
      <c r="T597">
        <v>17</v>
      </c>
      <c r="U597">
        <v>310</v>
      </c>
      <c r="V597" t="s">
        <v>3586</v>
      </c>
      <c r="W597" t="s">
        <v>3606</v>
      </c>
      <c r="X597" t="s">
        <v>79</v>
      </c>
    </row>
    <row r="598" spans="1:24">
      <c r="A598">
        <v>31029</v>
      </c>
      <c r="B598" t="s">
        <v>3607</v>
      </c>
      <c r="C598" t="s">
        <v>10</v>
      </c>
      <c r="D598" t="s">
        <v>10</v>
      </c>
      <c r="G598">
        <v>22000</v>
      </c>
      <c r="H598">
        <v>290000</v>
      </c>
      <c r="I598" t="s">
        <v>3589</v>
      </c>
      <c r="J598" t="s">
        <v>10</v>
      </c>
      <c r="K598">
        <v>942</v>
      </c>
      <c r="L598">
        <v>8.31</v>
      </c>
      <c r="M598">
        <v>3101</v>
      </c>
      <c r="N598" t="s">
        <v>125</v>
      </c>
      <c r="O598">
        <v>2</v>
      </c>
      <c r="P598" t="s">
        <v>3584</v>
      </c>
      <c r="Q598" t="s">
        <v>3585</v>
      </c>
      <c r="R598" t="s">
        <v>2199</v>
      </c>
      <c r="S598">
        <v>15</v>
      </c>
      <c r="T598">
        <v>17</v>
      </c>
      <c r="U598">
        <v>310</v>
      </c>
      <c r="V598" t="s">
        <v>3586</v>
      </c>
      <c r="W598" t="s">
        <v>3608</v>
      </c>
      <c r="X598" t="s">
        <v>79</v>
      </c>
    </row>
    <row r="599" spans="1:24">
      <c r="A599">
        <v>31031</v>
      </c>
      <c r="B599" t="s">
        <v>3564</v>
      </c>
      <c r="C599" t="s">
        <v>10</v>
      </c>
      <c r="D599" t="s">
        <v>10</v>
      </c>
      <c r="G599">
        <v>33000</v>
      </c>
      <c r="H599">
        <v>200000</v>
      </c>
      <c r="I599" t="s">
        <v>3609</v>
      </c>
      <c r="J599" t="s">
        <v>10</v>
      </c>
      <c r="K599">
        <v>589.83000000000004</v>
      </c>
      <c r="L599">
        <v>12.81</v>
      </c>
      <c r="M599">
        <v>3102</v>
      </c>
      <c r="N599" t="s">
        <v>125</v>
      </c>
      <c r="O599">
        <v>2</v>
      </c>
      <c r="P599" t="s">
        <v>3584</v>
      </c>
      <c r="Q599" t="s">
        <v>3585</v>
      </c>
      <c r="R599" t="s">
        <v>2199</v>
      </c>
      <c r="S599">
        <v>31</v>
      </c>
      <c r="T599">
        <v>36</v>
      </c>
      <c r="U599">
        <v>310</v>
      </c>
      <c r="V599" t="s">
        <v>3586</v>
      </c>
      <c r="W599" t="s">
        <v>3610</v>
      </c>
      <c r="X599" t="s">
        <v>79</v>
      </c>
    </row>
    <row r="600" spans="1:24">
      <c r="A600">
        <v>31033</v>
      </c>
      <c r="B600" t="s">
        <v>3611</v>
      </c>
      <c r="C600" t="s">
        <v>10</v>
      </c>
      <c r="D600" t="s">
        <v>10</v>
      </c>
      <c r="G600">
        <v>22000</v>
      </c>
      <c r="H600">
        <v>290000</v>
      </c>
      <c r="I600" t="s">
        <v>3589</v>
      </c>
      <c r="J600" t="s">
        <v>10</v>
      </c>
      <c r="K600">
        <v>942</v>
      </c>
      <c r="L600">
        <v>8.31</v>
      </c>
      <c r="M600">
        <v>3101</v>
      </c>
      <c r="N600" t="s">
        <v>125</v>
      </c>
      <c r="O600">
        <v>2</v>
      </c>
      <c r="P600" t="s">
        <v>3584</v>
      </c>
      <c r="Q600" t="s">
        <v>3585</v>
      </c>
      <c r="R600" t="s">
        <v>2199</v>
      </c>
      <c r="S600">
        <v>27</v>
      </c>
      <c r="T600">
        <v>46</v>
      </c>
      <c r="U600">
        <v>310</v>
      </c>
      <c r="V600" t="s">
        <v>3586</v>
      </c>
      <c r="W600" t="s">
        <v>3612</v>
      </c>
      <c r="X600" t="s">
        <v>79</v>
      </c>
    </row>
    <row r="601" spans="1:24">
      <c r="A601">
        <v>31037</v>
      </c>
      <c r="B601" t="s">
        <v>3613</v>
      </c>
      <c r="C601" t="s">
        <v>10</v>
      </c>
      <c r="D601" t="s">
        <v>10</v>
      </c>
      <c r="G601">
        <v>22000</v>
      </c>
      <c r="H601">
        <v>290000</v>
      </c>
      <c r="I601" t="s">
        <v>3589</v>
      </c>
      <c r="J601" t="s">
        <v>10</v>
      </c>
      <c r="K601">
        <v>942</v>
      </c>
      <c r="L601">
        <v>8.31</v>
      </c>
      <c r="M601">
        <v>3101</v>
      </c>
      <c r="N601" t="s">
        <v>125</v>
      </c>
      <c r="O601">
        <v>2</v>
      </c>
      <c r="P601" t="s">
        <v>3584</v>
      </c>
      <c r="Q601" t="s">
        <v>3585</v>
      </c>
      <c r="R601" t="s">
        <v>2199</v>
      </c>
      <c r="S601">
        <v>11</v>
      </c>
      <c r="T601">
        <v>21</v>
      </c>
      <c r="U601">
        <v>310</v>
      </c>
      <c r="V601" t="s">
        <v>3586</v>
      </c>
      <c r="W601" t="s">
        <v>3614</v>
      </c>
      <c r="X601" t="s">
        <v>79</v>
      </c>
    </row>
    <row r="602" spans="1:24">
      <c r="A602">
        <v>31039</v>
      </c>
      <c r="B602" t="s">
        <v>3615</v>
      </c>
      <c r="C602" t="s">
        <v>10</v>
      </c>
      <c r="D602" t="s">
        <v>10</v>
      </c>
      <c r="G602">
        <v>12000</v>
      </c>
      <c r="H602">
        <v>62000</v>
      </c>
      <c r="I602" t="s">
        <v>3616</v>
      </c>
      <c r="J602" t="s">
        <v>10</v>
      </c>
      <c r="K602">
        <v>695.4</v>
      </c>
      <c r="L602">
        <v>19.09</v>
      </c>
      <c r="M602">
        <v>3103</v>
      </c>
      <c r="N602" t="s">
        <v>125</v>
      </c>
      <c r="O602">
        <v>3</v>
      </c>
      <c r="P602" t="s">
        <v>3584</v>
      </c>
      <c r="Q602" t="s">
        <v>3585</v>
      </c>
      <c r="R602" t="s">
        <v>2199</v>
      </c>
      <c r="S602">
        <v>1</v>
      </c>
      <c r="T602">
        <v>3</v>
      </c>
      <c r="U602">
        <v>310</v>
      </c>
      <c r="V602" t="s">
        <v>3586</v>
      </c>
      <c r="W602" t="s">
        <v>3617</v>
      </c>
      <c r="X602" t="s">
        <v>79</v>
      </c>
    </row>
    <row r="603" spans="1:24">
      <c r="A603">
        <v>31040</v>
      </c>
      <c r="B603" t="s">
        <v>3618</v>
      </c>
      <c r="C603" t="s">
        <v>10</v>
      </c>
      <c r="D603" t="s">
        <v>10</v>
      </c>
      <c r="G603">
        <v>270</v>
      </c>
      <c r="H603">
        <v>270</v>
      </c>
      <c r="I603" t="s">
        <v>3619</v>
      </c>
      <c r="J603" t="s">
        <v>10</v>
      </c>
      <c r="K603">
        <v>974.14</v>
      </c>
      <c r="L603">
        <v>22.94</v>
      </c>
      <c r="M603">
        <v>3104</v>
      </c>
      <c r="N603" t="s">
        <v>125</v>
      </c>
      <c r="O603">
        <v>3</v>
      </c>
      <c r="P603" t="s">
        <v>3584</v>
      </c>
      <c r="Q603" t="s">
        <v>3585</v>
      </c>
      <c r="R603" t="s">
        <v>2199</v>
      </c>
      <c r="S603">
        <v>0</v>
      </c>
      <c r="T603">
        <v>0</v>
      </c>
      <c r="U603">
        <v>310</v>
      </c>
      <c r="V603" t="s">
        <v>3586</v>
      </c>
      <c r="W603" t="s">
        <v>3620</v>
      </c>
      <c r="X603" t="s">
        <v>79</v>
      </c>
    </row>
    <row r="604" spans="1:24">
      <c r="A604">
        <v>31105</v>
      </c>
      <c r="B604" t="s">
        <v>3621</v>
      </c>
      <c r="C604" t="s">
        <v>10</v>
      </c>
      <c r="D604" t="s">
        <v>10</v>
      </c>
      <c r="G604">
        <v>31000</v>
      </c>
      <c r="H604">
        <v>230000</v>
      </c>
      <c r="I604" t="s">
        <v>3622</v>
      </c>
      <c r="J604" t="s">
        <v>10</v>
      </c>
      <c r="K604">
        <v>498.93</v>
      </c>
      <c r="L604">
        <v>8.1300000000000008</v>
      </c>
      <c r="M604">
        <v>3111</v>
      </c>
      <c r="N604" t="s">
        <v>125</v>
      </c>
      <c r="O604">
        <v>1</v>
      </c>
      <c r="P604" t="s">
        <v>2467</v>
      </c>
      <c r="Q604" t="s">
        <v>2101</v>
      </c>
      <c r="R604" t="s">
        <v>2199</v>
      </c>
      <c r="S604">
        <v>14</v>
      </c>
      <c r="T604">
        <v>15</v>
      </c>
      <c r="U604">
        <v>311</v>
      </c>
      <c r="V604" t="s">
        <v>3623</v>
      </c>
      <c r="W604" t="s">
        <v>3624</v>
      </c>
      <c r="X604" t="s">
        <v>79</v>
      </c>
    </row>
    <row r="605" spans="1:24">
      <c r="A605">
        <v>31110</v>
      </c>
      <c r="B605" t="s">
        <v>3625</v>
      </c>
      <c r="C605" t="s">
        <v>10</v>
      </c>
      <c r="D605" t="s">
        <v>10</v>
      </c>
      <c r="G605">
        <v>31000</v>
      </c>
      <c r="H605">
        <v>230000</v>
      </c>
      <c r="I605" t="s">
        <v>3622</v>
      </c>
      <c r="J605" t="s">
        <v>10</v>
      </c>
      <c r="K605">
        <v>498.93</v>
      </c>
      <c r="L605">
        <v>8.1300000000000008</v>
      </c>
      <c r="M605">
        <v>3111</v>
      </c>
      <c r="N605" t="s">
        <v>125</v>
      </c>
      <c r="O605">
        <v>2</v>
      </c>
      <c r="P605" t="s">
        <v>3584</v>
      </c>
      <c r="Q605" t="s">
        <v>3585</v>
      </c>
      <c r="R605" t="s">
        <v>2199</v>
      </c>
      <c r="S605">
        <v>24</v>
      </c>
      <c r="T605">
        <v>28</v>
      </c>
      <c r="U605">
        <v>311</v>
      </c>
      <c r="V605" t="s">
        <v>3623</v>
      </c>
      <c r="W605" t="s">
        <v>3626</v>
      </c>
      <c r="X605" t="s">
        <v>79</v>
      </c>
    </row>
    <row r="606" spans="1:24">
      <c r="A606">
        <v>31120</v>
      </c>
      <c r="B606" t="s">
        <v>3627</v>
      </c>
      <c r="C606" t="s">
        <v>10</v>
      </c>
      <c r="D606" t="s">
        <v>10</v>
      </c>
      <c r="G606">
        <v>31000</v>
      </c>
      <c r="H606">
        <v>230000</v>
      </c>
      <c r="I606" t="s">
        <v>3622</v>
      </c>
      <c r="J606" t="s">
        <v>10</v>
      </c>
      <c r="K606">
        <v>498.93</v>
      </c>
      <c r="L606">
        <v>8.1300000000000008</v>
      </c>
      <c r="M606">
        <v>3111</v>
      </c>
      <c r="N606" t="s">
        <v>125</v>
      </c>
      <c r="O606">
        <v>2</v>
      </c>
      <c r="P606" t="s">
        <v>3584</v>
      </c>
      <c r="Q606" t="s">
        <v>3585</v>
      </c>
      <c r="R606" t="s">
        <v>2199</v>
      </c>
      <c r="S606">
        <v>10</v>
      </c>
      <c r="T606">
        <v>10</v>
      </c>
      <c r="U606">
        <v>311</v>
      </c>
      <c r="V606" t="s">
        <v>3623</v>
      </c>
      <c r="W606" t="s">
        <v>3628</v>
      </c>
      <c r="X606" t="s">
        <v>79</v>
      </c>
    </row>
    <row r="607" spans="1:24">
      <c r="A607">
        <v>31125</v>
      </c>
      <c r="B607" t="s">
        <v>3629</v>
      </c>
      <c r="C607" t="s">
        <v>10</v>
      </c>
      <c r="D607" t="s">
        <v>10</v>
      </c>
      <c r="G607">
        <v>31000</v>
      </c>
      <c r="H607">
        <v>230000</v>
      </c>
      <c r="I607" t="s">
        <v>3622</v>
      </c>
      <c r="J607" t="s">
        <v>10</v>
      </c>
      <c r="K607">
        <v>498.93</v>
      </c>
      <c r="L607">
        <v>8.1300000000000008</v>
      </c>
      <c r="M607">
        <v>3111</v>
      </c>
      <c r="N607" t="s">
        <v>125</v>
      </c>
      <c r="O607">
        <v>2</v>
      </c>
      <c r="P607" t="s">
        <v>3584</v>
      </c>
      <c r="Q607" t="s">
        <v>3585</v>
      </c>
      <c r="R607" t="s">
        <v>2199</v>
      </c>
      <c r="S607">
        <v>46</v>
      </c>
      <c r="T607">
        <v>68</v>
      </c>
      <c r="U607">
        <v>311</v>
      </c>
      <c r="V607" t="s">
        <v>3623</v>
      </c>
      <c r="W607" t="s">
        <v>3630</v>
      </c>
      <c r="X607" t="s">
        <v>79</v>
      </c>
    </row>
    <row r="608" spans="1:24">
      <c r="A608">
        <v>31210</v>
      </c>
      <c r="B608" t="s">
        <v>3631</v>
      </c>
      <c r="C608" t="s">
        <v>10</v>
      </c>
      <c r="D608" t="s">
        <v>10</v>
      </c>
      <c r="G608">
        <v>19000</v>
      </c>
      <c r="H608">
        <v>220000</v>
      </c>
      <c r="I608" t="s">
        <v>3632</v>
      </c>
      <c r="J608" t="s">
        <v>10</v>
      </c>
      <c r="K608">
        <v>495.06</v>
      </c>
      <c r="L608">
        <v>7.47</v>
      </c>
      <c r="M608">
        <v>3121</v>
      </c>
      <c r="N608" t="s">
        <v>125</v>
      </c>
      <c r="O608">
        <v>2</v>
      </c>
      <c r="P608" t="s">
        <v>3584</v>
      </c>
      <c r="Q608" t="s">
        <v>3585</v>
      </c>
      <c r="R608" t="s">
        <v>2199</v>
      </c>
      <c r="S608">
        <v>124</v>
      </c>
      <c r="T608">
        <v>126</v>
      </c>
      <c r="U608">
        <v>312</v>
      </c>
      <c r="V608" t="s">
        <v>3633</v>
      </c>
      <c r="W608" t="s">
        <v>3634</v>
      </c>
      <c r="X608" t="s">
        <v>79</v>
      </c>
    </row>
    <row r="609" spans="1:24">
      <c r="A609">
        <v>31220</v>
      </c>
      <c r="B609" t="s">
        <v>3635</v>
      </c>
      <c r="C609" t="s">
        <v>10</v>
      </c>
      <c r="D609" t="s">
        <v>10</v>
      </c>
      <c r="G609">
        <v>19000</v>
      </c>
      <c r="H609">
        <v>220000</v>
      </c>
      <c r="I609" t="s">
        <v>3632</v>
      </c>
      <c r="J609" t="s">
        <v>10</v>
      </c>
      <c r="K609">
        <v>495.06</v>
      </c>
      <c r="L609">
        <v>7.47</v>
      </c>
      <c r="M609">
        <v>3121</v>
      </c>
      <c r="N609" t="s">
        <v>125</v>
      </c>
      <c r="O609">
        <v>2</v>
      </c>
      <c r="P609" t="s">
        <v>3584</v>
      </c>
      <c r="Q609" t="s">
        <v>3585</v>
      </c>
      <c r="R609" t="s">
        <v>2199</v>
      </c>
      <c r="S609">
        <v>43</v>
      </c>
      <c r="T609">
        <v>47</v>
      </c>
      <c r="U609">
        <v>312</v>
      </c>
      <c r="V609" t="s">
        <v>3633</v>
      </c>
      <c r="W609" t="s">
        <v>3636</v>
      </c>
      <c r="X609" t="s">
        <v>79</v>
      </c>
    </row>
    <row r="610" spans="1:24">
      <c r="A610">
        <v>31225</v>
      </c>
      <c r="B610" t="s">
        <v>3637</v>
      </c>
      <c r="C610" t="s">
        <v>10</v>
      </c>
      <c r="D610" t="s">
        <v>10</v>
      </c>
      <c r="G610">
        <v>19000</v>
      </c>
      <c r="H610">
        <v>220000</v>
      </c>
      <c r="I610" t="s">
        <v>3632</v>
      </c>
      <c r="J610" t="s">
        <v>10</v>
      </c>
      <c r="K610">
        <v>495.06</v>
      </c>
      <c r="L610">
        <v>7.47</v>
      </c>
      <c r="M610">
        <v>3121</v>
      </c>
      <c r="N610" t="s">
        <v>125</v>
      </c>
      <c r="O610">
        <v>2</v>
      </c>
      <c r="P610" t="s">
        <v>3584</v>
      </c>
      <c r="Q610" t="s">
        <v>3585</v>
      </c>
      <c r="R610" t="s">
        <v>2199</v>
      </c>
      <c r="S610">
        <v>19</v>
      </c>
      <c r="T610">
        <v>27</v>
      </c>
      <c r="U610">
        <v>312</v>
      </c>
      <c r="V610" t="s">
        <v>3633</v>
      </c>
      <c r="W610" t="s">
        <v>3638</v>
      </c>
      <c r="X610" t="s">
        <v>79</v>
      </c>
    </row>
    <row r="611" spans="1:24">
      <c r="A611">
        <v>31230</v>
      </c>
      <c r="B611" t="s">
        <v>3639</v>
      </c>
      <c r="C611" t="s">
        <v>10</v>
      </c>
      <c r="D611" t="s">
        <v>10</v>
      </c>
      <c r="G611">
        <v>19000</v>
      </c>
      <c r="H611">
        <v>220000</v>
      </c>
      <c r="I611" t="s">
        <v>3632</v>
      </c>
      <c r="J611" t="s">
        <v>10</v>
      </c>
      <c r="K611">
        <v>495.06</v>
      </c>
      <c r="L611">
        <v>7.47</v>
      </c>
      <c r="M611">
        <v>3121</v>
      </c>
      <c r="N611" t="s">
        <v>125</v>
      </c>
      <c r="O611">
        <v>2</v>
      </c>
      <c r="P611" t="s">
        <v>3584</v>
      </c>
      <c r="Q611" t="s">
        <v>3585</v>
      </c>
      <c r="R611" t="s">
        <v>2199</v>
      </c>
      <c r="S611">
        <v>5</v>
      </c>
      <c r="T611">
        <v>9</v>
      </c>
      <c r="U611">
        <v>312</v>
      </c>
      <c r="V611" t="s">
        <v>3633</v>
      </c>
      <c r="W611" t="s">
        <v>3640</v>
      </c>
      <c r="X611" t="s">
        <v>79</v>
      </c>
    </row>
    <row r="612" spans="1:24">
      <c r="A612">
        <v>31310</v>
      </c>
      <c r="B612" t="s">
        <v>3641</v>
      </c>
      <c r="C612" t="s">
        <v>10</v>
      </c>
      <c r="D612" t="s">
        <v>10</v>
      </c>
      <c r="G612">
        <v>15000</v>
      </c>
      <c r="H612">
        <v>110000</v>
      </c>
      <c r="I612" t="s">
        <v>3642</v>
      </c>
      <c r="J612" t="s">
        <v>10</v>
      </c>
      <c r="K612">
        <v>226.53</v>
      </c>
      <c r="L612">
        <v>5.56</v>
      </c>
      <c r="M612">
        <v>3131</v>
      </c>
      <c r="N612" t="s">
        <v>125</v>
      </c>
      <c r="O612">
        <v>2</v>
      </c>
      <c r="P612" t="s">
        <v>3584</v>
      </c>
      <c r="Q612" t="s">
        <v>3585</v>
      </c>
      <c r="R612" t="s">
        <v>2199</v>
      </c>
      <c r="S612">
        <v>23</v>
      </c>
      <c r="T612">
        <v>30</v>
      </c>
      <c r="U612">
        <v>313</v>
      </c>
      <c r="V612" t="s">
        <v>3643</v>
      </c>
      <c r="W612" t="s">
        <v>3644</v>
      </c>
      <c r="X612" t="s">
        <v>79</v>
      </c>
    </row>
    <row r="613" spans="1:24">
      <c r="A613">
        <v>31320</v>
      </c>
      <c r="B613" t="s">
        <v>3645</v>
      </c>
      <c r="C613" t="s">
        <v>10</v>
      </c>
      <c r="D613" t="s">
        <v>10</v>
      </c>
      <c r="G613">
        <v>15000</v>
      </c>
      <c r="H613">
        <v>110000</v>
      </c>
      <c r="I613" t="s">
        <v>3642</v>
      </c>
      <c r="J613" t="s">
        <v>10</v>
      </c>
      <c r="K613">
        <v>226.53</v>
      </c>
      <c r="L613">
        <v>5.56</v>
      </c>
      <c r="M613">
        <v>3131</v>
      </c>
      <c r="N613" t="s">
        <v>125</v>
      </c>
      <c r="O613">
        <v>2</v>
      </c>
      <c r="P613" t="s">
        <v>3584</v>
      </c>
      <c r="Q613" t="s">
        <v>3585</v>
      </c>
      <c r="R613" t="s">
        <v>2199</v>
      </c>
      <c r="S613">
        <v>10</v>
      </c>
      <c r="T613">
        <v>13</v>
      </c>
      <c r="U613">
        <v>313</v>
      </c>
      <c r="V613" t="s">
        <v>3643</v>
      </c>
      <c r="W613" t="s">
        <v>3646</v>
      </c>
      <c r="X613" t="s">
        <v>79</v>
      </c>
    </row>
    <row r="614" spans="1:24">
      <c r="A614">
        <v>31325</v>
      </c>
      <c r="B614" t="s">
        <v>3647</v>
      </c>
      <c r="C614" t="s">
        <v>10</v>
      </c>
      <c r="D614" t="s">
        <v>10</v>
      </c>
      <c r="G614">
        <v>15000</v>
      </c>
      <c r="H614">
        <v>110000</v>
      </c>
      <c r="I614" t="s">
        <v>3642</v>
      </c>
      <c r="J614" t="s">
        <v>10</v>
      </c>
      <c r="K614">
        <v>226.53</v>
      </c>
      <c r="L614">
        <v>5.56</v>
      </c>
      <c r="M614">
        <v>3131</v>
      </c>
      <c r="N614" t="s">
        <v>125</v>
      </c>
      <c r="O614">
        <v>2</v>
      </c>
      <c r="P614" t="s">
        <v>3584</v>
      </c>
      <c r="Q614" t="s">
        <v>3585</v>
      </c>
      <c r="R614" t="s">
        <v>2199</v>
      </c>
      <c r="S614">
        <v>26</v>
      </c>
      <c r="T614">
        <v>43</v>
      </c>
      <c r="U614">
        <v>313</v>
      </c>
      <c r="V614" t="s">
        <v>3643</v>
      </c>
      <c r="W614" t="s">
        <v>3648</v>
      </c>
      <c r="X614" t="s">
        <v>79</v>
      </c>
    </row>
    <row r="615" spans="1:24">
      <c r="A615">
        <v>31410</v>
      </c>
      <c r="B615" t="s">
        <v>3649</v>
      </c>
      <c r="C615" t="s">
        <v>10</v>
      </c>
      <c r="D615" t="s">
        <v>10</v>
      </c>
      <c r="G615">
        <v>9000</v>
      </c>
      <c r="H615">
        <v>50000</v>
      </c>
      <c r="I615" t="s">
        <v>3650</v>
      </c>
      <c r="J615" t="s">
        <v>10</v>
      </c>
      <c r="K615">
        <v>226.74</v>
      </c>
      <c r="L615">
        <v>6.11</v>
      </c>
      <c r="M615">
        <v>3141</v>
      </c>
      <c r="N615" t="s">
        <v>125</v>
      </c>
      <c r="O615">
        <v>2</v>
      </c>
      <c r="P615" t="s">
        <v>3584</v>
      </c>
      <c r="Q615" t="s">
        <v>3585</v>
      </c>
      <c r="R615" t="s">
        <v>2199</v>
      </c>
      <c r="S615">
        <v>7</v>
      </c>
      <c r="T615">
        <v>7</v>
      </c>
      <c r="U615">
        <v>314</v>
      </c>
      <c r="V615" t="s">
        <v>3651</v>
      </c>
      <c r="W615" t="s">
        <v>3652</v>
      </c>
      <c r="X615" t="s">
        <v>79</v>
      </c>
    </row>
    <row r="616" spans="1:24">
      <c r="A616">
        <v>31510</v>
      </c>
      <c r="B616" t="s">
        <v>3653</v>
      </c>
      <c r="C616" t="s">
        <v>10</v>
      </c>
      <c r="D616" t="s">
        <v>10</v>
      </c>
      <c r="G616">
        <v>9000</v>
      </c>
      <c r="H616">
        <v>140000</v>
      </c>
      <c r="I616" t="s">
        <v>3654</v>
      </c>
      <c r="J616" t="s">
        <v>10</v>
      </c>
      <c r="K616">
        <v>589.83000000000004</v>
      </c>
      <c r="L616">
        <v>7.64</v>
      </c>
      <c r="M616">
        <v>3151</v>
      </c>
      <c r="N616" t="s">
        <v>125</v>
      </c>
      <c r="O616">
        <v>2</v>
      </c>
      <c r="P616" t="s">
        <v>3584</v>
      </c>
      <c r="Q616" t="s">
        <v>3585</v>
      </c>
      <c r="R616" t="s">
        <v>2199</v>
      </c>
      <c r="S616">
        <v>28</v>
      </c>
      <c r="T616">
        <v>29</v>
      </c>
      <c r="U616">
        <v>315</v>
      </c>
      <c r="V616" t="s">
        <v>3655</v>
      </c>
      <c r="W616" t="s">
        <v>3656</v>
      </c>
      <c r="X616" t="s">
        <v>79</v>
      </c>
    </row>
    <row r="617" spans="1:24">
      <c r="A617">
        <v>31515</v>
      </c>
      <c r="B617" t="s">
        <v>3657</v>
      </c>
      <c r="C617" t="s">
        <v>10</v>
      </c>
      <c r="D617" t="s">
        <v>10</v>
      </c>
      <c r="G617">
        <v>9000</v>
      </c>
      <c r="H617">
        <v>140000</v>
      </c>
      <c r="I617" t="s">
        <v>3654</v>
      </c>
      <c r="J617" t="s">
        <v>10</v>
      </c>
      <c r="K617">
        <v>589.83000000000004</v>
      </c>
      <c r="L617">
        <v>7.64</v>
      </c>
      <c r="M617">
        <v>3151</v>
      </c>
      <c r="N617" t="s">
        <v>125</v>
      </c>
      <c r="O617">
        <v>2</v>
      </c>
      <c r="P617" t="s">
        <v>3584</v>
      </c>
      <c r="Q617" t="s">
        <v>3585</v>
      </c>
      <c r="R617" t="s">
        <v>2199</v>
      </c>
      <c r="S617">
        <v>40</v>
      </c>
      <c r="T617">
        <v>42</v>
      </c>
      <c r="U617">
        <v>315</v>
      </c>
      <c r="V617" t="s">
        <v>3655</v>
      </c>
      <c r="W617" t="s">
        <v>3658</v>
      </c>
      <c r="X617" t="s">
        <v>79</v>
      </c>
    </row>
    <row r="618" spans="1:24">
      <c r="A618">
        <v>31520</v>
      </c>
      <c r="B618" t="s">
        <v>3659</v>
      </c>
      <c r="C618" t="s">
        <v>10</v>
      </c>
      <c r="D618" t="s">
        <v>10</v>
      </c>
      <c r="G618">
        <v>9000</v>
      </c>
      <c r="H618">
        <v>140000</v>
      </c>
      <c r="I618" t="s">
        <v>3654</v>
      </c>
      <c r="J618" t="s">
        <v>10</v>
      </c>
      <c r="K618">
        <v>589.83000000000004</v>
      </c>
      <c r="L618">
        <v>7.64</v>
      </c>
      <c r="M618">
        <v>3151</v>
      </c>
      <c r="N618" t="s">
        <v>125</v>
      </c>
      <c r="O618">
        <v>2</v>
      </c>
      <c r="P618" t="s">
        <v>3584</v>
      </c>
      <c r="Q618" t="s">
        <v>3585</v>
      </c>
      <c r="R618" t="s">
        <v>2199</v>
      </c>
      <c r="S618">
        <v>82</v>
      </c>
      <c r="T618">
        <v>93</v>
      </c>
      <c r="U618">
        <v>315</v>
      </c>
      <c r="V618" t="s">
        <v>3655</v>
      </c>
      <c r="W618" t="s">
        <v>3660</v>
      </c>
      <c r="X618" t="s">
        <v>79</v>
      </c>
    </row>
    <row r="619" spans="1:24">
      <c r="A619">
        <v>31525</v>
      </c>
      <c r="B619" t="s">
        <v>3661</v>
      </c>
      <c r="C619" t="s">
        <v>10</v>
      </c>
      <c r="D619" t="s">
        <v>10</v>
      </c>
      <c r="G619">
        <v>9000</v>
      </c>
      <c r="H619">
        <v>140000</v>
      </c>
      <c r="I619" t="s">
        <v>3654</v>
      </c>
      <c r="J619" t="s">
        <v>10</v>
      </c>
      <c r="K619">
        <v>589.83000000000004</v>
      </c>
      <c r="L619">
        <v>7.64</v>
      </c>
      <c r="M619">
        <v>3151</v>
      </c>
      <c r="N619" t="s">
        <v>125</v>
      </c>
      <c r="O619">
        <v>2</v>
      </c>
      <c r="P619" t="s">
        <v>3584</v>
      </c>
      <c r="Q619" t="s">
        <v>3585</v>
      </c>
      <c r="R619" t="s">
        <v>2199</v>
      </c>
      <c r="S619">
        <v>11</v>
      </c>
      <c r="T619">
        <v>14</v>
      </c>
      <c r="U619">
        <v>315</v>
      </c>
      <c r="V619" t="s">
        <v>3655</v>
      </c>
      <c r="W619" t="s">
        <v>3662</v>
      </c>
      <c r="X619" t="s">
        <v>79</v>
      </c>
    </row>
    <row r="620" spans="1:24">
      <c r="A620">
        <v>31530</v>
      </c>
      <c r="B620" t="s">
        <v>3663</v>
      </c>
      <c r="C620" t="s">
        <v>10</v>
      </c>
      <c r="D620" t="s">
        <v>10</v>
      </c>
      <c r="G620">
        <v>9000</v>
      </c>
      <c r="H620">
        <v>140000</v>
      </c>
      <c r="I620" t="s">
        <v>3654</v>
      </c>
      <c r="J620" t="s">
        <v>10</v>
      </c>
      <c r="K620">
        <v>589.83000000000004</v>
      </c>
      <c r="L620">
        <v>7.64</v>
      </c>
      <c r="M620">
        <v>3151</v>
      </c>
      <c r="N620" t="s">
        <v>125</v>
      </c>
      <c r="O620">
        <v>2</v>
      </c>
      <c r="P620" t="s">
        <v>3584</v>
      </c>
      <c r="Q620" t="s">
        <v>3585</v>
      </c>
      <c r="R620" t="s">
        <v>2199</v>
      </c>
      <c r="S620">
        <v>41</v>
      </c>
      <c r="T620">
        <v>51</v>
      </c>
      <c r="U620">
        <v>315</v>
      </c>
      <c r="V620" t="s">
        <v>3655</v>
      </c>
      <c r="W620" t="s">
        <v>3664</v>
      </c>
      <c r="X620" t="s">
        <v>79</v>
      </c>
    </row>
    <row r="621" spans="1:24">
      <c r="A621">
        <v>31610</v>
      </c>
      <c r="B621" t="s">
        <v>3665</v>
      </c>
      <c r="C621" t="s">
        <v>10</v>
      </c>
      <c r="D621" t="s">
        <v>10</v>
      </c>
      <c r="G621">
        <v>4500</v>
      </c>
      <c r="H621">
        <v>53000</v>
      </c>
      <c r="I621" t="s">
        <v>3666</v>
      </c>
      <c r="J621" t="s">
        <v>10</v>
      </c>
      <c r="K621">
        <v>565.07000000000005</v>
      </c>
      <c r="L621">
        <v>11.1</v>
      </c>
      <c r="M621">
        <v>3161</v>
      </c>
      <c r="N621" t="s">
        <v>125</v>
      </c>
      <c r="O621">
        <v>2</v>
      </c>
      <c r="P621" t="s">
        <v>3584</v>
      </c>
      <c r="Q621" t="s">
        <v>3585</v>
      </c>
      <c r="R621" t="s">
        <v>2199</v>
      </c>
      <c r="S621">
        <v>415</v>
      </c>
      <c r="T621">
        <v>423</v>
      </c>
      <c r="U621">
        <v>316</v>
      </c>
      <c r="V621" t="s">
        <v>3667</v>
      </c>
      <c r="W621" t="s">
        <v>3668</v>
      </c>
      <c r="X621" t="s">
        <v>79</v>
      </c>
    </row>
    <row r="622" spans="1:24">
      <c r="A622">
        <v>31710</v>
      </c>
      <c r="B622" t="s">
        <v>3669</v>
      </c>
      <c r="C622" t="s">
        <v>10</v>
      </c>
      <c r="D622" t="s">
        <v>10</v>
      </c>
      <c r="G622">
        <v>9900</v>
      </c>
      <c r="H622">
        <v>300000</v>
      </c>
      <c r="I622" t="s">
        <v>3670</v>
      </c>
      <c r="J622" t="s">
        <v>10</v>
      </c>
      <c r="K622">
        <v>199.88</v>
      </c>
      <c r="L622">
        <v>7.38</v>
      </c>
      <c r="M622">
        <v>3171</v>
      </c>
      <c r="N622" t="s">
        <v>125</v>
      </c>
      <c r="O622">
        <v>2</v>
      </c>
      <c r="P622" t="s">
        <v>3584</v>
      </c>
      <c r="Q622" t="s">
        <v>3585</v>
      </c>
      <c r="R622" t="s">
        <v>2199</v>
      </c>
      <c r="S622">
        <v>100</v>
      </c>
      <c r="T622">
        <v>126</v>
      </c>
      <c r="U622">
        <v>317</v>
      </c>
      <c r="V622" t="s">
        <v>3671</v>
      </c>
      <c r="W622" t="s">
        <v>3672</v>
      </c>
      <c r="X622" t="s">
        <v>79</v>
      </c>
    </row>
    <row r="623" spans="1:24">
      <c r="A623">
        <v>31715</v>
      </c>
      <c r="B623" t="s">
        <v>3673</v>
      </c>
      <c r="C623" t="s">
        <v>10</v>
      </c>
      <c r="D623" t="s">
        <v>10</v>
      </c>
      <c r="G623">
        <v>9900</v>
      </c>
      <c r="H623">
        <v>300000</v>
      </c>
      <c r="I623" t="s">
        <v>3670</v>
      </c>
      <c r="J623" t="s">
        <v>10</v>
      </c>
      <c r="K623">
        <v>199.88</v>
      </c>
      <c r="L623">
        <v>7.38</v>
      </c>
      <c r="M623">
        <v>3171</v>
      </c>
      <c r="N623" t="s">
        <v>125</v>
      </c>
      <c r="O623">
        <v>2</v>
      </c>
      <c r="P623" t="s">
        <v>3584</v>
      </c>
      <c r="Q623" t="s">
        <v>3585</v>
      </c>
      <c r="R623" t="s">
        <v>2199</v>
      </c>
      <c r="S623">
        <v>34</v>
      </c>
      <c r="T623">
        <v>50</v>
      </c>
      <c r="U623">
        <v>317</v>
      </c>
      <c r="V623" t="s">
        <v>3671</v>
      </c>
      <c r="W623" t="s">
        <v>3674</v>
      </c>
      <c r="X623" t="s">
        <v>79</v>
      </c>
    </row>
    <row r="624" spans="1:24">
      <c r="A624">
        <v>31720</v>
      </c>
      <c r="B624" t="s">
        <v>3675</v>
      </c>
      <c r="C624" t="s">
        <v>10</v>
      </c>
      <c r="D624" t="s">
        <v>10</v>
      </c>
      <c r="G624">
        <v>9900</v>
      </c>
      <c r="H624">
        <v>300000</v>
      </c>
      <c r="I624" t="s">
        <v>3670</v>
      </c>
      <c r="J624" t="s">
        <v>10</v>
      </c>
      <c r="K624">
        <v>199.88</v>
      </c>
      <c r="L624">
        <v>7.38</v>
      </c>
      <c r="M624">
        <v>3171</v>
      </c>
      <c r="N624" t="s">
        <v>125</v>
      </c>
      <c r="O624">
        <v>2</v>
      </c>
      <c r="P624" t="s">
        <v>3584</v>
      </c>
      <c r="Q624" t="s">
        <v>3585</v>
      </c>
      <c r="R624" t="s">
        <v>2199</v>
      </c>
      <c r="S624">
        <v>65</v>
      </c>
      <c r="T624">
        <v>78</v>
      </c>
      <c r="U624">
        <v>317</v>
      </c>
      <c r="V624" t="s">
        <v>3671</v>
      </c>
      <c r="W624" t="s">
        <v>3676</v>
      </c>
      <c r="X624" t="s">
        <v>79</v>
      </c>
    </row>
    <row r="625" spans="1:24">
      <c r="A625">
        <v>31725</v>
      </c>
      <c r="B625" t="s">
        <v>3677</v>
      </c>
      <c r="C625" t="s">
        <v>10</v>
      </c>
      <c r="D625" t="s">
        <v>10</v>
      </c>
      <c r="G625">
        <v>9900</v>
      </c>
      <c r="H625">
        <v>300000</v>
      </c>
      <c r="I625" t="s">
        <v>3670</v>
      </c>
      <c r="J625" t="s">
        <v>10</v>
      </c>
      <c r="K625">
        <v>199.88</v>
      </c>
      <c r="L625">
        <v>7.38</v>
      </c>
      <c r="M625">
        <v>3171</v>
      </c>
      <c r="N625" t="s">
        <v>125</v>
      </c>
      <c r="O625">
        <v>2</v>
      </c>
      <c r="P625" t="s">
        <v>3584</v>
      </c>
      <c r="Q625" t="s">
        <v>3585</v>
      </c>
      <c r="R625" t="s">
        <v>2199</v>
      </c>
      <c r="S625">
        <v>140</v>
      </c>
      <c r="T625">
        <v>167</v>
      </c>
      <c r="U625">
        <v>317</v>
      </c>
      <c r="V625" t="s">
        <v>3671</v>
      </c>
      <c r="W625" t="s">
        <v>3678</v>
      </c>
      <c r="X625" t="s">
        <v>79</v>
      </c>
    </row>
    <row r="626" spans="1:24">
      <c r="A626">
        <v>31810</v>
      </c>
      <c r="B626" t="s">
        <v>3679</v>
      </c>
      <c r="C626" t="s">
        <v>10</v>
      </c>
      <c r="D626" t="s">
        <v>10</v>
      </c>
      <c r="G626">
        <v>5600</v>
      </c>
      <c r="H626">
        <v>190000</v>
      </c>
      <c r="I626" t="s">
        <v>3680</v>
      </c>
      <c r="J626" t="s">
        <v>10</v>
      </c>
      <c r="K626">
        <v>568.21</v>
      </c>
      <c r="L626">
        <v>10.56</v>
      </c>
      <c r="M626">
        <v>3181</v>
      </c>
      <c r="N626" t="s">
        <v>125</v>
      </c>
      <c r="O626">
        <v>2</v>
      </c>
      <c r="P626" t="s">
        <v>3584</v>
      </c>
      <c r="Q626" t="s">
        <v>3585</v>
      </c>
      <c r="R626" t="s">
        <v>2199</v>
      </c>
      <c r="S626">
        <v>101</v>
      </c>
      <c r="T626">
        <v>107</v>
      </c>
      <c r="U626">
        <v>318</v>
      </c>
      <c r="V626" t="s">
        <v>3681</v>
      </c>
      <c r="W626" t="s">
        <v>3682</v>
      </c>
      <c r="X626" t="s">
        <v>79</v>
      </c>
    </row>
    <row r="627" spans="1:24">
      <c r="A627">
        <v>31815</v>
      </c>
      <c r="B627" t="s">
        <v>3683</v>
      </c>
      <c r="C627" t="s">
        <v>10</v>
      </c>
      <c r="D627" t="s">
        <v>10</v>
      </c>
      <c r="G627">
        <v>5600</v>
      </c>
      <c r="H627">
        <v>190000</v>
      </c>
      <c r="I627" t="s">
        <v>3680</v>
      </c>
      <c r="J627" t="s">
        <v>10</v>
      </c>
      <c r="K627">
        <v>568.21</v>
      </c>
      <c r="L627">
        <v>10.56</v>
      </c>
      <c r="M627">
        <v>3181</v>
      </c>
      <c r="N627" t="s">
        <v>125</v>
      </c>
      <c r="O627">
        <v>2</v>
      </c>
      <c r="P627" t="s">
        <v>3584</v>
      </c>
      <c r="Q627" t="s">
        <v>3585</v>
      </c>
      <c r="R627" t="s">
        <v>2199</v>
      </c>
      <c r="S627">
        <v>1</v>
      </c>
      <c r="T627">
        <v>1</v>
      </c>
      <c r="U627">
        <v>318</v>
      </c>
      <c r="V627" t="s">
        <v>3681</v>
      </c>
      <c r="W627" t="s">
        <v>3684</v>
      </c>
      <c r="X627" t="s">
        <v>79</v>
      </c>
    </row>
    <row r="628" spans="1:24">
      <c r="A628">
        <v>31910</v>
      </c>
      <c r="B628" t="s">
        <v>3685</v>
      </c>
      <c r="C628" t="s">
        <v>10</v>
      </c>
      <c r="D628" t="s">
        <v>10</v>
      </c>
      <c r="G628">
        <v>10000</v>
      </c>
      <c r="H628">
        <v>170000</v>
      </c>
      <c r="I628" t="s">
        <v>3686</v>
      </c>
      <c r="J628" t="s">
        <v>10</v>
      </c>
      <c r="K628">
        <v>942</v>
      </c>
      <c r="L628">
        <v>4.7699999999999996</v>
      </c>
      <c r="M628">
        <v>3191</v>
      </c>
      <c r="N628" t="s">
        <v>125</v>
      </c>
      <c r="O628">
        <v>2</v>
      </c>
      <c r="P628" t="s">
        <v>3584</v>
      </c>
      <c r="Q628" t="s">
        <v>3585</v>
      </c>
      <c r="R628" t="s">
        <v>2199</v>
      </c>
      <c r="S628">
        <v>13</v>
      </c>
      <c r="T628">
        <v>14</v>
      </c>
      <c r="U628">
        <v>319</v>
      </c>
      <c r="V628" t="s">
        <v>3687</v>
      </c>
      <c r="W628" t="s">
        <v>3688</v>
      </c>
      <c r="X628" t="s">
        <v>79</v>
      </c>
    </row>
    <row r="629" spans="1:24">
      <c r="A629">
        <v>31915</v>
      </c>
      <c r="B629" t="s">
        <v>3689</v>
      </c>
      <c r="C629" t="s">
        <v>10</v>
      </c>
      <c r="D629" t="s">
        <v>10</v>
      </c>
      <c r="G629">
        <v>10000</v>
      </c>
      <c r="H629">
        <v>170000</v>
      </c>
      <c r="I629" t="s">
        <v>3686</v>
      </c>
      <c r="J629" t="s">
        <v>10</v>
      </c>
      <c r="K629">
        <v>942</v>
      </c>
      <c r="L629">
        <v>4.7699999999999996</v>
      </c>
      <c r="M629">
        <v>3191</v>
      </c>
      <c r="N629" t="s">
        <v>125</v>
      </c>
      <c r="O629">
        <v>2</v>
      </c>
      <c r="P629" t="s">
        <v>3584</v>
      </c>
      <c r="Q629" t="s">
        <v>3585</v>
      </c>
      <c r="R629" t="s">
        <v>2199</v>
      </c>
      <c r="S629">
        <v>362</v>
      </c>
      <c r="T629">
        <v>433</v>
      </c>
      <c r="U629">
        <v>319</v>
      </c>
      <c r="V629" t="s">
        <v>3687</v>
      </c>
      <c r="W629" t="s">
        <v>3690</v>
      </c>
      <c r="X629" t="s">
        <v>79</v>
      </c>
    </row>
    <row r="630" spans="1:24">
      <c r="A630">
        <v>31920</v>
      </c>
      <c r="B630" t="s">
        <v>3691</v>
      </c>
      <c r="C630" t="s">
        <v>10</v>
      </c>
      <c r="D630" t="s">
        <v>10</v>
      </c>
      <c r="G630">
        <v>10000</v>
      </c>
      <c r="H630">
        <v>170000</v>
      </c>
      <c r="I630" t="s">
        <v>3686</v>
      </c>
      <c r="J630" t="s">
        <v>10</v>
      </c>
      <c r="K630">
        <v>942</v>
      </c>
      <c r="L630">
        <v>4.7699999999999996</v>
      </c>
      <c r="M630">
        <v>3191</v>
      </c>
      <c r="N630" t="s">
        <v>125</v>
      </c>
      <c r="O630">
        <v>2</v>
      </c>
      <c r="P630" t="s">
        <v>3584</v>
      </c>
      <c r="Q630" t="s">
        <v>3585</v>
      </c>
      <c r="R630" t="s">
        <v>2199</v>
      </c>
      <c r="S630">
        <v>7</v>
      </c>
      <c r="T630">
        <v>8</v>
      </c>
      <c r="U630">
        <v>319</v>
      </c>
      <c r="V630" t="s">
        <v>3687</v>
      </c>
      <c r="W630" t="s">
        <v>3692</v>
      </c>
      <c r="X630" t="s">
        <v>79</v>
      </c>
    </row>
    <row r="631" spans="1:24">
      <c r="A631">
        <v>31925</v>
      </c>
      <c r="B631" t="s">
        <v>3693</v>
      </c>
      <c r="C631" t="s">
        <v>10</v>
      </c>
      <c r="D631" t="s">
        <v>10</v>
      </c>
      <c r="G631">
        <v>10000</v>
      </c>
      <c r="H631">
        <v>170000</v>
      </c>
      <c r="I631" t="s">
        <v>3686</v>
      </c>
      <c r="J631" t="s">
        <v>10</v>
      </c>
      <c r="K631">
        <v>942</v>
      </c>
      <c r="L631">
        <v>4.7699999999999996</v>
      </c>
      <c r="M631">
        <v>3191</v>
      </c>
      <c r="N631" t="s">
        <v>125</v>
      </c>
      <c r="O631">
        <v>2</v>
      </c>
      <c r="P631" t="s">
        <v>3584</v>
      </c>
      <c r="Q631" t="s">
        <v>3585</v>
      </c>
      <c r="R631" t="s">
        <v>2199</v>
      </c>
      <c r="S631">
        <v>6</v>
      </c>
      <c r="T631">
        <v>9</v>
      </c>
      <c r="U631">
        <v>319</v>
      </c>
      <c r="V631" t="s">
        <v>3687</v>
      </c>
      <c r="W631" t="s">
        <v>3694</v>
      </c>
      <c r="X631" t="s">
        <v>79</v>
      </c>
    </row>
    <row r="632" spans="1:24">
      <c r="A632">
        <v>31930</v>
      </c>
      <c r="B632" t="s">
        <v>3695</v>
      </c>
      <c r="C632" t="s">
        <v>10</v>
      </c>
      <c r="D632" t="s">
        <v>10</v>
      </c>
      <c r="G632">
        <v>10000</v>
      </c>
      <c r="H632">
        <v>170000</v>
      </c>
      <c r="I632" t="s">
        <v>3686</v>
      </c>
      <c r="J632" t="s">
        <v>10</v>
      </c>
      <c r="K632">
        <v>942</v>
      </c>
      <c r="L632">
        <v>4.7699999999999996</v>
      </c>
      <c r="M632">
        <v>3191</v>
      </c>
      <c r="N632" t="s">
        <v>125</v>
      </c>
      <c r="O632">
        <v>2</v>
      </c>
      <c r="P632" t="s">
        <v>3584</v>
      </c>
      <c r="Q632" t="s">
        <v>3585</v>
      </c>
      <c r="R632" t="s">
        <v>2199</v>
      </c>
      <c r="S632">
        <v>2</v>
      </c>
      <c r="T632">
        <v>4</v>
      </c>
      <c r="U632">
        <v>319</v>
      </c>
      <c r="V632" t="s">
        <v>3687</v>
      </c>
      <c r="W632" t="s">
        <v>3696</v>
      </c>
      <c r="X632" t="s">
        <v>79</v>
      </c>
    </row>
    <row r="633" spans="1:24">
      <c r="A633">
        <v>31935</v>
      </c>
      <c r="B633" t="s">
        <v>3697</v>
      </c>
      <c r="C633" t="s">
        <v>10</v>
      </c>
      <c r="D633" t="s">
        <v>10</v>
      </c>
      <c r="G633">
        <v>10000</v>
      </c>
      <c r="H633">
        <v>170000</v>
      </c>
      <c r="I633" t="s">
        <v>3686</v>
      </c>
      <c r="J633" t="s">
        <v>10</v>
      </c>
      <c r="K633">
        <v>942</v>
      </c>
      <c r="L633">
        <v>4.7699999999999996</v>
      </c>
      <c r="M633">
        <v>3191</v>
      </c>
      <c r="N633" t="s">
        <v>125</v>
      </c>
      <c r="O633">
        <v>2</v>
      </c>
      <c r="P633" t="s">
        <v>3584</v>
      </c>
      <c r="Q633" t="s">
        <v>3585</v>
      </c>
      <c r="R633" t="s">
        <v>2199</v>
      </c>
      <c r="S633">
        <v>9</v>
      </c>
      <c r="T633">
        <v>14</v>
      </c>
      <c r="U633">
        <v>319</v>
      </c>
      <c r="V633" t="s">
        <v>3687</v>
      </c>
      <c r="W633" t="s">
        <v>3698</v>
      </c>
      <c r="X633" t="s">
        <v>79</v>
      </c>
    </row>
    <row r="634" spans="1:24">
      <c r="A634">
        <v>31940</v>
      </c>
      <c r="B634" t="s">
        <v>3699</v>
      </c>
      <c r="C634" t="s">
        <v>10</v>
      </c>
      <c r="D634" t="s">
        <v>10</v>
      </c>
      <c r="G634">
        <v>10000</v>
      </c>
      <c r="H634">
        <v>170000</v>
      </c>
      <c r="I634" t="s">
        <v>3686</v>
      </c>
      <c r="J634" t="s">
        <v>10</v>
      </c>
      <c r="K634">
        <v>942</v>
      </c>
      <c r="L634">
        <v>4.7699999999999996</v>
      </c>
      <c r="M634">
        <v>3191</v>
      </c>
      <c r="N634" t="s">
        <v>125</v>
      </c>
      <c r="O634">
        <v>2</v>
      </c>
      <c r="P634" t="s">
        <v>3584</v>
      </c>
      <c r="Q634" t="s">
        <v>3585</v>
      </c>
      <c r="R634" t="s">
        <v>2199</v>
      </c>
      <c r="S634">
        <v>265</v>
      </c>
      <c r="T634">
        <v>272</v>
      </c>
      <c r="U634">
        <v>319</v>
      </c>
      <c r="V634" t="s">
        <v>3687</v>
      </c>
      <c r="W634" t="s">
        <v>3700</v>
      </c>
      <c r="X634" t="s">
        <v>79</v>
      </c>
    </row>
    <row r="635" spans="1:24">
      <c r="A635">
        <v>32010</v>
      </c>
      <c r="B635" t="s">
        <v>3701</v>
      </c>
      <c r="C635" t="s">
        <v>10</v>
      </c>
      <c r="D635" t="s">
        <v>10</v>
      </c>
      <c r="G635">
        <v>15000</v>
      </c>
      <c r="H635">
        <v>44000</v>
      </c>
      <c r="I635" t="s">
        <v>3702</v>
      </c>
      <c r="J635" t="s">
        <v>10</v>
      </c>
      <c r="K635">
        <v>225.96</v>
      </c>
      <c r="L635">
        <v>10.78</v>
      </c>
      <c r="M635">
        <v>3201</v>
      </c>
      <c r="N635" t="s">
        <v>125</v>
      </c>
      <c r="O635">
        <v>2</v>
      </c>
      <c r="P635" t="s">
        <v>3584</v>
      </c>
      <c r="Q635" t="s">
        <v>3585</v>
      </c>
      <c r="R635" t="s">
        <v>2199</v>
      </c>
      <c r="S635">
        <v>43</v>
      </c>
      <c r="T635">
        <v>51</v>
      </c>
      <c r="U635">
        <v>320</v>
      </c>
      <c r="V635" t="s">
        <v>3703</v>
      </c>
      <c r="W635" t="s">
        <v>3704</v>
      </c>
      <c r="X635" t="s">
        <v>79</v>
      </c>
    </row>
    <row r="636" spans="1:24">
      <c r="A636">
        <v>32020</v>
      </c>
      <c r="B636" t="s">
        <v>3705</v>
      </c>
      <c r="C636" t="s">
        <v>10</v>
      </c>
      <c r="D636" t="s">
        <v>10</v>
      </c>
      <c r="G636">
        <v>15000</v>
      </c>
      <c r="H636">
        <v>44000</v>
      </c>
      <c r="I636" t="s">
        <v>3702</v>
      </c>
      <c r="J636" t="s">
        <v>10</v>
      </c>
      <c r="K636">
        <v>225.96</v>
      </c>
      <c r="L636">
        <v>10.78</v>
      </c>
      <c r="M636">
        <v>3201</v>
      </c>
      <c r="N636" t="s">
        <v>125</v>
      </c>
      <c r="O636">
        <v>2</v>
      </c>
      <c r="P636" t="s">
        <v>3584</v>
      </c>
      <c r="Q636" t="s">
        <v>3585</v>
      </c>
      <c r="R636" t="s">
        <v>2199</v>
      </c>
      <c r="S636">
        <v>32</v>
      </c>
      <c r="T636">
        <v>40</v>
      </c>
      <c r="U636">
        <v>320</v>
      </c>
      <c r="V636" t="s">
        <v>3703</v>
      </c>
      <c r="W636" t="s">
        <v>3706</v>
      </c>
      <c r="X636" t="s">
        <v>79</v>
      </c>
    </row>
    <row r="637" spans="1:24">
      <c r="A637">
        <v>32110</v>
      </c>
      <c r="B637" t="s">
        <v>3707</v>
      </c>
      <c r="C637" t="s">
        <v>10</v>
      </c>
      <c r="D637" t="s">
        <v>10</v>
      </c>
      <c r="G637">
        <v>10000</v>
      </c>
      <c r="H637">
        <v>140000</v>
      </c>
      <c r="I637" t="s">
        <v>3708</v>
      </c>
      <c r="J637" t="s">
        <v>10</v>
      </c>
      <c r="K637">
        <v>942</v>
      </c>
      <c r="L637">
        <v>6.6</v>
      </c>
      <c r="M637">
        <v>3211</v>
      </c>
      <c r="N637" t="s">
        <v>125</v>
      </c>
      <c r="O637">
        <v>2</v>
      </c>
      <c r="P637" t="s">
        <v>3584</v>
      </c>
      <c r="Q637" t="s">
        <v>3585</v>
      </c>
      <c r="R637" t="s">
        <v>2199</v>
      </c>
      <c r="S637">
        <v>40</v>
      </c>
      <c r="T637">
        <v>52</v>
      </c>
      <c r="U637">
        <v>321</v>
      </c>
      <c r="V637" t="s">
        <v>3709</v>
      </c>
      <c r="W637" t="s">
        <v>3710</v>
      </c>
      <c r="X637" t="s">
        <v>79</v>
      </c>
    </row>
    <row r="638" spans="1:24">
      <c r="A638">
        <v>37110</v>
      </c>
      <c r="B638" t="s">
        <v>3711</v>
      </c>
      <c r="C638" t="s">
        <v>2162</v>
      </c>
      <c r="F638" t="s">
        <v>2162</v>
      </c>
      <c r="G638">
        <v>1</v>
      </c>
      <c r="H638">
        <v>1</v>
      </c>
      <c r="I638" t="s">
        <v>3712</v>
      </c>
      <c r="J638" t="s">
        <v>2162</v>
      </c>
      <c r="K638">
        <v>984753.8</v>
      </c>
      <c r="L638">
        <v>6228.44</v>
      </c>
      <c r="M638">
        <v>3712</v>
      </c>
      <c r="N638" t="s">
        <v>79</v>
      </c>
      <c r="O638">
        <v>2</v>
      </c>
      <c r="P638" t="s">
        <v>3713</v>
      </c>
      <c r="Q638" t="s">
        <v>3585</v>
      </c>
      <c r="R638" t="s">
        <v>159</v>
      </c>
      <c r="S638">
        <v>5</v>
      </c>
      <c r="T638">
        <v>5</v>
      </c>
      <c r="U638">
        <v>371</v>
      </c>
      <c r="V638" t="s">
        <v>3714</v>
      </c>
      <c r="W638" t="s">
        <v>3715</v>
      </c>
      <c r="X638" t="s">
        <v>79</v>
      </c>
    </row>
    <row r="639" spans="1:24">
      <c r="A639">
        <v>37111</v>
      </c>
      <c r="B639" t="s">
        <v>3716</v>
      </c>
      <c r="C639" t="s">
        <v>2162</v>
      </c>
      <c r="F639" t="s">
        <v>2162</v>
      </c>
      <c r="G639">
        <v>1</v>
      </c>
      <c r="H639">
        <v>1</v>
      </c>
      <c r="I639" t="s">
        <v>3712</v>
      </c>
      <c r="J639" t="s">
        <v>2162</v>
      </c>
      <c r="K639">
        <v>984753.8</v>
      </c>
      <c r="L639">
        <v>6228.44</v>
      </c>
      <c r="M639">
        <v>3712</v>
      </c>
      <c r="N639" t="s">
        <v>79</v>
      </c>
      <c r="O639">
        <v>2</v>
      </c>
      <c r="P639" t="s">
        <v>3713</v>
      </c>
      <c r="Q639" t="s">
        <v>3585</v>
      </c>
      <c r="R639" t="s">
        <v>159</v>
      </c>
      <c r="S639">
        <v>40</v>
      </c>
      <c r="T639">
        <v>40</v>
      </c>
      <c r="U639">
        <v>371</v>
      </c>
      <c r="V639" t="s">
        <v>3714</v>
      </c>
      <c r="W639" t="s">
        <v>3717</v>
      </c>
      <c r="X639" t="s">
        <v>79</v>
      </c>
    </row>
    <row r="640" spans="1:24">
      <c r="A640">
        <v>37112</v>
      </c>
      <c r="B640" t="s">
        <v>3718</v>
      </c>
      <c r="C640" t="s">
        <v>2162</v>
      </c>
      <c r="F640" t="s">
        <v>2162</v>
      </c>
      <c r="G640">
        <v>1</v>
      </c>
      <c r="H640">
        <v>1</v>
      </c>
      <c r="I640" t="s">
        <v>3712</v>
      </c>
      <c r="J640" t="s">
        <v>2162</v>
      </c>
      <c r="K640">
        <v>984753.8</v>
      </c>
      <c r="L640">
        <v>6228.44</v>
      </c>
      <c r="M640">
        <v>3712</v>
      </c>
      <c r="N640" t="s">
        <v>79</v>
      </c>
      <c r="O640">
        <v>2</v>
      </c>
      <c r="P640" t="s">
        <v>3713</v>
      </c>
      <c r="Q640" t="s">
        <v>3585</v>
      </c>
      <c r="R640" t="s">
        <v>159</v>
      </c>
      <c r="S640">
        <v>16</v>
      </c>
      <c r="T640">
        <v>16</v>
      </c>
      <c r="U640">
        <v>371</v>
      </c>
      <c r="V640" t="s">
        <v>3714</v>
      </c>
      <c r="W640" t="s">
        <v>3719</v>
      </c>
      <c r="X640" t="s">
        <v>79</v>
      </c>
    </row>
    <row r="641" spans="1:24">
      <c r="A641">
        <v>37113</v>
      </c>
      <c r="B641" t="s">
        <v>3720</v>
      </c>
      <c r="C641" t="s">
        <v>2162</v>
      </c>
      <c r="F641" t="s">
        <v>2162</v>
      </c>
      <c r="G641">
        <v>1</v>
      </c>
      <c r="H641">
        <v>1</v>
      </c>
      <c r="I641" t="s">
        <v>3712</v>
      </c>
      <c r="J641" t="s">
        <v>2162</v>
      </c>
      <c r="K641">
        <v>984753.8</v>
      </c>
      <c r="L641">
        <v>6228.44</v>
      </c>
      <c r="M641">
        <v>3712</v>
      </c>
      <c r="N641" t="s">
        <v>79</v>
      </c>
      <c r="O641">
        <v>2</v>
      </c>
      <c r="P641" t="s">
        <v>3713</v>
      </c>
      <c r="Q641" t="s">
        <v>3585</v>
      </c>
      <c r="R641" t="s">
        <v>159</v>
      </c>
      <c r="S641">
        <v>2</v>
      </c>
      <c r="T641">
        <v>2</v>
      </c>
      <c r="U641">
        <v>371</v>
      </c>
      <c r="V641" t="s">
        <v>3714</v>
      </c>
      <c r="W641" t="s">
        <v>3721</v>
      </c>
      <c r="X641" t="s">
        <v>79</v>
      </c>
    </row>
    <row r="642" spans="1:24">
      <c r="A642">
        <v>37114</v>
      </c>
      <c r="B642" t="s">
        <v>3722</v>
      </c>
      <c r="C642" t="s">
        <v>2162</v>
      </c>
      <c r="F642" t="s">
        <v>2162</v>
      </c>
      <c r="G642">
        <v>1</v>
      </c>
      <c r="H642">
        <v>1</v>
      </c>
      <c r="I642" t="s">
        <v>3712</v>
      </c>
      <c r="J642" t="s">
        <v>2162</v>
      </c>
      <c r="K642">
        <v>984753.8</v>
      </c>
      <c r="L642">
        <v>6228.44</v>
      </c>
      <c r="M642">
        <v>3712</v>
      </c>
      <c r="N642" t="s">
        <v>79</v>
      </c>
      <c r="O642">
        <v>2</v>
      </c>
      <c r="P642" t="s">
        <v>3713</v>
      </c>
      <c r="Q642" t="s">
        <v>3585</v>
      </c>
      <c r="R642" t="s">
        <v>159</v>
      </c>
      <c r="S642">
        <v>0</v>
      </c>
      <c r="T642">
        <v>0</v>
      </c>
      <c r="U642">
        <v>371</v>
      </c>
      <c r="V642" t="s">
        <v>3714</v>
      </c>
      <c r="W642" t="s">
        <v>3723</v>
      </c>
      <c r="X642" t="s">
        <v>79</v>
      </c>
    </row>
    <row r="643" spans="1:24">
      <c r="A643">
        <v>37115</v>
      </c>
      <c r="B643" t="s">
        <v>3724</v>
      </c>
      <c r="C643" t="s">
        <v>2162</v>
      </c>
      <c r="F643" t="s">
        <v>2162</v>
      </c>
      <c r="G643">
        <v>1</v>
      </c>
      <c r="H643">
        <v>1</v>
      </c>
      <c r="I643" t="s">
        <v>3712</v>
      </c>
      <c r="J643" t="s">
        <v>2162</v>
      </c>
      <c r="K643">
        <v>984753.8</v>
      </c>
      <c r="L643">
        <v>6228.44</v>
      </c>
      <c r="M643">
        <v>3712</v>
      </c>
      <c r="N643" t="s">
        <v>79</v>
      </c>
      <c r="O643">
        <v>2</v>
      </c>
      <c r="P643" t="s">
        <v>3713</v>
      </c>
      <c r="Q643" t="s">
        <v>3585</v>
      </c>
      <c r="R643" t="s">
        <v>159</v>
      </c>
      <c r="S643">
        <v>45</v>
      </c>
      <c r="T643">
        <v>45</v>
      </c>
      <c r="U643">
        <v>371</v>
      </c>
      <c r="V643" t="s">
        <v>3714</v>
      </c>
      <c r="W643" t="s">
        <v>3725</v>
      </c>
      <c r="X643" t="s">
        <v>79</v>
      </c>
    </row>
    <row r="644" spans="1:24">
      <c r="A644">
        <v>37116</v>
      </c>
      <c r="B644" t="s">
        <v>3726</v>
      </c>
      <c r="C644" t="s">
        <v>2162</v>
      </c>
      <c r="F644" t="s">
        <v>2162</v>
      </c>
      <c r="G644">
        <v>1</v>
      </c>
      <c r="H644">
        <v>1</v>
      </c>
      <c r="I644" t="s">
        <v>3712</v>
      </c>
      <c r="J644" t="s">
        <v>2162</v>
      </c>
      <c r="K644">
        <v>984753.8</v>
      </c>
      <c r="L644">
        <v>6228.44</v>
      </c>
      <c r="M644">
        <v>3712</v>
      </c>
      <c r="N644" t="s">
        <v>79</v>
      </c>
      <c r="O644">
        <v>2</v>
      </c>
      <c r="P644" t="s">
        <v>3713</v>
      </c>
      <c r="Q644" t="s">
        <v>3585</v>
      </c>
      <c r="R644" t="s">
        <v>159</v>
      </c>
      <c r="S644">
        <v>36</v>
      </c>
      <c r="T644">
        <v>36</v>
      </c>
      <c r="U644">
        <v>371</v>
      </c>
      <c r="V644" t="s">
        <v>3714</v>
      </c>
      <c r="W644" t="s">
        <v>3727</v>
      </c>
      <c r="X644" t="s">
        <v>79</v>
      </c>
    </row>
    <row r="645" spans="1:24">
      <c r="A645">
        <v>37117</v>
      </c>
      <c r="B645" t="s">
        <v>3728</v>
      </c>
      <c r="C645" t="s">
        <v>2162</v>
      </c>
      <c r="F645" t="s">
        <v>2162</v>
      </c>
      <c r="G645">
        <v>1</v>
      </c>
      <c r="H645">
        <v>1</v>
      </c>
      <c r="I645" t="s">
        <v>3712</v>
      </c>
      <c r="J645" t="s">
        <v>2162</v>
      </c>
      <c r="K645">
        <v>984753.8</v>
      </c>
      <c r="L645">
        <v>6228.44</v>
      </c>
      <c r="M645">
        <v>3712</v>
      </c>
      <c r="N645" t="s">
        <v>79</v>
      </c>
      <c r="O645">
        <v>2</v>
      </c>
      <c r="P645" t="s">
        <v>3713</v>
      </c>
      <c r="Q645" t="s">
        <v>3585</v>
      </c>
      <c r="R645" t="s">
        <v>159</v>
      </c>
      <c r="S645">
        <v>29</v>
      </c>
      <c r="T645">
        <v>29</v>
      </c>
      <c r="U645">
        <v>371</v>
      </c>
      <c r="V645" t="s">
        <v>3714</v>
      </c>
      <c r="W645" t="s">
        <v>3729</v>
      </c>
      <c r="X645" t="s">
        <v>79</v>
      </c>
    </row>
    <row r="646" spans="1:24">
      <c r="A646">
        <v>37118</v>
      </c>
      <c r="B646" t="s">
        <v>3730</v>
      </c>
      <c r="C646" t="s">
        <v>2162</v>
      </c>
      <c r="F646" t="s">
        <v>2162</v>
      </c>
      <c r="G646">
        <v>1</v>
      </c>
      <c r="H646">
        <v>1</v>
      </c>
      <c r="I646" t="s">
        <v>3712</v>
      </c>
      <c r="J646" t="s">
        <v>2162</v>
      </c>
      <c r="K646">
        <v>984753.8</v>
      </c>
      <c r="L646">
        <v>6228.44</v>
      </c>
      <c r="M646">
        <v>3712</v>
      </c>
      <c r="N646" t="s">
        <v>79</v>
      </c>
      <c r="O646">
        <v>2</v>
      </c>
      <c r="P646" t="s">
        <v>3713</v>
      </c>
      <c r="Q646" t="s">
        <v>3585</v>
      </c>
      <c r="R646" t="s">
        <v>159</v>
      </c>
      <c r="S646">
        <v>7</v>
      </c>
      <c r="T646">
        <v>7</v>
      </c>
      <c r="U646">
        <v>371</v>
      </c>
      <c r="V646" t="s">
        <v>3714</v>
      </c>
      <c r="W646" t="s">
        <v>3731</v>
      </c>
      <c r="X646" t="s">
        <v>79</v>
      </c>
    </row>
    <row r="647" spans="1:24">
      <c r="A647">
        <v>37119</v>
      </c>
      <c r="B647" t="s">
        <v>3732</v>
      </c>
      <c r="C647" t="s">
        <v>2162</v>
      </c>
      <c r="F647" t="s">
        <v>2162</v>
      </c>
      <c r="G647">
        <v>1</v>
      </c>
      <c r="H647">
        <v>1</v>
      </c>
      <c r="I647" t="s">
        <v>3712</v>
      </c>
      <c r="J647" t="s">
        <v>2162</v>
      </c>
      <c r="K647">
        <v>984753.8</v>
      </c>
      <c r="L647">
        <v>6228.44</v>
      </c>
      <c r="M647">
        <v>3712</v>
      </c>
      <c r="N647" t="s">
        <v>79</v>
      </c>
      <c r="O647">
        <v>2</v>
      </c>
      <c r="P647" t="s">
        <v>3713</v>
      </c>
      <c r="Q647" t="s">
        <v>3585</v>
      </c>
      <c r="R647" t="s">
        <v>159</v>
      </c>
      <c r="S647">
        <v>60</v>
      </c>
      <c r="T647">
        <v>60</v>
      </c>
      <c r="U647">
        <v>371</v>
      </c>
      <c r="V647" t="s">
        <v>3714</v>
      </c>
      <c r="W647" t="s">
        <v>3733</v>
      </c>
      <c r="X647" t="s">
        <v>79</v>
      </c>
    </row>
    <row r="648" spans="1:24">
      <c r="A648">
        <v>37120</v>
      </c>
      <c r="B648" t="s">
        <v>3734</v>
      </c>
      <c r="C648" t="s">
        <v>2162</v>
      </c>
      <c r="F648" t="s">
        <v>2162</v>
      </c>
      <c r="G648">
        <v>1</v>
      </c>
      <c r="H648">
        <v>1</v>
      </c>
      <c r="I648" t="s">
        <v>3712</v>
      </c>
      <c r="J648" t="s">
        <v>2162</v>
      </c>
      <c r="K648">
        <v>984753.8</v>
      </c>
      <c r="L648">
        <v>6228.44</v>
      </c>
      <c r="M648">
        <v>3712</v>
      </c>
      <c r="N648" t="s">
        <v>79</v>
      </c>
      <c r="O648">
        <v>2</v>
      </c>
      <c r="P648" t="s">
        <v>3713</v>
      </c>
      <c r="Q648" t="s">
        <v>3585</v>
      </c>
      <c r="R648" t="s">
        <v>159</v>
      </c>
      <c r="S648">
        <v>3</v>
      </c>
      <c r="T648">
        <v>3</v>
      </c>
      <c r="U648">
        <v>371</v>
      </c>
      <c r="V648" t="s">
        <v>3714</v>
      </c>
      <c r="W648" t="s">
        <v>3735</v>
      </c>
      <c r="X648" t="s">
        <v>79</v>
      </c>
    </row>
    <row r="649" spans="1:24">
      <c r="A649">
        <v>39010</v>
      </c>
      <c r="B649" t="s">
        <v>3736</v>
      </c>
      <c r="C649" t="s">
        <v>2162</v>
      </c>
      <c r="F649" t="s">
        <v>2162</v>
      </c>
      <c r="G649">
        <v>1</v>
      </c>
      <c r="H649">
        <v>1</v>
      </c>
      <c r="I649" t="s">
        <v>2607</v>
      </c>
      <c r="J649" t="s">
        <v>2162</v>
      </c>
      <c r="K649">
        <v>984753.8</v>
      </c>
      <c r="L649">
        <v>1859.21</v>
      </c>
      <c r="M649">
        <v>3901</v>
      </c>
      <c r="N649" t="s">
        <v>79</v>
      </c>
      <c r="O649">
        <v>2</v>
      </c>
      <c r="P649" t="s">
        <v>3584</v>
      </c>
      <c r="Q649" t="s">
        <v>3585</v>
      </c>
      <c r="R649" t="s">
        <v>159</v>
      </c>
      <c r="S649">
        <v>47</v>
      </c>
      <c r="T649">
        <v>47</v>
      </c>
      <c r="U649">
        <v>390</v>
      </c>
      <c r="V649" t="s">
        <v>3737</v>
      </c>
      <c r="W649" t="s">
        <v>3738</v>
      </c>
      <c r="X649" t="s">
        <v>79</v>
      </c>
    </row>
    <row r="650" spans="1:24">
      <c r="A650">
        <v>39011</v>
      </c>
      <c r="B650" t="s">
        <v>3739</v>
      </c>
      <c r="C650" t="s">
        <v>2162</v>
      </c>
      <c r="F650" t="s">
        <v>2162</v>
      </c>
      <c r="G650">
        <v>1</v>
      </c>
      <c r="H650">
        <v>1</v>
      </c>
      <c r="I650" t="s">
        <v>2607</v>
      </c>
      <c r="J650" t="s">
        <v>2162</v>
      </c>
      <c r="K650">
        <v>984753.8</v>
      </c>
      <c r="L650">
        <v>1859.21</v>
      </c>
      <c r="M650">
        <v>3901</v>
      </c>
      <c r="N650" t="s">
        <v>79</v>
      </c>
      <c r="O650">
        <v>2</v>
      </c>
      <c r="P650" t="s">
        <v>3584</v>
      </c>
      <c r="Q650" t="s">
        <v>3585</v>
      </c>
      <c r="R650" t="s">
        <v>159</v>
      </c>
      <c r="S650">
        <v>31</v>
      </c>
      <c r="T650">
        <v>32</v>
      </c>
      <c r="U650">
        <v>390</v>
      </c>
      <c r="V650" t="s">
        <v>3737</v>
      </c>
      <c r="W650" t="s">
        <v>3740</v>
      </c>
      <c r="X650" t="s">
        <v>79</v>
      </c>
    </row>
    <row r="651" spans="1:24">
      <c r="A651">
        <v>39012</v>
      </c>
      <c r="B651" t="s">
        <v>3741</v>
      </c>
      <c r="C651" t="s">
        <v>2162</v>
      </c>
      <c r="F651" t="s">
        <v>2162</v>
      </c>
      <c r="G651">
        <v>1</v>
      </c>
      <c r="H651">
        <v>1</v>
      </c>
      <c r="I651" t="s">
        <v>2607</v>
      </c>
      <c r="J651" t="s">
        <v>2162</v>
      </c>
      <c r="K651">
        <v>984753.8</v>
      </c>
      <c r="L651">
        <v>1859.21</v>
      </c>
      <c r="M651">
        <v>3901</v>
      </c>
      <c r="N651" t="s">
        <v>79</v>
      </c>
      <c r="O651">
        <v>2</v>
      </c>
      <c r="P651" t="s">
        <v>3584</v>
      </c>
      <c r="Q651" t="s">
        <v>3585</v>
      </c>
      <c r="R651" t="s">
        <v>159</v>
      </c>
      <c r="S651">
        <v>30</v>
      </c>
      <c r="T651">
        <v>30</v>
      </c>
      <c r="U651">
        <v>390</v>
      </c>
      <c r="V651" t="s">
        <v>3737</v>
      </c>
      <c r="W651" t="s">
        <v>3742</v>
      </c>
      <c r="X651" t="s">
        <v>79</v>
      </c>
    </row>
    <row r="652" spans="1:24">
      <c r="A652">
        <v>39013</v>
      </c>
      <c r="B652" t="s">
        <v>3743</v>
      </c>
      <c r="C652" t="s">
        <v>2162</v>
      </c>
      <c r="F652" t="s">
        <v>2162</v>
      </c>
      <c r="G652">
        <v>1</v>
      </c>
      <c r="H652">
        <v>1</v>
      </c>
      <c r="I652" t="s">
        <v>2607</v>
      </c>
      <c r="J652" t="s">
        <v>2162</v>
      </c>
      <c r="K652">
        <v>984753.8</v>
      </c>
      <c r="L652">
        <v>1859.21</v>
      </c>
      <c r="M652">
        <v>3901</v>
      </c>
      <c r="N652" t="s">
        <v>79</v>
      </c>
      <c r="O652">
        <v>2</v>
      </c>
      <c r="P652" t="s">
        <v>3584</v>
      </c>
      <c r="Q652" t="s">
        <v>3585</v>
      </c>
      <c r="R652" t="s">
        <v>159</v>
      </c>
      <c r="S652">
        <v>7</v>
      </c>
      <c r="T652">
        <v>7</v>
      </c>
      <c r="U652">
        <v>390</v>
      </c>
      <c r="V652" t="s">
        <v>3737</v>
      </c>
      <c r="W652" t="s">
        <v>3744</v>
      </c>
      <c r="X652" t="s">
        <v>79</v>
      </c>
    </row>
    <row r="653" spans="1:24">
      <c r="A653">
        <v>39014</v>
      </c>
      <c r="B653" t="s">
        <v>3745</v>
      </c>
      <c r="C653" t="s">
        <v>2162</v>
      </c>
      <c r="F653" t="s">
        <v>2162</v>
      </c>
      <c r="G653">
        <v>1</v>
      </c>
      <c r="H653">
        <v>1</v>
      </c>
      <c r="I653" t="s">
        <v>2607</v>
      </c>
      <c r="J653" t="s">
        <v>2162</v>
      </c>
      <c r="K653">
        <v>984753.8</v>
      </c>
      <c r="L653">
        <v>1859.21</v>
      </c>
      <c r="M653">
        <v>3901</v>
      </c>
      <c r="N653" t="s">
        <v>79</v>
      </c>
      <c r="O653">
        <v>2</v>
      </c>
      <c r="P653" t="s">
        <v>3584</v>
      </c>
      <c r="Q653" t="s">
        <v>3585</v>
      </c>
      <c r="R653" t="s">
        <v>159</v>
      </c>
      <c r="S653">
        <v>5</v>
      </c>
      <c r="T653">
        <v>5</v>
      </c>
      <c r="U653">
        <v>390</v>
      </c>
      <c r="V653" t="s">
        <v>3737</v>
      </c>
      <c r="W653" t="s">
        <v>3746</v>
      </c>
      <c r="X653" t="s">
        <v>79</v>
      </c>
    </row>
    <row r="654" spans="1:24">
      <c r="A654">
        <v>39015</v>
      </c>
      <c r="B654" t="s">
        <v>3747</v>
      </c>
      <c r="C654" t="s">
        <v>2162</v>
      </c>
      <c r="F654" t="s">
        <v>2162</v>
      </c>
      <c r="G654">
        <v>1</v>
      </c>
      <c r="H654">
        <v>1</v>
      </c>
      <c r="I654" t="s">
        <v>2607</v>
      </c>
      <c r="J654" t="s">
        <v>2162</v>
      </c>
      <c r="K654">
        <v>984753.8</v>
      </c>
      <c r="L654">
        <v>1859.21</v>
      </c>
      <c r="M654">
        <v>3901</v>
      </c>
      <c r="N654" t="s">
        <v>79</v>
      </c>
      <c r="O654">
        <v>2</v>
      </c>
      <c r="P654" t="s">
        <v>3584</v>
      </c>
      <c r="Q654" t="s">
        <v>3585</v>
      </c>
      <c r="R654" t="s">
        <v>159</v>
      </c>
      <c r="S654">
        <v>39</v>
      </c>
      <c r="T654">
        <v>40</v>
      </c>
      <c r="U654">
        <v>390</v>
      </c>
      <c r="V654" t="s">
        <v>3737</v>
      </c>
      <c r="W654" t="s">
        <v>3748</v>
      </c>
      <c r="X654" t="s">
        <v>79</v>
      </c>
    </row>
    <row r="655" spans="1:24">
      <c r="A655">
        <v>39016</v>
      </c>
      <c r="B655" t="s">
        <v>3749</v>
      </c>
      <c r="C655" t="s">
        <v>2162</v>
      </c>
      <c r="F655" t="s">
        <v>2162</v>
      </c>
      <c r="G655">
        <v>1</v>
      </c>
      <c r="H655">
        <v>1</v>
      </c>
      <c r="I655" t="s">
        <v>2607</v>
      </c>
      <c r="J655" t="s">
        <v>2162</v>
      </c>
      <c r="K655">
        <v>984753.8</v>
      </c>
      <c r="L655">
        <v>1859.21</v>
      </c>
      <c r="M655">
        <v>3901</v>
      </c>
      <c r="N655" t="s">
        <v>79</v>
      </c>
      <c r="O655">
        <v>2</v>
      </c>
      <c r="P655" t="s">
        <v>3584</v>
      </c>
      <c r="Q655" t="s">
        <v>3585</v>
      </c>
      <c r="R655" t="s">
        <v>159</v>
      </c>
      <c r="S655">
        <v>111</v>
      </c>
      <c r="T655">
        <v>111</v>
      </c>
      <c r="U655">
        <v>390</v>
      </c>
      <c r="V655" t="s">
        <v>3737</v>
      </c>
      <c r="W655" t="s">
        <v>3750</v>
      </c>
      <c r="X655" t="s">
        <v>79</v>
      </c>
    </row>
    <row r="656" spans="1:24">
      <c r="A656">
        <v>39017</v>
      </c>
      <c r="B656" t="s">
        <v>3751</v>
      </c>
      <c r="C656" t="s">
        <v>2162</v>
      </c>
      <c r="F656" t="s">
        <v>2162</v>
      </c>
      <c r="G656">
        <v>1</v>
      </c>
      <c r="H656">
        <v>1</v>
      </c>
      <c r="I656" t="s">
        <v>2607</v>
      </c>
      <c r="J656" t="s">
        <v>2162</v>
      </c>
      <c r="K656">
        <v>984753.8</v>
      </c>
      <c r="L656">
        <v>1859.21</v>
      </c>
      <c r="M656">
        <v>3901</v>
      </c>
      <c r="N656" t="s">
        <v>79</v>
      </c>
      <c r="O656">
        <v>2</v>
      </c>
      <c r="P656" t="s">
        <v>3584</v>
      </c>
      <c r="Q656" t="s">
        <v>3585</v>
      </c>
      <c r="R656" t="s">
        <v>159</v>
      </c>
      <c r="S656">
        <v>108</v>
      </c>
      <c r="T656">
        <v>111</v>
      </c>
      <c r="U656">
        <v>390</v>
      </c>
      <c r="V656" t="s">
        <v>3737</v>
      </c>
      <c r="W656" t="s">
        <v>3752</v>
      </c>
      <c r="X656" t="s">
        <v>79</v>
      </c>
    </row>
    <row r="657" spans="1:24">
      <c r="A657">
        <v>39018</v>
      </c>
      <c r="B657" t="s">
        <v>3753</v>
      </c>
      <c r="C657" t="s">
        <v>2162</v>
      </c>
      <c r="F657" t="s">
        <v>2162</v>
      </c>
      <c r="G657">
        <v>1</v>
      </c>
      <c r="H657">
        <v>1</v>
      </c>
      <c r="I657" t="s">
        <v>2607</v>
      </c>
      <c r="J657" t="s">
        <v>2162</v>
      </c>
      <c r="K657">
        <v>984753.8</v>
      </c>
      <c r="L657">
        <v>1859.21</v>
      </c>
      <c r="M657">
        <v>3901</v>
      </c>
      <c r="N657" t="s">
        <v>79</v>
      </c>
      <c r="O657">
        <v>2</v>
      </c>
      <c r="P657" t="s">
        <v>3584</v>
      </c>
      <c r="Q657" t="s">
        <v>3585</v>
      </c>
      <c r="R657" t="s">
        <v>159</v>
      </c>
      <c r="S657">
        <v>43</v>
      </c>
      <c r="T657">
        <v>43</v>
      </c>
      <c r="U657">
        <v>390</v>
      </c>
      <c r="V657" t="s">
        <v>3737</v>
      </c>
      <c r="W657" t="s">
        <v>3754</v>
      </c>
      <c r="X657" t="s">
        <v>79</v>
      </c>
    </row>
    <row r="658" spans="1:24">
      <c r="A658">
        <v>39019</v>
      </c>
      <c r="B658" t="s">
        <v>3755</v>
      </c>
      <c r="C658" t="s">
        <v>2162</v>
      </c>
      <c r="F658" t="s">
        <v>2162</v>
      </c>
      <c r="G658">
        <v>1</v>
      </c>
      <c r="H658">
        <v>1</v>
      </c>
      <c r="I658" t="s">
        <v>2607</v>
      </c>
      <c r="J658" t="s">
        <v>2162</v>
      </c>
      <c r="K658">
        <v>984753.8</v>
      </c>
      <c r="L658">
        <v>1859.21</v>
      </c>
      <c r="M658">
        <v>3901</v>
      </c>
      <c r="N658" t="s">
        <v>79</v>
      </c>
      <c r="O658">
        <v>2</v>
      </c>
      <c r="P658" t="s">
        <v>3584</v>
      </c>
      <c r="Q658" t="s">
        <v>3585</v>
      </c>
      <c r="R658" t="s">
        <v>159</v>
      </c>
      <c r="S658">
        <v>54</v>
      </c>
      <c r="T658">
        <v>54</v>
      </c>
      <c r="U658">
        <v>390</v>
      </c>
      <c r="V658" t="s">
        <v>3737</v>
      </c>
      <c r="W658" t="s">
        <v>3756</v>
      </c>
      <c r="X658" t="s">
        <v>79</v>
      </c>
    </row>
    <row r="659" spans="1:24">
      <c r="A659">
        <v>39020</v>
      </c>
      <c r="B659" t="s">
        <v>3757</v>
      </c>
      <c r="C659" t="s">
        <v>2162</v>
      </c>
      <c r="F659" t="s">
        <v>2162</v>
      </c>
      <c r="G659">
        <v>1</v>
      </c>
      <c r="H659">
        <v>1</v>
      </c>
      <c r="I659" t="s">
        <v>2607</v>
      </c>
      <c r="J659" t="s">
        <v>2162</v>
      </c>
      <c r="K659">
        <v>984753.8</v>
      </c>
      <c r="L659">
        <v>1859.21</v>
      </c>
      <c r="M659">
        <v>3901</v>
      </c>
      <c r="N659" t="s">
        <v>79</v>
      </c>
      <c r="O659">
        <v>2</v>
      </c>
      <c r="P659" t="s">
        <v>3584</v>
      </c>
      <c r="Q659" t="s">
        <v>3585</v>
      </c>
      <c r="R659" t="s">
        <v>159</v>
      </c>
      <c r="S659">
        <v>12</v>
      </c>
      <c r="T659">
        <v>12</v>
      </c>
      <c r="U659">
        <v>390</v>
      </c>
      <c r="V659" t="s">
        <v>3737</v>
      </c>
      <c r="W659" t="s">
        <v>3758</v>
      </c>
      <c r="X659" t="s">
        <v>79</v>
      </c>
    </row>
    <row r="660" spans="1:24">
      <c r="A660">
        <v>41110</v>
      </c>
      <c r="B660" t="s">
        <v>3759</v>
      </c>
      <c r="C660" t="s">
        <v>3760</v>
      </c>
      <c r="F660" t="s">
        <v>3760</v>
      </c>
      <c r="G660">
        <v>8400</v>
      </c>
      <c r="H660">
        <v>100000</v>
      </c>
      <c r="I660" t="s">
        <v>3761</v>
      </c>
      <c r="J660" t="s">
        <v>3760</v>
      </c>
      <c r="K660">
        <v>80.459999999999994</v>
      </c>
      <c r="L660">
        <v>4.01</v>
      </c>
      <c r="M660">
        <v>4111</v>
      </c>
      <c r="N660" t="s">
        <v>125</v>
      </c>
      <c r="O660">
        <v>2</v>
      </c>
      <c r="P660" t="s">
        <v>2168</v>
      </c>
      <c r="Q660" t="s">
        <v>2169</v>
      </c>
      <c r="R660" t="s">
        <v>159</v>
      </c>
      <c r="S660">
        <v>27</v>
      </c>
      <c r="T660">
        <v>27</v>
      </c>
      <c r="U660">
        <v>411</v>
      </c>
      <c r="V660" t="s">
        <v>3761</v>
      </c>
      <c r="W660" t="s">
        <v>3762</v>
      </c>
      <c r="X660" t="s">
        <v>79</v>
      </c>
    </row>
    <row r="661" spans="1:24">
      <c r="A661">
        <v>41111</v>
      </c>
      <c r="B661" t="s">
        <v>3763</v>
      </c>
      <c r="C661" t="s">
        <v>3760</v>
      </c>
      <c r="F661" t="s">
        <v>3760</v>
      </c>
      <c r="G661">
        <v>100000</v>
      </c>
      <c r="H661">
        <v>10000000</v>
      </c>
      <c r="I661" t="s">
        <v>3764</v>
      </c>
      <c r="J661" t="s">
        <v>3760</v>
      </c>
      <c r="K661">
        <v>61.42</v>
      </c>
      <c r="L661">
        <v>1.53</v>
      </c>
      <c r="M661">
        <v>4112</v>
      </c>
      <c r="N661" t="s">
        <v>125</v>
      </c>
      <c r="O661">
        <v>1</v>
      </c>
      <c r="P661" t="s">
        <v>2188</v>
      </c>
      <c r="Q661" t="s">
        <v>2169</v>
      </c>
      <c r="R661" t="s">
        <v>159</v>
      </c>
      <c r="S661">
        <v>8</v>
      </c>
      <c r="T661">
        <v>8</v>
      </c>
      <c r="U661">
        <v>411</v>
      </c>
      <c r="V661" t="s">
        <v>3761</v>
      </c>
      <c r="W661" t="s">
        <v>3765</v>
      </c>
      <c r="X661" t="s">
        <v>79</v>
      </c>
    </row>
    <row r="662" spans="1:24">
      <c r="A662">
        <v>41112</v>
      </c>
      <c r="B662" t="s">
        <v>3766</v>
      </c>
      <c r="C662" t="s">
        <v>3760</v>
      </c>
      <c r="F662" t="s">
        <v>3760</v>
      </c>
      <c r="G662">
        <v>10000</v>
      </c>
      <c r="H662">
        <v>100000</v>
      </c>
      <c r="I662" t="s">
        <v>3767</v>
      </c>
      <c r="J662" t="s">
        <v>3760</v>
      </c>
      <c r="K662">
        <v>690.65</v>
      </c>
      <c r="L662">
        <v>2.0699999999999998</v>
      </c>
      <c r="M662">
        <v>4113</v>
      </c>
      <c r="N662" t="s">
        <v>125</v>
      </c>
      <c r="O662">
        <v>1</v>
      </c>
      <c r="P662" t="s">
        <v>2188</v>
      </c>
      <c r="Q662" t="s">
        <v>2169</v>
      </c>
      <c r="R662" t="s">
        <v>159</v>
      </c>
      <c r="S662">
        <v>0</v>
      </c>
      <c r="T662">
        <v>0</v>
      </c>
      <c r="U662">
        <v>411</v>
      </c>
      <c r="V662" t="s">
        <v>3761</v>
      </c>
      <c r="W662" t="s">
        <v>3768</v>
      </c>
      <c r="X662" t="s">
        <v>79</v>
      </c>
    </row>
    <row r="663" spans="1:24">
      <c r="A663">
        <v>41120</v>
      </c>
      <c r="B663" t="s">
        <v>3769</v>
      </c>
      <c r="C663" t="s">
        <v>3760</v>
      </c>
      <c r="F663" t="s">
        <v>3760</v>
      </c>
      <c r="G663">
        <v>8400</v>
      </c>
      <c r="H663">
        <v>100000</v>
      </c>
      <c r="I663" t="s">
        <v>3761</v>
      </c>
      <c r="J663" t="s">
        <v>3760</v>
      </c>
      <c r="K663">
        <v>80.459999999999994</v>
      </c>
      <c r="L663">
        <v>4.01</v>
      </c>
      <c r="M663">
        <v>4111</v>
      </c>
      <c r="N663" t="s">
        <v>125</v>
      </c>
      <c r="O663">
        <v>2</v>
      </c>
      <c r="P663" t="s">
        <v>2168</v>
      </c>
      <c r="Q663" t="s">
        <v>2169</v>
      </c>
      <c r="R663" t="s">
        <v>159</v>
      </c>
      <c r="S663">
        <v>10</v>
      </c>
      <c r="T663">
        <v>10</v>
      </c>
      <c r="U663">
        <v>411</v>
      </c>
      <c r="V663" t="s">
        <v>3761</v>
      </c>
      <c r="W663" t="s">
        <v>3770</v>
      </c>
      <c r="X663" t="s">
        <v>79</v>
      </c>
    </row>
    <row r="664" spans="1:24">
      <c r="A664">
        <v>41121</v>
      </c>
      <c r="B664" t="s">
        <v>3771</v>
      </c>
      <c r="C664" t="s">
        <v>3760</v>
      </c>
      <c r="F664" t="s">
        <v>3760</v>
      </c>
      <c r="G664">
        <v>100000</v>
      </c>
      <c r="H664">
        <v>10000000</v>
      </c>
      <c r="I664" t="s">
        <v>3764</v>
      </c>
      <c r="J664" t="s">
        <v>3760</v>
      </c>
      <c r="K664">
        <v>61.42</v>
      </c>
      <c r="L664">
        <v>1.53</v>
      </c>
      <c r="M664">
        <v>4112</v>
      </c>
      <c r="N664" t="s">
        <v>125</v>
      </c>
      <c r="O664">
        <v>1</v>
      </c>
      <c r="P664" t="s">
        <v>2188</v>
      </c>
      <c r="Q664" t="s">
        <v>2169</v>
      </c>
      <c r="R664" t="s">
        <v>159</v>
      </c>
      <c r="S664">
        <v>4</v>
      </c>
      <c r="T664">
        <v>4</v>
      </c>
      <c r="U664">
        <v>411</v>
      </c>
      <c r="V664" t="s">
        <v>3761</v>
      </c>
      <c r="W664" t="s">
        <v>3772</v>
      </c>
      <c r="X664" t="s">
        <v>79</v>
      </c>
    </row>
    <row r="665" spans="1:24">
      <c r="A665">
        <v>41122</v>
      </c>
      <c r="B665" t="s">
        <v>3773</v>
      </c>
      <c r="C665" t="s">
        <v>3760</v>
      </c>
      <c r="F665" t="s">
        <v>3760</v>
      </c>
      <c r="G665">
        <v>10000</v>
      </c>
      <c r="H665">
        <v>100000</v>
      </c>
      <c r="I665" t="s">
        <v>3767</v>
      </c>
      <c r="J665" t="s">
        <v>3760</v>
      </c>
      <c r="K665">
        <v>690.65</v>
      </c>
      <c r="L665">
        <v>2.0699999999999998</v>
      </c>
      <c r="M665">
        <v>4113</v>
      </c>
      <c r="N665" t="s">
        <v>125</v>
      </c>
      <c r="O665">
        <v>1</v>
      </c>
      <c r="P665" t="s">
        <v>2188</v>
      </c>
      <c r="Q665" t="s">
        <v>2169</v>
      </c>
      <c r="R665" t="s">
        <v>159</v>
      </c>
      <c r="S665">
        <v>1</v>
      </c>
      <c r="T665">
        <v>1</v>
      </c>
      <c r="U665">
        <v>411</v>
      </c>
      <c r="V665" t="s">
        <v>3761</v>
      </c>
      <c r="W665" t="s">
        <v>3774</v>
      </c>
      <c r="X665" t="s">
        <v>79</v>
      </c>
    </row>
    <row r="666" spans="1:24">
      <c r="A666">
        <v>41130</v>
      </c>
      <c r="B666" t="s">
        <v>3775</v>
      </c>
      <c r="C666" t="s">
        <v>3760</v>
      </c>
      <c r="F666" t="s">
        <v>3760</v>
      </c>
      <c r="G666">
        <v>8400</v>
      </c>
      <c r="H666">
        <v>100000</v>
      </c>
      <c r="I666" t="s">
        <v>3761</v>
      </c>
      <c r="J666" t="s">
        <v>3760</v>
      </c>
      <c r="K666">
        <v>80.459999999999994</v>
      </c>
      <c r="L666">
        <v>4.01</v>
      </c>
      <c r="M666">
        <v>4111</v>
      </c>
      <c r="N666" t="s">
        <v>125</v>
      </c>
      <c r="O666">
        <v>2</v>
      </c>
      <c r="P666" t="s">
        <v>2192</v>
      </c>
      <c r="Q666" t="s">
        <v>2169</v>
      </c>
      <c r="R666" t="s">
        <v>159</v>
      </c>
      <c r="S666">
        <v>129</v>
      </c>
      <c r="T666">
        <v>129</v>
      </c>
      <c r="U666">
        <v>411</v>
      </c>
      <c r="V666" t="s">
        <v>3761</v>
      </c>
      <c r="W666" t="s">
        <v>3776</v>
      </c>
      <c r="X666" t="s">
        <v>79</v>
      </c>
    </row>
    <row r="667" spans="1:24">
      <c r="A667">
        <v>41131</v>
      </c>
      <c r="B667" t="s">
        <v>3777</v>
      </c>
      <c r="C667" t="s">
        <v>3760</v>
      </c>
      <c r="F667" t="s">
        <v>3760</v>
      </c>
      <c r="G667">
        <v>100000</v>
      </c>
      <c r="H667">
        <v>10000000</v>
      </c>
      <c r="I667" t="s">
        <v>3764</v>
      </c>
      <c r="J667" t="s">
        <v>3760</v>
      </c>
      <c r="K667">
        <v>61.42</v>
      </c>
      <c r="L667">
        <v>1.53</v>
      </c>
      <c r="M667">
        <v>4112</v>
      </c>
      <c r="N667" t="s">
        <v>125</v>
      </c>
      <c r="O667">
        <v>1</v>
      </c>
      <c r="P667" t="s">
        <v>2188</v>
      </c>
      <c r="Q667" t="s">
        <v>2169</v>
      </c>
      <c r="R667" t="s">
        <v>159</v>
      </c>
      <c r="S667">
        <v>12</v>
      </c>
      <c r="T667">
        <v>12</v>
      </c>
      <c r="U667">
        <v>411</v>
      </c>
      <c r="V667" t="s">
        <v>3761</v>
      </c>
      <c r="W667" t="s">
        <v>3778</v>
      </c>
      <c r="X667" t="s">
        <v>79</v>
      </c>
    </row>
    <row r="668" spans="1:24">
      <c r="A668">
        <v>41132</v>
      </c>
      <c r="B668" t="s">
        <v>3779</v>
      </c>
      <c r="C668" t="s">
        <v>3760</v>
      </c>
      <c r="F668" t="s">
        <v>3760</v>
      </c>
      <c r="G668">
        <v>10000</v>
      </c>
      <c r="H668">
        <v>100000</v>
      </c>
      <c r="I668" t="s">
        <v>3767</v>
      </c>
      <c r="J668" t="s">
        <v>3760</v>
      </c>
      <c r="K668">
        <v>690.65</v>
      </c>
      <c r="L668">
        <v>2.0699999999999998</v>
      </c>
      <c r="M668">
        <v>4113</v>
      </c>
      <c r="N668" t="s">
        <v>125</v>
      </c>
      <c r="O668">
        <v>1</v>
      </c>
      <c r="P668" t="s">
        <v>2188</v>
      </c>
      <c r="Q668" t="s">
        <v>2169</v>
      </c>
      <c r="R668" t="s">
        <v>159</v>
      </c>
      <c r="S668">
        <v>14</v>
      </c>
      <c r="T668">
        <v>14</v>
      </c>
      <c r="U668">
        <v>411</v>
      </c>
      <c r="V668" t="s">
        <v>3761</v>
      </c>
      <c r="W668" t="s">
        <v>3780</v>
      </c>
      <c r="X668" t="s">
        <v>79</v>
      </c>
    </row>
    <row r="669" spans="1:24">
      <c r="A669">
        <v>41140</v>
      </c>
      <c r="B669" t="s">
        <v>3781</v>
      </c>
      <c r="C669" t="s">
        <v>3760</v>
      </c>
      <c r="F669" t="s">
        <v>3760</v>
      </c>
      <c r="G669">
        <v>8400</v>
      </c>
      <c r="H669">
        <v>100000</v>
      </c>
      <c r="I669" t="s">
        <v>3761</v>
      </c>
      <c r="J669" t="s">
        <v>3760</v>
      </c>
      <c r="K669">
        <v>80.459999999999994</v>
      </c>
      <c r="L669">
        <v>4.01</v>
      </c>
      <c r="M669">
        <v>4111</v>
      </c>
      <c r="N669" t="s">
        <v>125</v>
      </c>
      <c r="O669">
        <v>2</v>
      </c>
      <c r="P669" t="s">
        <v>2192</v>
      </c>
      <c r="Q669" t="s">
        <v>2169</v>
      </c>
      <c r="R669" t="s">
        <v>159</v>
      </c>
      <c r="S669">
        <v>46</v>
      </c>
      <c r="T669">
        <v>47</v>
      </c>
      <c r="U669">
        <v>411</v>
      </c>
      <c r="V669" t="s">
        <v>3761</v>
      </c>
      <c r="W669" t="s">
        <v>3782</v>
      </c>
      <c r="X669" t="s">
        <v>79</v>
      </c>
    </row>
    <row r="670" spans="1:24">
      <c r="A670">
        <v>41141</v>
      </c>
      <c r="B670" t="s">
        <v>3783</v>
      </c>
      <c r="C670" t="s">
        <v>3760</v>
      </c>
      <c r="F670" t="s">
        <v>3760</v>
      </c>
      <c r="G670">
        <v>100000</v>
      </c>
      <c r="H670">
        <v>10000000</v>
      </c>
      <c r="I670" t="s">
        <v>3764</v>
      </c>
      <c r="J670" t="s">
        <v>3760</v>
      </c>
      <c r="K670">
        <v>61.42</v>
      </c>
      <c r="L670">
        <v>1.53</v>
      </c>
      <c r="M670">
        <v>4112</v>
      </c>
      <c r="N670" t="s">
        <v>125</v>
      </c>
      <c r="O670">
        <v>1</v>
      </c>
      <c r="P670" t="s">
        <v>2188</v>
      </c>
      <c r="Q670" t="s">
        <v>2169</v>
      </c>
      <c r="R670" t="s">
        <v>159</v>
      </c>
      <c r="S670">
        <v>0</v>
      </c>
      <c r="T670">
        <v>0</v>
      </c>
      <c r="U670">
        <v>411</v>
      </c>
      <c r="V670" t="s">
        <v>3761</v>
      </c>
      <c r="W670" t="s">
        <v>3784</v>
      </c>
      <c r="X670" t="s">
        <v>79</v>
      </c>
    </row>
    <row r="671" spans="1:24">
      <c r="A671">
        <v>41142</v>
      </c>
      <c r="B671" t="s">
        <v>3785</v>
      </c>
      <c r="C671" t="s">
        <v>3760</v>
      </c>
      <c r="F671" t="s">
        <v>3760</v>
      </c>
      <c r="G671">
        <v>10000</v>
      </c>
      <c r="H671">
        <v>100000</v>
      </c>
      <c r="I671" t="s">
        <v>3767</v>
      </c>
      <c r="J671" t="s">
        <v>3760</v>
      </c>
      <c r="K671">
        <v>690.65</v>
      </c>
      <c r="L671">
        <v>2.0699999999999998</v>
      </c>
      <c r="M671">
        <v>4113</v>
      </c>
      <c r="N671" t="s">
        <v>125</v>
      </c>
      <c r="O671">
        <v>1</v>
      </c>
      <c r="P671" t="s">
        <v>2188</v>
      </c>
      <c r="Q671" t="s">
        <v>2169</v>
      </c>
      <c r="R671" t="s">
        <v>159</v>
      </c>
      <c r="S671">
        <v>0</v>
      </c>
      <c r="T671">
        <v>0</v>
      </c>
      <c r="U671">
        <v>411</v>
      </c>
      <c r="V671" t="s">
        <v>3761</v>
      </c>
      <c r="W671" t="s">
        <v>3786</v>
      </c>
      <c r="X671" t="s">
        <v>79</v>
      </c>
    </row>
    <row r="672" spans="1:24">
      <c r="A672">
        <v>41150</v>
      </c>
      <c r="B672" t="s">
        <v>3787</v>
      </c>
      <c r="C672" t="s">
        <v>3760</v>
      </c>
      <c r="F672" t="s">
        <v>3760</v>
      </c>
      <c r="G672">
        <v>8400</v>
      </c>
      <c r="H672">
        <v>100000</v>
      </c>
      <c r="I672" t="s">
        <v>3761</v>
      </c>
      <c r="J672" t="s">
        <v>3760</v>
      </c>
      <c r="K672">
        <v>80.459999999999994</v>
      </c>
      <c r="L672">
        <v>4.01</v>
      </c>
      <c r="M672">
        <v>4111</v>
      </c>
      <c r="N672" t="s">
        <v>125</v>
      </c>
      <c r="O672">
        <v>2</v>
      </c>
      <c r="P672" t="s">
        <v>2168</v>
      </c>
      <c r="Q672" t="s">
        <v>2169</v>
      </c>
      <c r="R672" t="s">
        <v>159</v>
      </c>
      <c r="S672">
        <v>202</v>
      </c>
      <c r="T672">
        <v>202</v>
      </c>
      <c r="U672">
        <v>411</v>
      </c>
      <c r="V672" t="s">
        <v>3761</v>
      </c>
      <c r="W672" t="s">
        <v>3788</v>
      </c>
      <c r="X672" t="s">
        <v>79</v>
      </c>
    </row>
    <row r="673" spans="1:24">
      <c r="A673">
        <v>41151</v>
      </c>
      <c r="B673" t="s">
        <v>3789</v>
      </c>
      <c r="C673" t="s">
        <v>3760</v>
      </c>
      <c r="F673" t="s">
        <v>3760</v>
      </c>
      <c r="G673">
        <v>100000</v>
      </c>
      <c r="H673">
        <v>10000000</v>
      </c>
      <c r="I673" t="s">
        <v>3764</v>
      </c>
      <c r="J673" t="s">
        <v>3760</v>
      </c>
      <c r="K673">
        <v>61.42</v>
      </c>
      <c r="L673">
        <v>1.53</v>
      </c>
      <c r="M673">
        <v>4112</v>
      </c>
      <c r="N673" t="s">
        <v>125</v>
      </c>
      <c r="O673">
        <v>1</v>
      </c>
      <c r="P673" t="s">
        <v>2188</v>
      </c>
      <c r="Q673" t="s">
        <v>2169</v>
      </c>
      <c r="R673" t="s">
        <v>159</v>
      </c>
      <c r="S673">
        <v>26</v>
      </c>
      <c r="T673">
        <v>26</v>
      </c>
      <c r="U673">
        <v>411</v>
      </c>
      <c r="V673" t="s">
        <v>3761</v>
      </c>
      <c r="W673" t="s">
        <v>3790</v>
      </c>
      <c r="X673" t="s">
        <v>79</v>
      </c>
    </row>
    <row r="674" spans="1:24">
      <c r="A674">
        <v>41152</v>
      </c>
      <c r="B674" t="s">
        <v>3791</v>
      </c>
      <c r="C674" t="s">
        <v>3760</v>
      </c>
      <c r="F674" t="s">
        <v>3760</v>
      </c>
      <c r="G674">
        <v>10000</v>
      </c>
      <c r="H674">
        <v>100000</v>
      </c>
      <c r="I674" t="s">
        <v>3767</v>
      </c>
      <c r="J674" t="s">
        <v>3760</v>
      </c>
      <c r="K674">
        <v>690.65</v>
      </c>
      <c r="L674">
        <v>2.0699999999999998</v>
      </c>
      <c r="M674">
        <v>4113</v>
      </c>
      <c r="N674" t="s">
        <v>125</v>
      </c>
      <c r="O674">
        <v>1</v>
      </c>
      <c r="P674" t="s">
        <v>2188</v>
      </c>
      <c r="Q674" t="s">
        <v>2169</v>
      </c>
      <c r="R674" t="s">
        <v>159</v>
      </c>
      <c r="S674">
        <v>35</v>
      </c>
      <c r="T674">
        <v>35</v>
      </c>
      <c r="U674">
        <v>411</v>
      </c>
      <c r="V674" t="s">
        <v>3761</v>
      </c>
      <c r="W674" t="s">
        <v>3792</v>
      </c>
      <c r="X674" t="s">
        <v>79</v>
      </c>
    </row>
    <row r="675" spans="1:24">
      <c r="A675">
        <v>41155</v>
      </c>
      <c r="B675" t="s">
        <v>3793</v>
      </c>
      <c r="C675" t="s">
        <v>2176</v>
      </c>
      <c r="F675" t="s">
        <v>2176</v>
      </c>
      <c r="G675">
        <v>15000</v>
      </c>
      <c r="H675">
        <v>60000</v>
      </c>
      <c r="I675" t="s">
        <v>3794</v>
      </c>
      <c r="J675" t="s">
        <v>2176</v>
      </c>
      <c r="K675">
        <v>21.45</v>
      </c>
      <c r="L675">
        <v>0.09</v>
      </c>
      <c r="M675">
        <v>4114</v>
      </c>
      <c r="N675" t="s">
        <v>79</v>
      </c>
      <c r="O675">
        <v>2</v>
      </c>
      <c r="P675" t="s">
        <v>2192</v>
      </c>
      <c r="Q675" t="s">
        <v>2169</v>
      </c>
      <c r="R675" t="s">
        <v>159</v>
      </c>
      <c r="S675">
        <v>9</v>
      </c>
      <c r="T675">
        <v>9</v>
      </c>
      <c r="U675">
        <v>411</v>
      </c>
      <c r="V675" t="s">
        <v>3761</v>
      </c>
      <c r="W675" t="s">
        <v>3795</v>
      </c>
      <c r="X675" t="s">
        <v>79</v>
      </c>
    </row>
    <row r="676" spans="1:24">
      <c r="A676">
        <v>41160</v>
      </c>
      <c r="B676" t="s">
        <v>3796</v>
      </c>
      <c r="C676" t="s">
        <v>3760</v>
      </c>
      <c r="E676" t="s">
        <v>2176</v>
      </c>
      <c r="F676" t="s">
        <v>3760</v>
      </c>
      <c r="G676">
        <v>7800</v>
      </c>
      <c r="H676">
        <v>430000</v>
      </c>
      <c r="I676" t="s">
        <v>2230</v>
      </c>
      <c r="J676" t="s">
        <v>2176</v>
      </c>
      <c r="K676">
        <v>10.58</v>
      </c>
      <c r="L676">
        <v>2.5099999999999998</v>
      </c>
      <c r="M676">
        <v>1244</v>
      </c>
      <c r="N676" t="s">
        <v>125</v>
      </c>
      <c r="O676">
        <v>2</v>
      </c>
      <c r="P676" t="s">
        <v>2192</v>
      </c>
      <c r="Q676" t="s">
        <v>2169</v>
      </c>
      <c r="R676" t="s">
        <v>159</v>
      </c>
      <c r="S676">
        <v>36</v>
      </c>
      <c r="T676">
        <v>36</v>
      </c>
      <c r="U676">
        <v>411</v>
      </c>
      <c r="V676" t="s">
        <v>3761</v>
      </c>
      <c r="W676" t="s">
        <v>3797</v>
      </c>
      <c r="X676" t="s">
        <v>79</v>
      </c>
    </row>
    <row r="677" spans="1:24">
      <c r="A677">
        <v>41182</v>
      </c>
      <c r="B677" t="s">
        <v>3798</v>
      </c>
      <c r="C677" t="s">
        <v>3760</v>
      </c>
      <c r="F677" t="s">
        <v>3760</v>
      </c>
      <c r="G677">
        <v>8400</v>
      </c>
      <c r="H677">
        <v>100000</v>
      </c>
      <c r="I677" t="s">
        <v>3761</v>
      </c>
      <c r="J677" t="s">
        <v>3760</v>
      </c>
      <c r="K677">
        <v>80.459999999999994</v>
      </c>
      <c r="L677">
        <v>4.01</v>
      </c>
      <c r="M677">
        <v>4111</v>
      </c>
      <c r="N677" t="s">
        <v>125</v>
      </c>
      <c r="O677">
        <v>2</v>
      </c>
      <c r="P677" t="s">
        <v>2192</v>
      </c>
      <c r="Q677" t="s">
        <v>2169</v>
      </c>
      <c r="R677" t="s">
        <v>159</v>
      </c>
      <c r="S677">
        <v>137</v>
      </c>
      <c r="T677">
        <v>138</v>
      </c>
      <c r="U677">
        <v>411</v>
      </c>
      <c r="V677" t="s">
        <v>3761</v>
      </c>
      <c r="W677" t="s">
        <v>3799</v>
      </c>
      <c r="X677" t="s">
        <v>79</v>
      </c>
    </row>
    <row r="678" spans="1:24">
      <c r="A678">
        <v>41184</v>
      </c>
      <c r="B678" t="s">
        <v>3800</v>
      </c>
      <c r="C678" t="s">
        <v>3760</v>
      </c>
      <c r="F678" t="s">
        <v>3760</v>
      </c>
      <c r="G678">
        <v>8400</v>
      </c>
      <c r="H678">
        <v>100000</v>
      </c>
      <c r="I678" t="s">
        <v>3761</v>
      </c>
      <c r="J678" t="s">
        <v>3760</v>
      </c>
      <c r="K678">
        <v>80.459999999999994</v>
      </c>
      <c r="L678">
        <v>4.01</v>
      </c>
      <c r="M678">
        <v>4111</v>
      </c>
      <c r="N678" t="s">
        <v>125</v>
      </c>
      <c r="O678">
        <v>2</v>
      </c>
      <c r="P678" t="s">
        <v>2192</v>
      </c>
      <c r="Q678" t="s">
        <v>2169</v>
      </c>
      <c r="R678" t="s">
        <v>159</v>
      </c>
      <c r="S678">
        <v>7</v>
      </c>
      <c r="T678">
        <v>7</v>
      </c>
      <c r="U678">
        <v>411</v>
      </c>
      <c r="V678" t="s">
        <v>3761</v>
      </c>
      <c r="W678" t="s">
        <v>3801</v>
      </c>
      <c r="X678" t="s">
        <v>79</v>
      </c>
    </row>
    <row r="679" spans="1:24">
      <c r="A679">
        <v>41215</v>
      </c>
      <c r="B679" t="s">
        <v>3802</v>
      </c>
      <c r="C679" t="s">
        <v>2176</v>
      </c>
      <c r="F679" t="s">
        <v>2176</v>
      </c>
      <c r="G679">
        <v>29000</v>
      </c>
      <c r="H679">
        <v>1500000</v>
      </c>
      <c r="I679" t="s">
        <v>3803</v>
      </c>
      <c r="J679" t="s">
        <v>2176</v>
      </c>
      <c r="K679">
        <v>12.3</v>
      </c>
      <c r="L679">
        <v>0.11</v>
      </c>
      <c r="M679">
        <v>4121</v>
      </c>
      <c r="N679" t="s">
        <v>79</v>
      </c>
      <c r="O679">
        <v>2</v>
      </c>
      <c r="P679" t="s">
        <v>2550</v>
      </c>
      <c r="Q679" t="s">
        <v>2169</v>
      </c>
      <c r="R679" t="s">
        <v>159</v>
      </c>
      <c r="S679">
        <v>3</v>
      </c>
      <c r="T679">
        <v>3</v>
      </c>
      <c r="U679">
        <v>412</v>
      </c>
      <c r="V679" t="s">
        <v>3804</v>
      </c>
      <c r="W679" t="s">
        <v>3805</v>
      </c>
      <c r="X679" t="s">
        <v>79</v>
      </c>
    </row>
    <row r="680" spans="1:24">
      <c r="A680">
        <v>41225</v>
      </c>
      <c r="B680" t="s">
        <v>3806</v>
      </c>
      <c r="C680" t="s">
        <v>2176</v>
      </c>
      <c r="F680" t="s">
        <v>2176</v>
      </c>
      <c r="G680">
        <v>29000</v>
      </c>
      <c r="H680">
        <v>1500000</v>
      </c>
      <c r="I680" t="s">
        <v>3803</v>
      </c>
      <c r="J680" t="s">
        <v>2176</v>
      </c>
      <c r="K680">
        <v>12.3</v>
      </c>
      <c r="L680">
        <v>0.11</v>
      </c>
      <c r="M680">
        <v>4121</v>
      </c>
      <c r="N680" t="s">
        <v>79</v>
      </c>
      <c r="O680">
        <v>2</v>
      </c>
      <c r="P680" t="s">
        <v>2550</v>
      </c>
      <c r="Q680" t="s">
        <v>2169</v>
      </c>
      <c r="R680" t="s">
        <v>159</v>
      </c>
      <c r="S680">
        <v>51</v>
      </c>
      <c r="T680">
        <v>51</v>
      </c>
      <c r="U680">
        <v>412</v>
      </c>
      <c r="V680" t="s">
        <v>3804</v>
      </c>
      <c r="W680" t="s">
        <v>3807</v>
      </c>
      <c r="X680" t="s">
        <v>79</v>
      </c>
    </row>
    <row r="681" spans="1:24">
      <c r="A681">
        <v>41235</v>
      </c>
      <c r="B681" t="s">
        <v>3808</v>
      </c>
      <c r="C681" t="s">
        <v>2176</v>
      </c>
      <c r="F681" t="s">
        <v>2176</v>
      </c>
      <c r="G681">
        <v>29000</v>
      </c>
      <c r="H681">
        <v>1500000</v>
      </c>
      <c r="I681" t="s">
        <v>3803</v>
      </c>
      <c r="J681" t="s">
        <v>2176</v>
      </c>
      <c r="K681">
        <v>12.3</v>
      </c>
      <c r="L681">
        <v>0.11</v>
      </c>
      <c r="M681">
        <v>4121</v>
      </c>
      <c r="N681" t="s">
        <v>79</v>
      </c>
      <c r="O681">
        <v>2</v>
      </c>
      <c r="P681" t="s">
        <v>2550</v>
      </c>
      <c r="Q681" t="s">
        <v>2169</v>
      </c>
      <c r="R681" t="s">
        <v>159</v>
      </c>
      <c r="S681">
        <v>34</v>
      </c>
      <c r="T681">
        <v>34</v>
      </c>
      <c r="U681">
        <v>412</v>
      </c>
      <c r="V681" t="s">
        <v>3804</v>
      </c>
      <c r="W681" t="s">
        <v>3809</v>
      </c>
      <c r="X681" t="s">
        <v>79</v>
      </c>
    </row>
    <row r="682" spans="1:24">
      <c r="A682">
        <v>41240</v>
      </c>
      <c r="B682" t="s">
        <v>3810</v>
      </c>
      <c r="C682" t="s">
        <v>2176</v>
      </c>
      <c r="F682" t="s">
        <v>2176</v>
      </c>
      <c r="G682">
        <v>29000</v>
      </c>
      <c r="H682">
        <v>1500000</v>
      </c>
      <c r="I682" t="s">
        <v>3803</v>
      </c>
      <c r="J682" t="s">
        <v>2176</v>
      </c>
      <c r="K682">
        <v>12.3</v>
      </c>
      <c r="L682">
        <v>0.11</v>
      </c>
      <c r="M682">
        <v>4121</v>
      </c>
      <c r="N682" t="s">
        <v>79</v>
      </c>
      <c r="O682">
        <v>2</v>
      </c>
      <c r="P682" t="s">
        <v>2550</v>
      </c>
      <c r="Q682" t="s">
        <v>2169</v>
      </c>
      <c r="R682" t="s">
        <v>159</v>
      </c>
      <c r="S682">
        <v>4</v>
      </c>
      <c r="T682">
        <v>4</v>
      </c>
      <c r="U682">
        <v>412</v>
      </c>
      <c r="V682" t="s">
        <v>3804</v>
      </c>
      <c r="W682" t="s">
        <v>3811</v>
      </c>
      <c r="X682" t="s">
        <v>79</v>
      </c>
    </row>
    <row r="683" spans="1:24">
      <c r="A683">
        <v>41245</v>
      </c>
      <c r="B683" t="s">
        <v>3812</v>
      </c>
      <c r="C683" t="s">
        <v>2176</v>
      </c>
      <c r="E683" t="s">
        <v>2176</v>
      </c>
      <c r="F683" t="s">
        <v>2162</v>
      </c>
      <c r="G683">
        <v>29000</v>
      </c>
      <c r="H683">
        <v>1500000</v>
      </c>
      <c r="I683" t="s">
        <v>3803</v>
      </c>
      <c r="J683" t="s">
        <v>2176</v>
      </c>
      <c r="K683">
        <v>12.3</v>
      </c>
      <c r="L683">
        <v>0.11</v>
      </c>
      <c r="M683">
        <v>4121</v>
      </c>
      <c r="N683" t="s">
        <v>79</v>
      </c>
      <c r="O683">
        <v>2</v>
      </c>
      <c r="P683" t="s">
        <v>2550</v>
      </c>
      <c r="Q683" t="s">
        <v>2169</v>
      </c>
      <c r="R683" t="s">
        <v>159</v>
      </c>
      <c r="S683">
        <v>66</v>
      </c>
      <c r="T683">
        <v>66</v>
      </c>
      <c r="U683">
        <v>412</v>
      </c>
      <c r="V683" t="s">
        <v>3804</v>
      </c>
      <c r="W683" t="s">
        <v>3813</v>
      </c>
      <c r="X683" t="s">
        <v>79</v>
      </c>
    </row>
    <row r="684" spans="1:24">
      <c r="A684">
        <v>41250</v>
      </c>
      <c r="B684" t="s">
        <v>3814</v>
      </c>
      <c r="C684" t="s">
        <v>2176</v>
      </c>
      <c r="F684" t="s">
        <v>2176</v>
      </c>
      <c r="G684">
        <v>29000</v>
      </c>
      <c r="H684">
        <v>1500000</v>
      </c>
      <c r="I684" t="s">
        <v>3803</v>
      </c>
      <c r="J684" t="s">
        <v>2176</v>
      </c>
      <c r="K684">
        <v>12.3</v>
      </c>
      <c r="L684">
        <v>0.11</v>
      </c>
      <c r="M684">
        <v>4121</v>
      </c>
      <c r="N684" t="s">
        <v>79</v>
      </c>
      <c r="P684" t="s">
        <v>2168</v>
      </c>
      <c r="Q684" t="s">
        <v>2169</v>
      </c>
      <c r="R684" t="s">
        <v>159</v>
      </c>
      <c r="S684">
        <v>231</v>
      </c>
      <c r="T684">
        <v>231</v>
      </c>
      <c r="U684">
        <v>412</v>
      </c>
      <c r="V684" t="s">
        <v>3804</v>
      </c>
      <c r="W684" t="s">
        <v>3815</v>
      </c>
      <c r="X684" t="s">
        <v>79</v>
      </c>
    </row>
    <row r="685" spans="1:24">
      <c r="A685">
        <v>42122</v>
      </c>
      <c r="B685" t="s">
        <v>3816</v>
      </c>
      <c r="C685" t="s">
        <v>10</v>
      </c>
      <c r="D685" t="s">
        <v>10</v>
      </c>
      <c r="G685">
        <v>3600</v>
      </c>
      <c r="H685">
        <v>40000</v>
      </c>
      <c r="I685" t="s">
        <v>3817</v>
      </c>
      <c r="J685" t="s">
        <v>10</v>
      </c>
      <c r="K685">
        <v>837</v>
      </c>
      <c r="L685">
        <v>3.2</v>
      </c>
      <c r="M685">
        <v>4211</v>
      </c>
      <c r="N685" t="s">
        <v>125</v>
      </c>
      <c r="O685">
        <v>1</v>
      </c>
      <c r="P685" t="s">
        <v>3818</v>
      </c>
      <c r="Q685" t="s">
        <v>2154</v>
      </c>
      <c r="R685" t="s">
        <v>2199</v>
      </c>
      <c r="S685">
        <v>4766</v>
      </c>
      <c r="T685">
        <v>4784</v>
      </c>
      <c r="U685">
        <v>421</v>
      </c>
      <c r="V685" t="s">
        <v>3819</v>
      </c>
      <c r="W685" t="s">
        <v>3820</v>
      </c>
      <c r="X685" t="s">
        <v>79</v>
      </c>
    </row>
    <row r="686" spans="1:24">
      <c r="A686">
        <v>42132</v>
      </c>
      <c r="B686" t="s">
        <v>3821</v>
      </c>
      <c r="C686" t="s">
        <v>10</v>
      </c>
      <c r="D686" t="s">
        <v>10</v>
      </c>
      <c r="G686">
        <v>18000</v>
      </c>
      <c r="H686">
        <v>1500000</v>
      </c>
      <c r="I686" t="s">
        <v>3321</v>
      </c>
      <c r="J686" t="s">
        <v>10</v>
      </c>
      <c r="K686">
        <v>330</v>
      </c>
      <c r="L686">
        <v>3.33</v>
      </c>
      <c r="M686">
        <v>4421</v>
      </c>
      <c r="N686" t="s">
        <v>125</v>
      </c>
      <c r="O686">
        <v>1</v>
      </c>
      <c r="P686" t="s">
        <v>3818</v>
      </c>
      <c r="Q686" t="s">
        <v>2154</v>
      </c>
      <c r="R686" t="s">
        <v>2199</v>
      </c>
      <c r="S686">
        <v>436</v>
      </c>
      <c r="T686">
        <v>445</v>
      </c>
      <c r="U686">
        <v>421</v>
      </c>
      <c r="V686" t="s">
        <v>3819</v>
      </c>
      <c r="W686" t="s">
        <v>3822</v>
      </c>
      <c r="X686" t="s">
        <v>79</v>
      </c>
    </row>
    <row r="687" spans="1:24">
      <c r="A687">
        <v>42135</v>
      </c>
      <c r="B687" t="s">
        <v>3823</v>
      </c>
      <c r="C687" t="s">
        <v>10</v>
      </c>
      <c r="D687" t="s">
        <v>10</v>
      </c>
      <c r="G687">
        <v>1900</v>
      </c>
      <c r="H687">
        <v>36000</v>
      </c>
      <c r="I687" t="s">
        <v>3824</v>
      </c>
      <c r="J687" t="s">
        <v>10</v>
      </c>
      <c r="K687">
        <v>1028</v>
      </c>
      <c r="L687">
        <v>3.25</v>
      </c>
      <c r="M687">
        <v>4221</v>
      </c>
      <c r="N687" t="s">
        <v>125</v>
      </c>
      <c r="O687">
        <v>1</v>
      </c>
      <c r="P687" t="s">
        <v>3818</v>
      </c>
      <c r="Q687" t="s">
        <v>2154</v>
      </c>
      <c r="R687" t="s">
        <v>2199</v>
      </c>
      <c r="S687">
        <v>407</v>
      </c>
      <c r="T687">
        <v>411</v>
      </c>
      <c r="U687">
        <v>421</v>
      </c>
      <c r="V687" t="s">
        <v>3819</v>
      </c>
      <c r="W687" t="s">
        <v>3825</v>
      </c>
      <c r="X687" t="s">
        <v>79</v>
      </c>
    </row>
    <row r="688" spans="1:24">
      <c r="A688">
        <v>42136</v>
      </c>
      <c r="B688" t="s">
        <v>3826</v>
      </c>
      <c r="C688" t="s">
        <v>10</v>
      </c>
      <c r="D688" t="s">
        <v>10</v>
      </c>
      <c r="G688">
        <v>1900</v>
      </c>
      <c r="H688">
        <v>36000</v>
      </c>
      <c r="I688" t="s">
        <v>3824</v>
      </c>
      <c r="J688" t="s">
        <v>10</v>
      </c>
      <c r="K688">
        <v>1028</v>
      </c>
      <c r="L688">
        <v>3.25</v>
      </c>
      <c r="M688">
        <v>4221</v>
      </c>
      <c r="N688" t="s">
        <v>125</v>
      </c>
      <c r="O688">
        <v>3</v>
      </c>
      <c r="P688" t="s">
        <v>3818</v>
      </c>
      <c r="Q688" t="s">
        <v>2154</v>
      </c>
      <c r="R688" t="s">
        <v>2199</v>
      </c>
      <c r="S688">
        <v>0</v>
      </c>
      <c r="T688">
        <v>0</v>
      </c>
      <c r="U688">
        <v>421</v>
      </c>
      <c r="V688" t="s">
        <v>3819</v>
      </c>
      <c r="W688" t="s">
        <v>3827</v>
      </c>
      <c r="X688" t="s">
        <v>79</v>
      </c>
    </row>
    <row r="689" spans="1:24">
      <c r="A689">
        <v>42137</v>
      </c>
      <c r="B689" t="s">
        <v>3828</v>
      </c>
      <c r="C689" t="s">
        <v>10</v>
      </c>
      <c r="D689" t="s">
        <v>10</v>
      </c>
      <c r="G689">
        <v>8200</v>
      </c>
      <c r="H689">
        <v>75000</v>
      </c>
      <c r="I689" t="s">
        <v>3829</v>
      </c>
      <c r="J689" t="s">
        <v>10</v>
      </c>
      <c r="K689">
        <v>223.3</v>
      </c>
      <c r="L689">
        <v>0.51</v>
      </c>
      <c r="M689">
        <v>4222</v>
      </c>
      <c r="N689" t="s">
        <v>125</v>
      </c>
      <c r="P689" t="s">
        <v>3818</v>
      </c>
      <c r="Q689" t="s">
        <v>2154</v>
      </c>
      <c r="R689" t="s">
        <v>159</v>
      </c>
      <c r="S689">
        <v>2</v>
      </c>
      <c r="T689">
        <v>2</v>
      </c>
      <c r="U689">
        <v>422</v>
      </c>
      <c r="V689" t="s">
        <v>3830</v>
      </c>
      <c r="W689" t="s">
        <v>3831</v>
      </c>
      <c r="X689" t="s">
        <v>79</v>
      </c>
    </row>
    <row r="690" spans="1:24">
      <c r="A690">
        <v>42142</v>
      </c>
      <c r="B690" t="s">
        <v>3832</v>
      </c>
      <c r="C690" t="s">
        <v>10</v>
      </c>
      <c r="D690" t="s">
        <v>10</v>
      </c>
      <c r="G690">
        <v>3600</v>
      </c>
      <c r="H690">
        <v>40000</v>
      </c>
      <c r="I690" t="s">
        <v>3817</v>
      </c>
      <c r="J690" t="s">
        <v>10</v>
      </c>
      <c r="K690">
        <v>837</v>
      </c>
      <c r="L690">
        <v>3.2</v>
      </c>
      <c r="M690">
        <v>4211</v>
      </c>
      <c r="N690" t="s">
        <v>125</v>
      </c>
      <c r="O690">
        <v>1</v>
      </c>
      <c r="P690" t="s">
        <v>3818</v>
      </c>
      <c r="Q690" t="s">
        <v>2154</v>
      </c>
      <c r="R690" t="s">
        <v>2199</v>
      </c>
      <c r="S690">
        <v>3</v>
      </c>
      <c r="T690">
        <v>3</v>
      </c>
      <c r="U690">
        <v>421</v>
      </c>
      <c r="V690" t="s">
        <v>3819</v>
      </c>
      <c r="W690" t="s">
        <v>3833</v>
      </c>
      <c r="X690" t="s">
        <v>79</v>
      </c>
    </row>
    <row r="691" spans="1:24">
      <c r="A691">
        <v>42148</v>
      </c>
      <c r="B691" t="s">
        <v>3834</v>
      </c>
      <c r="C691" t="s">
        <v>10</v>
      </c>
      <c r="D691" t="s">
        <v>10</v>
      </c>
      <c r="G691">
        <v>3600</v>
      </c>
      <c r="H691">
        <v>40000</v>
      </c>
      <c r="I691" t="s">
        <v>3817</v>
      </c>
      <c r="J691" t="s">
        <v>10</v>
      </c>
      <c r="K691">
        <v>837</v>
      </c>
      <c r="L691">
        <v>3.2</v>
      </c>
      <c r="M691">
        <v>4211</v>
      </c>
      <c r="N691" t="s">
        <v>125</v>
      </c>
      <c r="O691">
        <v>1</v>
      </c>
      <c r="P691" t="s">
        <v>3818</v>
      </c>
      <c r="Q691" t="s">
        <v>2154</v>
      </c>
      <c r="R691" t="s">
        <v>2199</v>
      </c>
      <c r="S691">
        <v>480</v>
      </c>
      <c r="T691">
        <v>483</v>
      </c>
      <c r="U691">
        <v>421</v>
      </c>
      <c r="V691" t="s">
        <v>3819</v>
      </c>
      <c r="W691" t="s">
        <v>3835</v>
      </c>
      <c r="X691" t="s">
        <v>79</v>
      </c>
    </row>
    <row r="692" spans="1:24">
      <c r="A692">
        <v>42162</v>
      </c>
      <c r="B692" t="s">
        <v>3836</v>
      </c>
      <c r="C692" t="s">
        <v>10</v>
      </c>
      <c r="D692" t="s">
        <v>10</v>
      </c>
      <c r="G692">
        <v>3600</v>
      </c>
      <c r="H692">
        <v>40000</v>
      </c>
      <c r="I692" t="s">
        <v>3817</v>
      </c>
      <c r="J692" t="s">
        <v>10</v>
      </c>
      <c r="K692">
        <v>837</v>
      </c>
      <c r="L692">
        <v>3.2</v>
      </c>
      <c r="M692">
        <v>4211</v>
      </c>
      <c r="N692" t="s">
        <v>125</v>
      </c>
      <c r="O692">
        <v>1</v>
      </c>
      <c r="P692" t="s">
        <v>3818</v>
      </c>
      <c r="Q692" t="s">
        <v>2154</v>
      </c>
      <c r="R692" t="s">
        <v>2199</v>
      </c>
      <c r="S692">
        <v>1</v>
      </c>
      <c r="T692">
        <v>1</v>
      </c>
      <c r="U692">
        <v>421</v>
      </c>
      <c r="V692" t="s">
        <v>3819</v>
      </c>
      <c r="W692" t="s">
        <v>3837</v>
      </c>
      <c r="X692" t="s">
        <v>79</v>
      </c>
    </row>
    <row r="693" spans="1:24">
      <c r="A693">
        <v>42182</v>
      </c>
      <c r="B693" t="s">
        <v>3838</v>
      </c>
      <c r="C693" t="s">
        <v>10</v>
      </c>
      <c r="D693" t="s">
        <v>10</v>
      </c>
      <c r="G693">
        <v>3600</v>
      </c>
      <c r="H693">
        <v>40000</v>
      </c>
      <c r="I693" t="s">
        <v>3817</v>
      </c>
      <c r="J693" t="s">
        <v>10</v>
      </c>
      <c r="K693">
        <v>837</v>
      </c>
      <c r="L693">
        <v>3.2</v>
      </c>
      <c r="M693">
        <v>4211</v>
      </c>
      <c r="N693" t="s">
        <v>125</v>
      </c>
      <c r="O693">
        <v>2</v>
      </c>
      <c r="P693" t="s">
        <v>2608</v>
      </c>
      <c r="Q693" t="s">
        <v>2460</v>
      </c>
      <c r="R693" t="s">
        <v>2199</v>
      </c>
      <c r="S693">
        <v>224</v>
      </c>
      <c r="T693">
        <v>224</v>
      </c>
      <c r="U693">
        <v>421</v>
      </c>
      <c r="V693" t="s">
        <v>3819</v>
      </c>
      <c r="W693" t="s">
        <v>3839</v>
      </c>
      <c r="X693" t="s">
        <v>79</v>
      </c>
    </row>
    <row r="694" spans="1:24">
      <c r="A694">
        <v>42310</v>
      </c>
      <c r="B694" t="s">
        <v>3840</v>
      </c>
      <c r="C694" t="s">
        <v>2176</v>
      </c>
      <c r="F694" t="s">
        <v>2176</v>
      </c>
      <c r="G694">
        <v>7000</v>
      </c>
      <c r="H694">
        <v>60000</v>
      </c>
      <c r="I694" t="s">
        <v>3841</v>
      </c>
      <c r="J694" t="s">
        <v>2176</v>
      </c>
      <c r="K694">
        <v>11.85</v>
      </c>
      <c r="L694">
        <v>0.11</v>
      </c>
      <c r="M694">
        <v>4231</v>
      </c>
      <c r="N694" t="s">
        <v>125</v>
      </c>
      <c r="O694">
        <v>3</v>
      </c>
      <c r="P694" t="s">
        <v>2608</v>
      </c>
      <c r="Q694" t="s">
        <v>2460</v>
      </c>
      <c r="R694" t="s">
        <v>159</v>
      </c>
      <c r="S694">
        <v>1</v>
      </c>
      <c r="T694">
        <v>1</v>
      </c>
      <c r="U694">
        <v>423</v>
      </c>
      <c r="V694" t="s">
        <v>3842</v>
      </c>
      <c r="W694" t="s">
        <v>3843</v>
      </c>
      <c r="X694" t="s">
        <v>79</v>
      </c>
    </row>
    <row r="695" spans="1:24">
      <c r="A695">
        <v>42320</v>
      </c>
      <c r="B695" t="s">
        <v>3844</v>
      </c>
      <c r="C695" t="s">
        <v>2165</v>
      </c>
      <c r="E695" t="s">
        <v>2165</v>
      </c>
      <c r="F695" t="s">
        <v>2166</v>
      </c>
      <c r="G695">
        <v>2</v>
      </c>
      <c r="H695">
        <v>6</v>
      </c>
      <c r="I695" t="s">
        <v>2179</v>
      </c>
      <c r="J695" t="s">
        <v>2166</v>
      </c>
      <c r="K695">
        <v>804068.95</v>
      </c>
      <c r="L695">
        <v>1077.49</v>
      </c>
      <c r="M695">
        <v>1221</v>
      </c>
      <c r="N695" t="s">
        <v>125</v>
      </c>
      <c r="O695">
        <v>3</v>
      </c>
      <c r="P695" t="s">
        <v>2608</v>
      </c>
      <c r="Q695" t="s">
        <v>2460</v>
      </c>
      <c r="R695" t="s">
        <v>159</v>
      </c>
      <c r="S695">
        <v>3</v>
      </c>
      <c r="T695">
        <v>3</v>
      </c>
      <c r="U695">
        <v>423</v>
      </c>
      <c r="V695" t="s">
        <v>3842</v>
      </c>
      <c r="W695" t="s">
        <v>3845</v>
      </c>
      <c r="X695" t="s">
        <v>79</v>
      </c>
    </row>
    <row r="696" spans="1:24">
      <c r="A696">
        <v>42410</v>
      </c>
      <c r="B696" t="s">
        <v>3846</v>
      </c>
      <c r="C696" t="s">
        <v>10</v>
      </c>
      <c r="D696" t="s">
        <v>10</v>
      </c>
      <c r="E696" t="s">
        <v>3847</v>
      </c>
      <c r="F696" t="s">
        <v>3848</v>
      </c>
      <c r="G696">
        <v>1100</v>
      </c>
      <c r="H696">
        <v>8500</v>
      </c>
      <c r="I696" t="s">
        <v>3849</v>
      </c>
      <c r="J696" t="s">
        <v>10</v>
      </c>
      <c r="K696">
        <v>484.92</v>
      </c>
      <c r="L696">
        <v>7.99</v>
      </c>
      <c r="M696">
        <v>4241</v>
      </c>
      <c r="N696" t="s">
        <v>125</v>
      </c>
      <c r="O696">
        <v>3</v>
      </c>
      <c r="P696" t="s">
        <v>3818</v>
      </c>
      <c r="Q696" t="s">
        <v>2154</v>
      </c>
      <c r="R696" t="s">
        <v>2199</v>
      </c>
      <c r="S696">
        <v>4</v>
      </c>
      <c r="T696">
        <v>5</v>
      </c>
      <c r="U696">
        <v>424</v>
      </c>
      <c r="V696" t="s">
        <v>3850</v>
      </c>
      <c r="W696" t="s">
        <v>3851</v>
      </c>
      <c r="X696" t="s">
        <v>79</v>
      </c>
    </row>
    <row r="697" spans="1:24">
      <c r="A697">
        <v>42510</v>
      </c>
      <c r="B697" t="s">
        <v>3852</v>
      </c>
      <c r="C697" t="s">
        <v>2097</v>
      </c>
      <c r="D697" t="s">
        <v>2097</v>
      </c>
      <c r="G697">
        <v>530</v>
      </c>
      <c r="H697">
        <v>160000</v>
      </c>
      <c r="I697" t="s">
        <v>2583</v>
      </c>
      <c r="J697" t="s">
        <v>2097</v>
      </c>
      <c r="K697">
        <v>76.33</v>
      </c>
      <c r="L697">
        <v>1.8</v>
      </c>
      <c r="M697">
        <v>8526</v>
      </c>
      <c r="N697" t="s">
        <v>125</v>
      </c>
      <c r="O697">
        <v>3</v>
      </c>
      <c r="P697" t="s">
        <v>3818</v>
      </c>
      <c r="Q697" t="s">
        <v>2154</v>
      </c>
      <c r="R697" t="s">
        <v>2102</v>
      </c>
      <c r="S697">
        <v>101</v>
      </c>
      <c r="T697">
        <v>103</v>
      </c>
      <c r="U697">
        <v>425</v>
      </c>
      <c r="V697" t="s">
        <v>3853</v>
      </c>
      <c r="W697" t="s">
        <v>3854</v>
      </c>
      <c r="X697" t="s">
        <v>79</v>
      </c>
    </row>
    <row r="698" spans="1:24">
      <c r="A698">
        <v>42511</v>
      </c>
      <c r="B698" t="s">
        <v>3855</v>
      </c>
      <c r="C698" t="s">
        <v>2097</v>
      </c>
      <c r="D698" t="s">
        <v>2097</v>
      </c>
      <c r="G698">
        <v>530</v>
      </c>
      <c r="H698">
        <v>160000</v>
      </c>
      <c r="I698" t="s">
        <v>2583</v>
      </c>
      <c r="J698" t="s">
        <v>2097</v>
      </c>
      <c r="K698">
        <v>76.33</v>
      </c>
      <c r="L698">
        <v>1.8</v>
      </c>
      <c r="M698">
        <v>8526</v>
      </c>
      <c r="N698" t="s">
        <v>79</v>
      </c>
      <c r="O698">
        <v>3</v>
      </c>
      <c r="P698" t="s">
        <v>3818</v>
      </c>
      <c r="Q698" t="s">
        <v>2154</v>
      </c>
      <c r="R698" t="s">
        <v>2102</v>
      </c>
      <c r="S698">
        <v>290</v>
      </c>
      <c r="T698">
        <v>291</v>
      </c>
      <c r="U698">
        <v>425</v>
      </c>
      <c r="V698" t="s">
        <v>3853</v>
      </c>
      <c r="W698" t="s">
        <v>3856</v>
      </c>
      <c r="X698" t="s">
        <v>79</v>
      </c>
    </row>
    <row r="699" spans="1:24">
      <c r="A699">
        <v>42520</v>
      </c>
      <c r="B699" t="s">
        <v>3857</v>
      </c>
      <c r="C699" t="s">
        <v>2097</v>
      </c>
      <c r="D699" t="s">
        <v>2097</v>
      </c>
      <c r="G699">
        <v>530</v>
      </c>
      <c r="H699">
        <v>160000</v>
      </c>
      <c r="I699" t="s">
        <v>2583</v>
      </c>
      <c r="J699" t="s">
        <v>2097</v>
      </c>
      <c r="K699">
        <v>76.33</v>
      </c>
      <c r="L699">
        <v>1.8</v>
      </c>
      <c r="M699">
        <v>8526</v>
      </c>
      <c r="N699" t="s">
        <v>125</v>
      </c>
      <c r="O699">
        <v>1</v>
      </c>
      <c r="P699" t="s">
        <v>2550</v>
      </c>
      <c r="Q699" t="s">
        <v>2169</v>
      </c>
      <c r="R699" t="s">
        <v>2102</v>
      </c>
      <c r="S699">
        <v>2</v>
      </c>
      <c r="T699">
        <v>2</v>
      </c>
      <c r="U699">
        <v>425</v>
      </c>
      <c r="V699" t="s">
        <v>3853</v>
      </c>
      <c r="W699" t="s">
        <v>3858</v>
      </c>
      <c r="X699" t="s">
        <v>79</v>
      </c>
    </row>
    <row r="700" spans="1:24">
      <c r="A700">
        <v>42530</v>
      </c>
      <c r="B700" t="s">
        <v>3859</v>
      </c>
      <c r="C700" t="s">
        <v>2097</v>
      </c>
      <c r="D700" t="s">
        <v>2097</v>
      </c>
      <c r="G700">
        <v>530</v>
      </c>
      <c r="H700">
        <v>160000</v>
      </c>
      <c r="I700" t="s">
        <v>2583</v>
      </c>
      <c r="J700" t="s">
        <v>2097</v>
      </c>
      <c r="K700">
        <v>76.33</v>
      </c>
      <c r="L700">
        <v>1.8</v>
      </c>
      <c r="M700">
        <v>8526</v>
      </c>
      <c r="N700" t="s">
        <v>125</v>
      </c>
      <c r="P700" t="s">
        <v>3818</v>
      </c>
      <c r="Q700" t="s">
        <v>2154</v>
      </c>
      <c r="R700" t="s">
        <v>2102</v>
      </c>
      <c r="S700">
        <v>33</v>
      </c>
      <c r="T700">
        <v>33</v>
      </c>
      <c r="U700">
        <v>425</v>
      </c>
      <c r="V700" t="s">
        <v>3853</v>
      </c>
      <c r="W700" t="s">
        <v>3860</v>
      </c>
      <c r="X700" t="s">
        <v>79</v>
      </c>
    </row>
    <row r="701" spans="1:24">
      <c r="A701">
        <v>43110</v>
      </c>
      <c r="B701" t="s">
        <v>3861</v>
      </c>
      <c r="C701" t="s">
        <v>10</v>
      </c>
      <c r="D701" t="s">
        <v>10</v>
      </c>
      <c r="E701" t="s">
        <v>3847</v>
      </c>
      <c r="F701" t="s">
        <v>3862</v>
      </c>
      <c r="G701">
        <v>22000</v>
      </c>
      <c r="H701">
        <v>190000</v>
      </c>
      <c r="I701" t="s">
        <v>3863</v>
      </c>
      <c r="J701" t="s">
        <v>10</v>
      </c>
      <c r="K701">
        <v>452.82</v>
      </c>
      <c r="L701">
        <v>3.82</v>
      </c>
      <c r="M701">
        <v>4311</v>
      </c>
      <c r="N701" t="s">
        <v>125</v>
      </c>
      <c r="O701">
        <v>1</v>
      </c>
      <c r="P701" t="s">
        <v>2550</v>
      </c>
      <c r="Q701" t="s">
        <v>2169</v>
      </c>
      <c r="R701" t="s">
        <v>2199</v>
      </c>
      <c r="S701">
        <v>20</v>
      </c>
      <c r="T701">
        <v>44</v>
      </c>
      <c r="U701">
        <v>431</v>
      </c>
      <c r="V701" t="s">
        <v>3864</v>
      </c>
      <c r="W701" t="s">
        <v>3865</v>
      </c>
      <c r="X701" t="s">
        <v>79</v>
      </c>
    </row>
    <row r="702" spans="1:24">
      <c r="A702">
        <v>44110</v>
      </c>
      <c r="B702" t="s">
        <v>3866</v>
      </c>
      <c r="C702" t="s">
        <v>10</v>
      </c>
      <c r="D702" t="s">
        <v>10</v>
      </c>
      <c r="E702" t="s">
        <v>3847</v>
      </c>
      <c r="F702" t="s">
        <v>3862</v>
      </c>
      <c r="G702">
        <v>18000</v>
      </c>
      <c r="H702">
        <v>1500000</v>
      </c>
      <c r="I702" t="s">
        <v>3321</v>
      </c>
      <c r="J702" t="s">
        <v>10</v>
      </c>
      <c r="K702">
        <v>330</v>
      </c>
      <c r="L702">
        <v>3.33</v>
      </c>
      <c r="M702">
        <v>4421</v>
      </c>
      <c r="N702" t="s">
        <v>125</v>
      </c>
      <c r="O702">
        <v>1</v>
      </c>
      <c r="P702" t="s">
        <v>2550</v>
      </c>
      <c r="Q702" t="s">
        <v>2169</v>
      </c>
      <c r="R702" t="s">
        <v>2199</v>
      </c>
      <c r="S702">
        <v>849</v>
      </c>
      <c r="T702">
        <v>1128</v>
      </c>
      <c r="U702">
        <v>441</v>
      </c>
      <c r="V702" t="s">
        <v>3242</v>
      </c>
      <c r="W702" t="s">
        <v>3867</v>
      </c>
      <c r="X702" t="s">
        <v>79</v>
      </c>
    </row>
    <row r="703" spans="1:24">
      <c r="A703">
        <v>44111</v>
      </c>
      <c r="B703" t="s">
        <v>3868</v>
      </c>
      <c r="C703" t="s">
        <v>10</v>
      </c>
      <c r="D703" t="s">
        <v>10</v>
      </c>
      <c r="E703" t="s">
        <v>3847</v>
      </c>
      <c r="F703" t="s">
        <v>3862</v>
      </c>
      <c r="G703">
        <v>18000</v>
      </c>
      <c r="H703">
        <v>1500000</v>
      </c>
      <c r="I703" t="s">
        <v>3321</v>
      </c>
      <c r="J703" t="s">
        <v>10</v>
      </c>
      <c r="K703">
        <v>330</v>
      </c>
      <c r="L703">
        <v>3.33</v>
      </c>
      <c r="M703">
        <v>4421</v>
      </c>
      <c r="N703" t="s">
        <v>125</v>
      </c>
      <c r="O703">
        <v>1</v>
      </c>
      <c r="P703" t="s">
        <v>2550</v>
      </c>
      <c r="Q703" t="s">
        <v>2169</v>
      </c>
      <c r="R703" t="s">
        <v>2199</v>
      </c>
      <c r="S703">
        <v>45</v>
      </c>
      <c r="T703">
        <v>56</v>
      </c>
      <c r="U703">
        <v>441</v>
      </c>
      <c r="V703" t="s">
        <v>3242</v>
      </c>
      <c r="W703" t="s">
        <v>3869</v>
      </c>
      <c r="X703" t="s">
        <v>79</v>
      </c>
    </row>
    <row r="704" spans="1:24">
      <c r="A704">
        <v>44112</v>
      </c>
      <c r="B704" t="s">
        <v>3870</v>
      </c>
      <c r="C704" t="s">
        <v>10</v>
      </c>
      <c r="D704" t="s">
        <v>10</v>
      </c>
      <c r="E704" t="s">
        <v>3847</v>
      </c>
      <c r="F704" t="s">
        <v>3862</v>
      </c>
      <c r="G704">
        <v>18000</v>
      </c>
      <c r="H704">
        <v>1500000</v>
      </c>
      <c r="I704" t="s">
        <v>3321</v>
      </c>
      <c r="J704" t="s">
        <v>10</v>
      </c>
      <c r="K704">
        <v>330</v>
      </c>
      <c r="L704">
        <v>3.33</v>
      </c>
      <c r="M704">
        <v>4421</v>
      </c>
      <c r="N704" t="s">
        <v>125</v>
      </c>
      <c r="O704">
        <v>1</v>
      </c>
      <c r="P704" t="s">
        <v>2550</v>
      </c>
      <c r="Q704" t="s">
        <v>2169</v>
      </c>
      <c r="R704" t="s">
        <v>2199</v>
      </c>
      <c r="S704">
        <v>588</v>
      </c>
      <c r="T704">
        <v>835</v>
      </c>
      <c r="U704">
        <v>441</v>
      </c>
      <c r="V704" t="s">
        <v>3242</v>
      </c>
      <c r="W704" t="s">
        <v>3871</v>
      </c>
      <c r="X704" t="s">
        <v>79</v>
      </c>
    </row>
    <row r="705" spans="1:24">
      <c r="A705">
        <v>44113</v>
      </c>
      <c r="B705" t="s">
        <v>3872</v>
      </c>
      <c r="C705" t="s">
        <v>10</v>
      </c>
      <c r="D705" t="s">
        <v>10</v>
      </c>
      <c r="E705" t="s">
        <v>3847</v>
      </c>
      <c r="F705" t="s">
        <v>3862</v>
      </c>
      <c r="G705">
        <v>47000</v>
      </c>
      <c r="H705">
        <v>1400000</v>
      </c>
      <c r="I705" t="s">
        <v>3873</v>
      </c>
      <c r="J705" t="s">
        <v>10</v>
      </c>
      <c r="K705">
        <v>371</v>
      </c>
      <c r="L705">
        <v>2.2599999999999998</v>
      </c>
      <c r="M705">
        <v>4411</v>
      </c>
      <c r="N705" t="s">
        <v>125</v>
      </c>
      <c r="O705">
        <v>1</v>
      </c>
      <c r="P705" t="s">
        <v>2550</v>
      </c>
      <c r="Q705" t="s">
        <v>2169</v>
      </c>
      <c r="R705" t="s">
        <v>2199</v>
      </c>
      <c r="S705">
        <v>41</v>
      </c>
      <c r="T705">
        <v>51</v>
      </c>
      <c r="U705">
        <v>441</v>
      </c>
      <c r="V705" t="s">
        <v>3242</v>
      </c>
      <c r="W705" t="s">
        <v>3874</v>
      </c>
      <c r="X705" t="s">
        <v>79</v>
      </c>
    </row>
    <row r="706" spans="1:24">
      <c r="A706">
        <v>44114</v>
      </c>
      <c r="B706" t="s">
        <v>3875</v>
      </c>
      <c r="C706" t="s">
        <v>10</v>
      </c>
      <c r="D706" t="s">
        <v>10</v>
      </c>
      <c r="E706" t="s">
        <v>3847</v>
      </c>
      <c r="F706" t="s">
        <v>3862</v>
      </c>
      <c r="G706">
        <v>47000</v>
      </c>
      <c r="H706">
        <v>1400000</v>
      </c>
      <c r="I706" t="s">
        <v>3873</v>
      </c>
      <c r="J706" t="s">
        <v>10</v>
      </c>
      <c r="K706">
        <v>371</v>
      </c>
      <c r="L706">
        <v>2.2599999999999998</v>
      </c>
      <c r="M706">
        <v>4411</v>
      </c>
      <c r="N706" t="s">
        <v>125</v>
      </c>
      <c r="O706">
        <v>1</v>
      </c>
      <c r="P706" t="s">
        <v>2550</v>
      </c>
      <c r="Q706" t="s">
        <v>2169</v>
      </c>
      <c r="R706" t="s">
        <v>2199</v>
      </c>
      <c r="S706">
        <v>7</v>
      </c>
      <c r="T706">
        <v>8</v>
      </c>
      <c r="U706">
        <v>441</v>
      </c>
      <c r="V706" t="s">
        <v>3242</v>
      </c>
      <c r="W706" t="s">
        <v>3876</v>
      </c>
      <c r="X706" t="s">
        <v>79</v>
      </c>
    </row>
    <row r="707" spans="1:24">
      <c r="A707">
        <v>44120</v>
      </c>
      <c r="B707" t="s">
        <v>3877</v>
      </c>
      <c r="C707" t="s">
        <v>10</v>
      </c>
      <c r="D707" t="s">
        <v>10</v>
      </c>
      <c r="E707" t="s">
        <v>3847</v>
      </c>
      <c r="F707" t="s">
        <v>3862</v>
      </c>
      <c r="G707">
        <v>73000</v>
      </c>
      <c r="H707">
        <v>600000</v>
      </c>
      <c r="I707" t="s">
        <v>3878</v>
      </c>
      <c r="J707" t="s">
        <v>10</v>
      </c>
      <c r="K707">
        <v>147.43</v>
      </c>
      <c r="L707">
        <v>2.15</v>
      </c>
      <c r="M707">
        <v>4424</v>
      </c>
      <c r="N707" t="s">
        <v>125</v>
      </c>
      <c r="O707">
        <v>1</v>
      </c>
      <c r="P707" t="s">
        <v>2550</v>
      </c>
      <c r="Q707" t="s">
        <v>2169</v>
      </c>
      <c r="R707" t="s">
        <v>2199</v>
      </c>
      <c r="S707">
        <v>80</v>
      </c>
      <c r="T707">
        <v>117</v>
      </c>
      <c r="U707">
        <v>441</v>
      </c>
      <c r="V707" t="s">
        <v>3242</v>
      </c>
      <c r="W707" t="s">
        <v>3879</v>
      </c>
      <c r="X707" t="s">
        <v>79</v>
      </c>
    </row>
    <row r="708" spans="1:24">
      <c r="A708">
        <v>44130</v>
      </c>
      <c r="B708" t="s">
        <v>3880</v>
      </c>
      <c r="C708" t="s">
        <v>10</v>
      </c>
      <c r="D708" t="s">
        <v>10</v>
      </c>
      <c r="E708" t="s">
        <v>3847</v>
      </c>
      <c r="F708" t="s">
        <v>3862</v>
      </c>
      <c r="G708">
        <v>1900</v>
      </c>
      <c r="H708">
        <v>190000</v>
      </c>
      <c r="I708" t="s">
        <v>3881</v>
      </c>
      <c r="J708" t="s">
        <v>10</v>
      </c>
      <c r="K708">
        <v>693.84</v>
      </c>
      <c r="L708">
        <v>6.07</v>
      </c>
      <c r="M708">
        <v>4423</v>
      </c>
      <c r="N708" t="s">
        <v>125</v>
      </c>
      <c r="O708">
        <v>1</v>
      </c>
      <c r="P708" t="s">
        <v>2550</v>
      </c>
      <c r="Q708" t="s">
        <v>2169</v>
      </c>
      <c r="R708" t="s">
        <v>2199</v>
      </c>
      <c r="S708">
        <v>300</v>
      </c>
      <c r="T708">
        <v>345</v>
      </c>
      <c r="U708">
        <v>441</v>
      </c>
      <c r="V708" t="s">
        <v>3242</v>
      </c>
      <c r="W708" t="s">
        <v>3882</v>
      </c>
      <c r="X708" t="s">
        <v>79</v>
      </c>
    </row>
    <row r="709" spans="1:24">
      <c r="A709">
        <v>44135</v>
      </c>
      <c r="B709" t="s">
        <v>3883</v>
      </c>
      <c r="C709" t="s">
        <v>10</v>
      </c>
      <c r="D709" t="s">
        <v>10</v>
      </c>
      <c r="E709" t="s">
        <v>3847</v>
      </c>
      <c r="F709" t="s">
        <v>3862</v>
      </c>
      <c r="G709">
        <v>5500</v>
      </c>
      <c r="H709">
        <v>400000</v>
      </c>
      <c r="I709" t="s">
        <v>2536</v>
      </c>
      <c r="J709" t="s">
        <v>10</v>
      </c>
      <c r="K709">
        <v>195.5</v>
      </c>
      <c r="L709">
        <v>1.49</v>
      </c>
      <c r="M709">
        <v>4422</v>
      </c>
      <c r="N709" t="s">
        <v>125</v>
      </c>
      <c r="O709">
        <v>1</v>
      </c>
      <c r="P709" t="s">
        <v>2550</v>
      </c>
      <c r="Q709" t="s">
        <v>2169</v>
      </c>
      <c r="R709" t="s">
        <v>159</v>
      </c>
      <c r="S709">
        <v>715</v>
      </c>
      <c r="T709">
        <v>742</v>
      </c>
      <c r="U709">
        <v>441</v>
      </c>
      <c r="V709" t="s">
        <v>3242</v>
      </c>
      <c r="W709" t="s">
        <v>3884</v>
      </c>
      <c r="X709" t="s">
        <v>79</v>
      </c>
    </row>
    <row r="710" spans="1:24">
      <c r="A710">
        <v>44140</v>
      </c>
      <c r="B710" t="s">
        <v>3885</v>
      </c>
      <c r="C710" t="s">
        <v>10</v>
      </c>
      <c r="D710" t="s">
        <v>10</v>
      </c>
      <c r="E710" t="s">
        <v>3847</v>
      </c>
      <c r="F710" t="s">
        <v>3862</v>
      </c>
      <c r="G710">
        <v>18000</v>
      </c>
      <c r="H710">
        <v>1500000</v>
      </c>
      <c r="I710" t="s">
        <v>3321</v>
      </c>
      <c r="J710" t="s">
        <v>10</v>
      </c>
      <c r="K710">
        <v>330</v>
      </c>
      <c r="L710">
        <v>3.33</v>
      </c>
      <c r="M710">
        <v>4421</v>
      </c>
      <c r="N710" t="s">
        <v>125</v>
      </c>
      <c r="O710">
        <v>1</v>
      </c>
      <c r="P710" t="s">
        <v>2550</v>
      </c>
      <c r="Q710" t="s">
        <v>2169</v>
      </c>
      <c r="R710" t="s">
        <v>2199</v>
      </c>
      <c r="S710">
        <v>20</v>
      </c>
      <c r="T710">
        <v>20</v>
      </c>
      <c r="U710">
        <v>441</v>
      </c>
      <c r="V710" t="s">
        <v>3242</v>
      </c>
      <c r="W710" t="s">
        <v>3886</v>
      </c>
      <c r="X710" t="s">
        <v>79</v>
      </c>
    </row>
    <row r="711" spans="1:24">
      <c r="A711">
        <v>44170</v>
      </c>
      <c r="B711" t="s">
        <v>3887</v>
      </c>
      <c r="C711" t="s">
        <v>10</v>
      </c>
      <c r="D711" t="s">
        <v>10</v>
      </c>
      <c r="E711" t="s">
        <v>3847</v>
      </c>
      <c r="F711" t="s">
        <v>3848</v>
      </c>
      <c r="G711">
        <v>18000</v>
      </c>
      <c r="H711">
        <v>1500000</v>
      </c>
      <c r="I711" t="s">
        <v>3321</v>
      </c>
      <c r="J711" t="s">
        <v>10</v>
      </c>
      <c r="K711">
        <v>330</v>
      </c>
      <c r="L711">
        <v>3.33</v>
      </c>
      <c r="M711">
        <v>4421</v>
      </c>
      <c r="N711" t="s">
        <v>125</v>
      </c>
      <c r="O711">
        <v>1</v>
      </c>
      <c r="P711" t="s">
        <v>2550</v>
      </c>
      <c r="Q711" t="s">
        <v>2169</v>
      </c>
      <c r="R711" t="s">
        <v>2199</v>
      </c>
      <c r="S711">
        <v>57</v>
      </c>
      <c r="T711">
        <v>69</v>
      </c>
      <c r="U711">
        <v>441</v>
      </c>
      <c r="V711" t="s">
        <v>3242</v>
      </c>
      <c r="W711" t="s">
        <v>3888</v>
      </c>
      <c r="X711" t="s">
        <v>79</v>
      </c>
    </row>
    <row r="712" spans="1:24">
      <c r="A712">
        <v>44171</v>
      </c>
      <c r="B712" t="s">
        <v>3889</v>
      </c>
      <c r="C712" t="s">
        <v>10</v>
      </c>
      <c r="D712" t="s">
        <v>10</v>
      </c>
      <c r="E712" t="s">
        <v>3847</v>
      </c>
      <c r="F712" t="s">
        <v>3862</v>
      </c>
      <c r="G712">
        <v>18000</v>
      </c>
      <c r="H712">
        <v>1500000</v>
      </c>
      <c r="I712" t="s">
        <v>3321</v>
      </c>
      <c r="J712" t="s">
        <v>10</v>
      </c>
      <c r="K712">
        <v>330</v>
      </c>
      <c r="L712">
        <v>3.33</v>
      </c>
      <c r="M712">
        <v>4421</v>
      </c>
      <c r="N712" t="s">
        <v>125</v>
      </c>
      <c r="O712">
        <v>1</v>
      </c>
      <c r="P712" t="s">
        <v>2550</v>
      </c>
      <c r="Q712" t="s">
        <v>2169</v>
      </c>
      <c r="R712" t="s">
        <v>2199</v>
      </c>
      <c r="S712">
        <v>13</v>
      </c>
      <c r="T712">
        <v>17</v>
      </c>
      <c r="U712">
        <v>441</v>
      </c>
      <c r="V712" t="s">
        <v>3242</v>
      </c>
      <c r="W712" t="s">
        <v>3890</v>
      </c>
      <c r="X712" t="s">
        <v>79</v>
      </c>
    </row>
    <row r="713" spans="1:24">
      <c r="A713">
        <v>44172</v>
      </c>
      <c r="B713" t="s">
        <v>3891</v>
      </c>
      <c r="C713" t="s">
        <v>10</v>
      </c>
      <c r="D713" t="s">
        <v>10</v>
      </c>
      <c r="E713" t="s">
        <v>3847</v>
      </c>
      <c r="F713" t="s">
        <v>3862</v>
      </c>
      <c r="G713">
        <v>18000</v>
      </c>
      <c r="H713">
        <v>1500000</v>
      </c>
      <c r="I713" t="s">
        <v>3321</v>
      </c>
      <c r="J713" t="s">
        <v>10</v>
      </c>
      <c r="K713">
        <v>330</v>
      </c>
      <c r="L713">
        <v>3.33</v>
      </c>
      <c r="M713">
        <v>4421</v>
      </c>
      <c r="N713" t="s">
        <v>125</v>
      </c>
      <c r="O713">
        <v>1</v>
      </c>
      <c r="P713" t="s">
        <v>2550</v>
      </c>
      <c r="Q713" t="s">
        <v>2169</v>
      </c>
      <c r="R713" t="s">
        <v>2199</v>
      </c>
      <c r="S713">
        <v>17</v>
      </c>
      <c r="T713">
        <v>51</v>
      </c>
      <c r="U713">
        <v>441</v>
      </c>
      <c r="V713" t="s">
        <v>3242</v>
      </c>
      <c r="W713" t="s">
        <v>3892</v>
      </c>
      <c r="X713" t="s">
        <v>79</v>
      </c>
    </row>
    <row r="714" spans="1:24">
      <c r="A714">
        <v>44173</v>
      </c>
      <c r="B714" t="s">
        <v>3893</v>
      </c>
      <c r="C714" t="s">
        <v>10</v>
      </c>
      <c r="D714" t="s">
        <v>10</v>
      </c>
      <c r="E714" t="s">
        <v>3847</v>
      </c>
      <c r="F714" t="s">
        <v>3862</v>
      </c>
      <c r="G714">
        <v>18000</v>
      </c>
      <c r="H714">
        <v>1500000</v>
      </c>
      <c r="I714" t="s">
        <v>3321</v>
      </c>
      <c r="J714" t="s">
        <v>10</v>
      </c>
      <c r="K714">
        <v>330</v>
      </c>
      <c r="L714">
        <v>3.33</v>
      </c>
      <c r="M714">
        <v>4421</v>
      </c>
      <c r="N714" t="s">
        <v>125</v>
      </c>
      <c r="O714">
        <v>1</v>
      </c>
      <c r="P714" t="s">
        <v>2550</v>
      </c>
      <c r="Q714" t="s">
        <v>2169</v>
      </c>
      <c r="R714" t="s">
        <v>2199</v>
      </c>
      <c r="S714">
        <v>9</v>
      </c>
      <c r="T714">
        <v>14</v>
      </c>
      <c r="U714">
        <v>441</v>
      </c>
      <c r="V714" t="s">
        <v>3242</v>
      </c>
      <c r="W714" t="s">
        <v>3894</v>
      </c>
      <c r="X714" t="s">
        <v>79</v>
      </c>
    </row>
    <row r="715" spans="1:24">
      <c r="A715">
        <v>45110</v>
      </c>
      <c r="B715" t="s">
        <v>3895</v>
      </c>
      <c r="C715" t="s">
        <v>2097</v>
      </c>
      <c r="D715" t="s">
        <v>2097</v>
      </c>
      <c r="F715" t="s">
        <v>3848</v>
      </c>
      <c r="G715">
        <v>7500</v>
      </c>
      <c r="H715">
        <v>490000</v>
      </c>
      <c r="I715" t="s">
        <v>3896</v>
      </c>
      <c r="J715" t="s">
        <v>2097</v>
      </c>
      <c r="K715">
        <v>145.76</v>
      </c>
      <c r="L715">
        <v>0.19</v>
      </c>
      <c r="M715">
        <v>4521</v>
      </c>
      <c r="N715" t="s">
        <v>125</v>
      </c>
      <c r="O715">
        <v>1</v>
      </c>
      <c r="P715" t="s">
        <v>2550</v>
      </c>
      <c r="Q715" t="s">
        <v>2169</v>
      </c>
      <c r="R715" t="s">
        <v>159</v>
      </c>
      <c r="S715">
        <v>412</v>
      </c>
      <c r="T715">
        <v>481</v>
      </c>
      <c r="U715">
        <v>451</v>
      </c>
      <c r="V715" t="s">
        <v>3897</v>
      </c>
      <c r="W715" t="s">
        <v>3898</v>
      </c>
      <c r="X715" t="s">
        <v>79</v>
      </c>
    </row>
    <row r="716" spans="1:24">
      <c r="A716">
        <v>45170</v>
      </c>
      <c r="B716" t="s">
        <v>3899</v>
      </c>
      <c r="C716" t="s">
        <v>2097</v>
      </c>
      <c r="D716" t="s">
        <v>2097</v>
      </c>
      <c r="F716" t="s">
        <v>3848</v>
      </c>
      <c r="G716">
        <v>7500</v>
      </c>
      <c r="H716">
        <v>490000</v>
      </c>
      <c r="I716" t="s">
        <v>3896</v>
      </c>
      <c r="J716" t="s">
        <v>2097</v>
      </c>
      <c r="K716">
        <v>145.76</v>
      </c>
      <c r="L716">
        <v>0.19</v>
      </c>
      <c r="M716">
        <v>4521</v>
      </c>
      <c r="N716" t="s">
        <v>125</v>
      </c>
      <c r="P716" t="s">
        <v>2550</v>
      </c>
      <c r="Q716" t="s">
        <v>2169</v>
      </c>
      <c r="R716" t="s">
        <v>159</v>
      </c>
      <c r="S716">
        <v>37</v>
      </c>
      <c r="T716">
        <v>37</v>
      </c>
      <c r="U716">
        <v>451</v>
      </c>
      <c r="V716" t="s">
        <v>3897</v>
      </c>
      <c r="W716" t="s">
        <v>3900</v>
      </c>
      <c r="X716" t="s">
        <v>79</v>
      </c>
    </row>
    <row r="717" spans="1:24">
      <c r="A717">
        <v>51010</v>
      </c>
      <c r="B717" t="s">
        <v>3901</v>
      </c>
      <c r="C717" t="s">
        <v>3902</v>
      </c>
      <c r="D717" t="s">
        <v>10</v>
      </c>
      <c r="E717" t="s">
        <v>3903</v>
      </c>
      <c r="F717" t="s">
        <v>3902</v>
      </c>
      <c r="G717">
        <v>140000</v>
      </c>
      <c r="H717">
        <v>1300000</v>
      </c>
      <c r="I717" t="s">
        <v>3901</v>
      </c>
      <c r="J717" t="s">
        <v>10</v>
      </c>
      <c r="K717">
        <v>673.82</v>
      </c>
      <c r="L717">
        <v>9.0500000000000007</v>
      </c>
      <c r="M717">
        <v>5100</v>
      </c>
      <c r="N717" t="s">
        <v>125</v>
      </c>
      <c r="O717">
        <v>1</v>
      </c>
      <c r="P717" t="s">
        <v>3565</v>
      </c>
      <c r="Q717" t="s">
        <v>2206</v>
      </c>
      <c r="R717" t="s">
        <v>2199</v>
      </c>
      <c r="S717">
        <v>21</v>
      </c>
      <c r="T717">
        <v>25</v>
      </c>
      <c r="U717">
        <v>510</v>
      </c>
      <c r="V717" t="s">
        <v>3904</v>
      </c>
      <c r="W717" t="s">
        <v>3905</v>
      </c>
      <c r="X717" t="s">
        <v>79</v>
      </c>
    </row>
    <row r="718" spans="1:24">
      <c r="A718">
        <v>51011</v>
      </c>
      <c r="B718" t="s">
        <v>3906</v>
      </c>
      <c r="C718" t="s">
        <v>10</v>
      </c>
      <c r="D718" t="s">
        <v>10</v>
      </c>
      <c r="E718" t="s">
        <v>3902</v>
      </c>
      <c r="F718" t="s">
        <v>3903</v>
      </c>
      <c r="G718">
        <v>140000</v>
      </c>
      <c r="H718">
        <v>1300000</v>
      </c>
      <c r="I718" t="s">
        <v>3901</v>
      </c>
      <c r="J718" t="s">
        <v>10</v>
      </c>
      <c r="K718">
        <v>673.82</v>
      </c>
      <c r="L718">
        <v>9.0500000000000007</v>
      </c>
      <c r="M718">
        <v>5100</v>
      </c>
      <c r="N718" t="s">
        <v>125</v>
      </c>
      <c r="O718">
        <v>3</v>
      </c>
      <c r="P718" t="s">
        <v>3565</v>
      </c>
      <c r="Q718" t="s">
        <v>2206</v>
      </c>
      <c r="R718" t="s">
        <v>2199</v>
      </c>
      <c r="S718">
        <v>10</v>
      </c>
      <c r="T718">
        <v>15</v>
      </c>
      <c r="U718">
        <v>510</v>
      </c>
      <c r="V718" t="s">
        <v>3904</v>
      </c>
      <c r="W718" t="s">
        <v>3907</v>
      </c>
      <c r="X718" t="s">
        <v>79</v>
      </c>
    </row>
    <row r="719" spans="1:24">
      <c r="A719">
        <v>51012</v>
      </c>
      <c r="B719" t="s">
        <v>3908</v>
      </c>
      <c r="C719" t="s">
        <v>2162</v>
      </c>
      <c r="D719" t="s">
        <v>10</v>
      </c>
      <c r="F719" t="s">
        <v>2162</v>
      </c>
      <c r="G719">
        <v>10000</v>
      </c>
      <c r="H719">
        <v>310000</v>
      </c>
      <c r="I719" t="s">
        <v>3909</v>
      </c>
      <c r="J719" t="s">
        <v>10</v>
      </c>
      <c r="K719">
        <v>206.55</v>
      </c>
      <c r="L719">
        <v>3.47</v>
      </c>
      <c r="M719">
        <v>5306</v>
      </c>
      <c r="N719" t="s">
        <v>125</v>
      </c>
      <c r="O719">
        <v>1</v>
      </c>
      <c r="P719" t="s">
        <v>3565</v>
      </c>
      <c r="Q719" t="s">
        <v>2206</v>
      </c>
      <c r="R719" t="s">
        <v>2199</v>
      </c>
      <c r="S719">
        <v>8</v>
      </c>
      <c r="T719">
        <v>8</v>
      </c>
      <c r="U719">
        <v>510</v>
      </c>
      <c r="V719" t="s">
        <v>3904</v>
      </c>
      <c r="W719" t="s">
        <v>3910</v>
      </c>
      <c r="X719" t="s">
        <v>79</v>
      </c>
    </row>
    <row r="720" spans="1:24">
      <c r="A720">
        <v>51015</v>
      </c>
      <c r="B720" t="s">
        <v>3911</v>
      </c>
      <c r="C720" t="s">
        <v>3902</v>
      </c>
      <c r="D720" t="s">
        <v>10</v>
      </c>
      <c r="E720" t="s">
        <v>3903</v>
      </c>
      <c r="F720" t="s">
        <v>3902</v>
      </c>
      <c r="G720">
        <v>140000</v>
      </c>
      <c r="H720">
        <v>1300000</v>
      </c>
      <c r="I720" t="s">
        <v>3901</v>
      </c>
      <c r="J720" t="s">
        <v>10</v>
      </c>
      <c r="K720">
        <v>673.82</v>
      </c>
      <c r="L720">
        <v>9.0500000000000007</v>
      </c>
      <c r="M720">
        <v>5100</v>
      </c>
      <c r="N720" t="s">
        <v>125</v>
      </c>
      <c r="O720">
        <v>1</v>
      </c>
      <c r="P720" t="s">
        <v>3565</v>
      </c>
      <c r="Q720" t="s">
        <v>2206</v>
      </c>
      <c r="R720" t="s">
        <v>2199</v>
      </c>
      <c r="S720">
        <v>1</v>
      </c>
      <c r="T720">
        <v>3</v>
      </c>
      <c r="U720">
        <v>510</v>
      </c>
      <c r="V720" t="s">
        <v>3904</v>
      </c>
      <c r="W720" t="s">
        <v>3912</v>
      </c>
      <c r="X720" t="s">
        <v>79</v>
      </c>
    </row>
    <row r="721" spans="1:24">
      <c r="A721">
        <v>51016</v>
      </c>
      <c r="B721" t="s">
        <v>3913</v>
      </c>
      <c r="C721" t="s">
        <v>10</v>
      </c>
      <c r="D721" t="s">
        <v>10</v>
      </c>
      <c r="G721">
        <v>8400</v>
      </c>
      <c r="H721">
        <v>1000000</v>
      </c>
      <c r="I721" t="s">
        <v>2780</v>
      </c>
      <c r="J721" t="s">
        <v>10</v>
      </c>
      <c r="K721">
        <v>587</v>
      </c>
      <c r="L721">
        <v>4.5999999999999996</v>
      </c>
      <c r="M721">
        <v>6100</v>
      </c>
      <c r="N721" t="s">
        <v>125</v>
      </c>
      <c r="O721">
        <v>1</v>
      </c>
      <c r="P721" t="s">
        <v>3565</v>
      </c>
      <c r="Q721" t="s">
        <v>2206</v>
      </c>
      <c r="R721" t="s">
        <v>2199</v>
      </c>
      <c r="S721">
        <v>30</v>
      </c>
      <c r="T721">
        <v>75</v>
      </c>
      <c r="U721">
        <v>510</v>
      </c>
      <c r="V721" t="s">
        <v>3904</v>
      </c>
      <c r="W721" t="s">
        <v>3914</v>
      </c>
      <c r="X721" t="s">
        <v>79</v>
      </c>
    </row>
    <row r="722" spans="1:24">
      <c r="A722">
        <v>51020</v>
      </c>
      <c r="B722" t="s">
        <v>3915</v>
      </c>
      <c r="C722" t="s">
        <v>10</v>
      </c>
      <c r="D722" t="s">
        <v>10</v>
      </c>
      <c r="G722">
        <v>140000</v>
      </c>
      <c r="H722">
        <v>1300000</v>
      </c>
      <c r="I722" t="s">
        <v>3901</v>
      </c>
      <c r="J722" t="s">
        <v>10</v>
      </c>
      <c r="K722">
        <v>673.82</v>
      </c>
      <c r="L722">
        <v>9.0500000000000007</v>
      </c>
      <c r="M722">
        <v>5100</v>
      </c>
      <c r="N722" t="s">
        <v>125</v>
      </c>
      <c r="O722">
        <v>1</v>
      </c>
      <c r="P722" t="s">
        <v>3565</v>
      </c>
      <c r="Q722" t="s">
        <v>2206</v>
      </c>
      <c r="R722" t="s">
        <v>2199</v>
      </c>
      <c r="S722">
        <v>1</v>
      </c>
      <c r="T722">
        <v>2</v>
      </c>
      <c r="U722">
        <v>510</v>
      </c>
      <c r="V722" t="s">
        <v>3904</v>
      </c>
      <c r="W722" t="s">
        <v>3916</v>
      </c>
      <c r="X722" t="s">
        <v>79</v>
      </c>
    </row>
    <row r="723" spans="1:24">
      <c r="A723">
        <v>51077</v>
      </c>
      <c r="B723" t="s">
        <v>3917</v>
      </c>
      <c r="C723" t="s">
        <v>10</v>
      </c>
      <c r="D723" t="s">
        <v>10</v>
      </c>
      <c r="G723">
        <v>10000</v>
      </c>
      <c r="H723">
        <v>310000</v>
      </c>
      <c r="I723" t="s">
        <v>3909</v>
      </c>
      <c r="J723" t="s">
        <v>10</v>
      </c>
      <c r="K723">
        <v>206.55</v>
      </c>
      <c r="L723">
        <v>3.47</v>
      </c>
      <c r="M723">
        <v>5306</v>
      </c>
      <c r="N723" t="s">
        <v>125</v>
      </c>
      <c r="O723">
        <v>2</v>
      </c>
      <c r="P723" t="s">
        <v>3565</v>
      </c>
      <c r="Q723" t="s">
        <v>2206</v>
      </c>
      <c r="R723" t="s">
        <v>2199</v>
      </c>
      <c r="S723">
        <v>93</v>
      </c>
      <c r="T723">
        <v>113</v>
      </c>
      <c r="U723">
        <v>510</v>
      </c>
      <c r="V723" t="s">
        <v>3904</v>
      </c>
      <c r="W723" t="s">
        <v>3918</v>
      </c>
      <c r="X723" t="s">
        <v>79</v>
      </c>
    </row>
    <row r="724" spans="1:24">
      <c r="A724">
        <v>53010</v>
      </c>
      <c r="B724" t="s">
        <v>3919</v>
      </c>
      <c r="C724" t="s">
        <v>10</v>
      </c>
      <c r="D724" t="s">
        <v>10</v>
      </c>
      <c r="G724">
        <v>16000</v>
      </c>
      <c r="H724">
        <v>560000</v>
      </c>
      <c r="I724" t="s">
        <v>3920</v>
      </c>
      <c r="J724" t="s">
        <v>10</v>
      </c>
      <c r="K724">
        <v>868</v>
      </c>
      <c r="L724">
        <v>11.52</v>
      </c>
      <c r="M724">
        <v>5500</v>
      </c>
      <c r="N724" t="s">
        <v>125</v>
      </c>
      <c r="P724" t="s">
        <v>3565</v>
      </c>
      <c r="Q724" t="s">
        <v>2206</v>
      </c>
      <c r="R724" t="s">
        <v>2199</v>
      </c>
      <c r="S724">
        <v>14</v>
      </c>
      <c r="T724">
        <v>39</v>
      </c>
      <c r="U724">
        <v>530</v>
      </c>
      <c r="V724" t="s">
        <v>3921</v>
      </c>
      <c r="W724" t="s">
        <v>3922</v>
      </c>
      <c r="X724" t="s">
        <v>79</v>
      </c>
    </row>
    <row r="725" spans="1:24">
      <c r="A725">
        <v>53020</v>
      </c>
      <c r="B725" t="s">
        <v>3564</v>
      </c>
      <c r="C725" t="s">
        <v>10</v>
      </c>
      <c r="D725" t="s">
        <v>10</v>
      </c>
      <c r="G725">
        <v>7500</v>
      </c>
      <c r="H725">
        <v>120000</v>
      </c>
      <c r="I725" t="s">
        <v>3564</v>
      </c>
      <c r="J725" t="s">
        <v>10</v>
      </c>
      <c r="K725">
        <v>459.02</v>
      </c>
      <c r="L725">
        <v>12.12</v>
      </c>
      <c r="M725">
        <v>5302</v>
      </c>
      <c r="N725" t="s">
        <v>125</v>
      </c>
      <c r="O725">
        <v>2</v>
      </c>
      <c r="P725" t="s">
        <v>3565</v>
      </c>
      <c r="Q725" t="s">
        <v>2206</v>
      </c>
      <c r="R725" t="s">
        <v>2199</v>
      </c>
      <c r="S725">
        <v>9</v>
      </c>
      <c r="T725">
        <v>17</v>
      </c>
      <c r="U725">
        <v>530</v>
      </c>
      <c r="V725" t="s">
        <v>3921</v>
      </c>
      <c r="W725" t="s">
        <v>3923</v>
      </c>
      <c r="X725" t="s">
        <v>79</v>
      </c>
    </row>
    <row r="726" spans="1:24">
      <c r="A726">
        <v>53025</v>
      </c>
      <c r="B726" t="s">
        <v>3924</v>
      </c>
      <c r="C726" t="s">
        <v>10</v>
      </c>
      <c r="D726" t="s">
        <v>10</v>
      </c>
      <c r="G726">
        <v>16000</v>
      </c>
      <c r="H726">
        <v>560000</v>
      </c>
      <c r="I726" t="s">
        <v>3920</v>
      </c>
      <c r="J726" t="s">
        <v>10</v>
      </c>
      <c r="K726">
        <v>868</v>
      </c>
      <c r="L726">
        <v>11.52</v>
      </c>
      <c r="M726">
        <v>5500</v>
      </c>
      <c r="N726" t="s">
        <v>125</v>
      </c>
      <c r="O726">
        <v>2</v>
      </c>
      <c r="P726" t="s">
        <v>3565</v>
      </c>
      <c r="Q726" t="s">
        <v>2206</v>
      </c>
      <c r="R726" t="s">
        <v>2199</v>
      </c>
      <c r="S726">
        <v>6</v>
      </c>
      <c r="T726">
        <v>11</v>
      </c>
      <c r="U726">
        <v>530</v>
      </c>
      <c r="V726" t="s">
        <v>3921</v>
      </c>
      <c r="W726" t="s">
        <v>3925</v>
      </c>
      <c r="X726" t="s">
        <v>79</v>
      </c>
    </row>
    <row r="727" spans="1:24">
      <c r="A727">
        <v>53030</v>
      </c>
      <c r="B727" t="s">
        <v>3926</v>
      </c>
      <c r="C727" t="s">
        <v>10</v>
      </c>
      <c r="D727" t="s">
        <v>10</v>
      </c>
      <c r="G727">
        <v>12000</v>
      </c>
      <c r="H727">
        <v>14000</v>
      </c>
      <c r="I727" t="s">
        <v>3926</v>
      </c>
      <c r="J727" t="s">
        <v>10</v>
      </c>
      <c r="K727">
        <v>351.68</v>
      </c>
      <c r="L727">
        <v>9.1300000000000008</v>
      </c>
      <c r="M727">
        <v>5303</v>
      </c>
      <c r="N727" t="s">
        <v>125</v>
      </c>
      <c r="P727" t="s">
        <v>3565</v>
      </c>
      <c r="Q727" t="s">
        <v>2206</v>
      </c>
      <c r="R727" t="s">
        <v>2199</v>
      </c>
      <c r="S727">
        <v>2</v>
      </c>
      <c r="T727">
        <v>5</v>
      </c>
      <c r="U727">
        <v>530</v>
      </c>
      <c r="V727" t="s">
        <v>3921</v>
      </c>
      <c r="W727" t="s">
        <v>3927</v>
      </c>
      <c r="X727" t="s">
        <v>79</v>
      </c>
    </row>
    <row r="728" spans="1:24">
      <c r="A728">
        <v>53040</v>
      </c>
      <c r="B728" t="s">
        <v>3928</v>
      </c>
      <c r="C728" t="s">
        <v>10</v>
      </c>
      <c r="D728" t="s">
        <v>10</v>
      </c>
      <c r="G728">
        <v>2800</v>
      </c>
      <c r="H728">
        <v>22000</v>
      </c>
      <c r="I728" t="s">
        <v>3929</v>
      </c>
      <c r="J728" t="s">
        <v>10</v>
      </c>
      <c r="K728">
        <v>795</v>
      </c>
      <c r="L728">
        <v>4.32</v>
      </c>
      <c r="M728">
        <v>5304</v>
      </c>
      <c r="N728" t="s">
        <v>125</v>
      </c>
      <c r="O728">
        <v>3</v>
      </c>
      <c r="P728" t="s">
        <v>3565</v>
      </c>
      <c r="Q728" t="s">
        <v>2206</v>
      </c>
      <c r="R728" t="s">
        <v>2199</v>
      </c>
      <c r="S728">
        <v>4</v>
      </c>
      <c r="T728">
        <v>9</v>
      </c>
      <c r="U728">
        <v>530</v>
      </c>
      <c r="V728" t="s">
        <v>3921</v>
      </c>
      <c r="W728" t="s">
        <v>3930</v>
      </c>
      <c r="X728" t="s">
        <v>79</v>
      </c>
    </row>
    <row r="729" spans="1:24">
      <c r="A729">
        <v>53045</v>
      </c>
      <c r="B729" t="s">
        <v>3931</v>
      </c>
      <c r="C729" t="s">
        <v>10</v>
      </c>
      <c r="D729" t="s">
        <v>10</v>
      </c>
      <c r="F729" t="s">
        <v>2162</v>
      </c>
      <c r="G729">
        <v>2800</v>
      </c>
      <c r="H729">
        <v>22000</v>
      </c>
      <c r="I729" t="s">
        <v>3929</v>
      </c>
      <c r="J729" t="s">
        <v>10</v>
      </c>
      <c r="K729">
        <v>795</v>
      </c>
      <c r="L729">
        <v>4.32</v>
      </c>
      <c r="M729">
        <v>5304</v>
      </c>
      <c r="N729" t="s">
        <v>125</v>
      </c>
      <c r="O729">
        <v>3</v>
      </c>
      <c r="P729" t="s">
        <v>3565</v>
      </c>
      <c r="Q729" t="s">
        <v>2206</v>
      </c>
      <c r="R729" t="s">
        <v>2199</v>
      </c>
      <c r="S729">
        <v>35</v>
      </c>
      <c r="T729">
        <v>58</v>
      </c>
      <c r="U729">
        <v>530</v>
      </c>
      <c r="V729" t="s">
        <v>3921</v>
      </c>
      <c r="W729" t="s">
        <v>3932</v>
      </c>
      <c r="X729" t="s">
        <v>79</v>
      </c>
    </row>
    <row r="730" spans="1:24">
      <c r="A730">
        <v>53050</v>
      </c>
      <c r="B730" t="s">
        <v>3933</v>
      </c>
      <c r="C730" t="s">
        <v>10</v>
      </c>
      <c r="D730" t="s">
        <v>10</v>
      </c>
      <c r="G730">
        <v>7500</v>
      </c>
      <c r="H730">
        <v>120000</v>
      </c>
      <c r="I730" t="s">
        <v>3564</v>
      </c>
      <c r="J730" t="s">
        <v>10</v>
      </c>
      <c r="K730">
        <v>459.02</v>
      </c>
      <c r="L730">
        <v>12.12</v>
      </c>
      <c r="M730">
        <v>5302</v>
      </c>
      <c r="N730" t="s">
        <v>125</v>
      </c>
      <c r="O730">
        <v>1</v>
      </c>
      <c r="P730" t="s">
        <v>3565</v>
      </c>
      <c r="Q730" t="s">
        <v>2206</v>
      </c>
      <c r="R730" t="s">
        <v>2199</v>
      </c>
      <c r="S730">
        <v>14</v>
      </c>
      <c r="T730">
        <v>25</v>
      </c>
      <c r="U730">
        <v>530</v>
      </c>
      <c r="V730" t="s">
        <v>3921</v>
      </c>
      <c r="W730" t="s">
        <v>3934</v>
      </c>
      <c r="X730" t="s">
        <v>79</v>
      </c>
    </row>
    <row r="731" spans="1:24">
      <c r="A731">
        <v>53060</v>
      </c>
      <c r="B731" t="s">
        <v>3909</v>
      </c>
      <c r="C731" t="s">
        <v>10</v>
      </c>
      <c r="D731" t="s">
        <v>10</v>
      </c>
      <c r="G731">
        <v>10000</v>
      </c>
      <c r="H731">
        <v>310000</v>
      </c>
      <c r="I731" t="s">
        <v>3909</v>
      </c>
      <c r="J731" t="s">
        <v>10</v>
      </c>
      <c r="K731">
        <v>206.55</v>
      </c>
      <c r="L731">
        <v>3.47</v>
      </c>
      <c r="M731">
        <v>5306</v>
      </c>
      <c r="N731" t="s">
        <v>125</v>
      </c>
      <c r="O731">
        <v>2</v>
      </c>
      <c r="P731" t="s">
        <v>3565</v>
      </c>
      <c r="Q731" t="s">
        <v>2206</v>
      </c>
      <c r="R731" t="s">
        <v>2199</v>
      </c>
      <c r="S731">
        <v>18</v>
      </c>
      <c r="T731">
        <v>29</v>
      </c>
      <c r="U731">
        <v>530</v>
      </c>
      <c r="V731" t="s">
        <v>3921</v>
      </c>
      <c r="W731" t="s">
        <v>3935</v>
      </c>
      <c r="X731" t="s">
        <v>79</v>
      </c>
    </row>
    <row r="732" spans="1:24">
      <c r="A732">
        <v>53070</v>
      </c>
      <c r="B732" t="s">
        <v>2487</v>
      </c>
      <c r="C732" t="s">
        <v>10</v>
      </c>
      <c r="D732" t="s">
        <v>10</v>
      </c>
      <c r="G732">
        <v>1500</v>
      </c>
      <c r="H732">
        <v>5400</v>
      </c>
      <c r="I732" t="s">
        <v>2487</v>
      </c>
      <c r="J732" t="s">
        <v>10</v>
      </c>
      <c r="K732">
        <v>143.51</v>
      </c>
      <c r="L732">
        <v>0.99</v>
      </c>
      <c r="M732">
        <v>5307</v>
      </c>
      <c r="N732" t="s">
        <v>125</v>
      </c>
      <c r="O732">
        <v>2</v>
      </c>
      <c r="P732" t="s">
        <v>3565</v>
      </c>
      <c r="Q732" t="s">
        <v>2206</v>
      </c>
      <c r="R732" t="s">
        <v>2199</v>
      </c>
      <c r="S732">
        <v>5</v>
      </c>
      <c r="T732">
        <v>7</v>
      </c>
      <c r="U732">
        <v>530</v>
      </c>
      <c r="V732" t="s">
        <v>3921</v>
      </c>
      <c r="W732" t="s">
        <v>3936</v>
      </c>
      <c r="X732" t="s">
        <v>79</v>
      </c>
    </row>
    <row r="733" spans="1:24">
      <c r="A733">
        <v>54010</v>
      </c>
      <c r="B733" t="s">
        <v>3937</v>
      </c>
      <c r="C733" t="s">
        <v>3938</v>
      </c>
      <c r="D733" t="s">
        <v>10</v>
      </c>
      <c r="F733" t="s">
        <v>3938</v>
      </c>
      <c r="G733">
        <v>9200</v>
      </c>
      <c r="H733">
        <v>56000</v>
      </c>
      <c r="I733" t="s">
        <v>3939</v>
      </c>
      <c r="J733" t="s">
        <v>10</v>
      </c>
      <c r="K733">
        <v>780.5</v>
      </c>
      <c r="L733">
        <v>10.88</v>
      </c>
      <c r="M733">
        <v>5400</v>
      </c>
      <c r="N733" t="s">
        <v>125</v>
      </c>
      <c r="O733">
        <v>1</v>
      </c>
      <c r="P733" t="s">
        <v>3429</v>
      </c>
      <c r="Q733" t="s">
        <v>2206</v>
      </c>
      <c r="R733" t="s">
        <v>2199</v>
      </c>
      <c r="S733">
        <v>31</v>
      </c>
      <c r="T733">
        <v>132</v>
      </c>
      <c r="U733">
        <v>540</v>
      </c>
      <c r="V733" t="s">
        <v>3940</v>
      </c>
      <c r="W733" t="s">
        <v>3941</v>
      </c>
      <c r="X733" t="s">
        <v>79</v>
      </c>
    </row>
    <row r="734" spans="1:24">
      <c r="A734">
        <v>55010</v>
      </c>
      <c r="B734" t="s">
        <v>3942</v>
      </c>
      <c r="C734" t="s">
        <v>10</v>
      </c>
      <c r="D734" t="s">
        <v>10</v>
      </c>
      <c r="G734">
        <v>16000</v>
      </c>
      <c r="H734">
        <v>560000</v>
      </c>
      <c r="I734" t="s">
        <v>3920</v>
      </c>
      <c r="J734" t="s">
        <v>10</v>
      </c>
      <c r="K734">
        <v>868</v>
      </c>
      <c r="L734">
        <v>11.52</v>
      </c>
      <c r="M734">
        <v>5500</v>
      </c>
      <c r="N734" t="s">
        <v>125</v>
      </c>
      <c r="O734">
        <v>1</v>
      </c>
      <c r="P734" t="s">
        <v>3565</v>
      </c>
      <c r="Q734" t="s">
        <v>2206</v>
      </c>
      <c r="R734" t="s">
        <v>2199</v>
      </c>
      <c r="S734">
        <v>178</v>
      </c>
      <c r="T734">
        <v>241</v>
      </c>
      <c r="U734">
        <v>550</v>
      </c>
      <c r="V734" t="s">
        <v>3943</v>
      </c>
      <c r="W734" t="s">
        <v>3944</v>
      </c>
      <c r="X734" t="s">
        <v>79</v>
      </c>
    </row>
    <row r="735" spans="1:24">
      <c r="A735">
        <v>55020</v>
      </c>
      <c r="B735" t="s">
        <v>3945</v>
      </c>
      <c r="C735" t="s">
        <v>10</v>
      </c>
      <c r="D735" t="s">
        <v>10</v>
      </c>
      <c r="E735" t="s">
        <v>3902</v>
      </c>
      <c r="G735">
        <v>24000</v>
      </c>
      <c r="H735">
        <v>82000</v>
      </c>
      <c r="I735" t="s">
        <v>3946</v>
      </c>
      <c r="J735" t="s">
        <v>10</v>
      </c>
      <c r="K735">
        <v>461.42</v>
      </c>
      <c r="L735">
        <v>8.58</v>
      </c>
      <c r="M735">
        <v>5501</v>
      </c>
      <c r="N735" t="s">
        <v>125</v>
      </c>
      <c r="O735">
        <v>3</v>
      </c>
      <c r="P735" t="s">
        <v>3565</v>
      </c>
      <c r="Q735" t="s">
        <v>2206</v>
      </c>
      <c r="R735" t="s">
        <v>2199</v>
      </c>
      <c r="S735">
        <v>0</v>
      </c>
      <c r="T735">
        <v>1</v>
      </c>
      <c r="U735">
        <v>550</v>
      </c>
      <c r="V735" t="s">
        <v>3943</v>
      </c>
      <c r="W735" t="s">
        <v>3947</v>
      </c>
      <c r="X735" t="s">
        <v>79</v>
      </c>
    </row>
    <row r="736" spans="1:24">
      <c r="A736">
        <v>55030</v>
      </c>
      <c r="B736" t="s">
        <v>3948</v>
      </c>
      <c r="C736" t="s">
        <v>10</v>
      </c>
      <c r="D736" t="s">
        <v>10</v>
      </c>
      <c r="G736">
        <v>16000</v>
      </c>
      <c r="H736">
        <v>560000</v>
      </c>
      <c r="I736" t="s">
        <v>3920</v>
      </c>
      <c r="J736" t="s">
        <v>10</v>
      </c>
      <c r="K736">
        <v>868</v>
      </c>
      <c r="L736">
        <v>11.52</v>
      </c>
      <c r="M736">
        <v>5500</v>
      </c>
      <c r="N736" t="s">
        <v>125</v>
      </c>
      <c r="O736">
        <v>1</v>
      </c>
      <c r="P736" t="s">
        <v>3565</v>
      </c>
      <c r="Q736" t="s">
        <v>2206</v>
      </c>
      <c r="R736" t="s">
        <v>2199</v>
      </c>
      <c r="S736">
        <v>13</v>
      </c>
      <c r="T736">
        <v>36</v>
      </c>
      <c r="U736">
        <v>550</v>
      </c>
      <c r="V736" t="s">
        <v>3943</v>
      </c>
      <c r="W736" t="s">
        <v>3949</v>
      </c>
      <c r="X736" t="s">
        <v>79</v>
      </c>
    </row>
    <row r="737" spans="1:24">
      <c r="A737">
        <v>61010</v>
      </c>
      <c r="B737" t="s">
        <v>3950</v>
      </c>
      <c r="C737" t="s">
        <v>10</v>
      </c>
      <c r="D737" t="s">
        <v>10</v>
      </c>
      <c r="G737">
        <v>8400</v>
      </c>
      <c r="H737">
        <v>1000000</v>
      </c>
      <c r="I737" t="s">
        <v>2780</v>
      </c>
      <c r="J737" t="s">
        <v>10</v>
      </c>
      <c r="K737">
        <v>587</v>
      </c>
      <c r="L737">
        <v>4.5999999999999996</v>
      </c>
      <c r="M737">
        <v>6100</v>
      </c>
      <c r="N737" t="s">
        <v>125</v>
      </c>
      <c r="O737">
        <v>1</v>
      </c>
      <c r="P737" t="s">
        <v>2449</v>
      </c>
      <c r="Q737" t="s">
        <v>2206</v>
      </c>
      <c r="R737" t="s">
        <v>2199</v>
      </c>
      <c r="S737">
        <v>2479</v>
      </c>
      <c r="T737">
        <v>5119</v>
      </c>
      <c r="U737">
        <v>610</v>
      </c>
      <c r="V737" t="s">
        <v>3951</v>
      </c>
      <c r="W737" t="s">
        <v>3952</v>
      </c>
      <c r="X737" t="s">
        <v>79</v>
      </c>
    </row>
    <row r="738" spans="1:24">
      <c r="A738">
        <v>61030</v>
      </c>
      <c r="B738" t="s">
        <v>3953</v>
      </c>
      <c r="C738" t="s">
        <v>10</v>
      </c>
      <c r="D738" t="s">
        <v>10</v>
      </c>
      <c r="E738" t="s">
        <v>3954</v>
      </c>
      <c r="G738">
        <v>8400</v>
      </c>
      <c r="H738">
        <v>1000000</v>
      </c>
      <c r="I738" t="s">
        <v>2780</v>
      </c>
      <c r="J738" t="s">
        <v>10</v>
      </c>
      <c r="K738">
        <v>587</v>
      </c>
      <c r="L738">
        <v>4.5999999999999996</v>
      </c>
      <c r="M738">
        <v>6100</v>
      </c>
      <c r="N738" t="s">
        <v>125</v>
      </c>
      <c r="O738">
        <v>3</v>
      </c>
      <c r="P738" t="s">
        <v>2449</v>
      </c>
      <c r="Q738" t="s">
        <v>2206</v>
      </c>
      <c r="R738" t="s">
        <v>2199</v>
      </c>
      <c r="S738">
        <v>20</v>
      </c>
      <c r="T738">
        <v>29</v>
      </c>
      <c r="U738">
        <v>610</v>
      </c>
      <c r="V738" t="s">
        <v>3951</v>
      </c>
      <c r="W738" t="s">
        <v>3955</v>
      </c>
      <c r="X738" t="s">
        <v>79</v>
      </c>
    </row>
    <row r="739" spans="1:24">
      <c r="A739">
        <v>61040</v>
      </c>
      <c r="B739" t="s">
        <v>3956</v>
      </c>
      <c r="C739" t="s">
        <v>10</v>
      </c>
      <c r="D739" t="s">
        <v>10</v>
      </c>
      <c r="G739">
        <v>8400</v>
      </c>
      <c r="H739">
        <v>1000000</v>
      </c>
      <c r="I739" t="s">
        <v>2780</v>
      </c>
      <c r="J739" t="s">
        <v>10</v>
      </c>
      <c r="K739">
        <v>587</v>
      </c>
      <c r="L739">
        <v>4.5999999999999996</v>
      </c>
      <c r="M739">
        <v>6100</v>
      </c>
      <c r="N739" t="s">
        <v>125</v>
      </c>
      <c r="O739">
        <v>1</v>
      </c>
      <c r="P739" t="s">
        <v>2449</v>
      </c>
      <c r="Q739" t="s">
        <v>2206</v>
      </c>
      <c r="R739" t="s">
        <v>2199</v>
      </c>
      <c r="S739">
        <v>55</v>
      </c>
      <c r="T739">
        <v>165</v>
      </c>
      <c r="U739">
        <v>610</v>
      </c>
      <c r="V739" t="s">
        <v>3951</v>
      </c>
      <c r="W739" t="s">
        <v>3957</v>
      </c>
      <c r="X739" t="s">
        <v>79</v>
      </c>
    </row>
    <row r="740" spans="1:24">
      <c r="A740">
        <v>61050</v>
      </c>
      <c r="B740" t="s">
        <v>3958</v>
      </c>
      <c r="C740" t="s">
        <v>10</v>
      </c>
      <c r="D740" t="s">
        <v>10</v>
      </c>
      <c r="G740">
        <v>8400</v>
      </c>
      <c r="H740">
        <v>1000000</v>
      </c>
      <c r="I740" t="s">
        <v>2780</v>
      </c>
      <c r="J740" t="s">
        <v>10</v>
      </c>
      <c r="K740">
        <v>587</v>
      </c>
      <c r="L740">
        <v>4.5999999999999996</v>
      </c>
      <c r="M740">
        <v>6100</v>
      </c>
      <c r="N740" t="s">
        <v>125</v>
      </c>
      <c r="O740">
        <v>1</v>
      </c>
      <c r="P740" t="s">
        <v>2449</v>
      </c>
      <c r="Q740" t="s">
        <v>2206</v>
      </c>
      <c r="R740" t="s">
        <v>2199</v>
      </c>
      <c r="S740">
        <v>140</v>
      </c>
      <c r="T740">
        <v>156</v>
      </c>
      <c r="U740">
        <v>610</v>
      </c>
      <c r="V740" t="s">
        <v>3951</v>
      </c>
      <c r="W740" t="s">
        <v>3959</v>
      </c>
      <c r="X740" t="s">
        <v>79</v>
      </c>
    </row>
    <row r="741" spans="1:24">
      <c r="A741">
        <v>61070</v>
      </c>
      <c r="B741" t="s">
        <v>3960</v>
      </c>
      <c r="C741" t="s">
        <v>10</v>
      </c>
      <c r="D741" t="s">
        <v>10</v>
      </c>
      <c r="G741">
        <v>15000</v>
      </c>
      <c r="H741">
        <v>150000</v>
      </c>
      <c r="I741" t="s">
        <v>3961</v>
      </c>
      <c r="J741" t="s">
        <v>10</v>
      </c>
      <c r="K741">
        <v>455</v>
      </c>
      <c r="L741">
        <v>5.75</v>
      </c>
      <c r="M741">
        <v>6102</v>
      </c>
      <c r="N741" t="s">
        <v>125</v>
      </c>
      <c r="O741">
        <v>2</v>
      </c>
      <c r="P741" t="s">
        <v>2449</v>
      </c>
      <c r="Q741" t="s">
        <v>2206</v>
      </c>
      <c r="R741" t="s">
        <v>2199</v>
      </c>
      <c r="S741">
        <v>46</v>
      </c>
      <c r="T741">
        <v>64</v>
      </c>
      <c r="U741">
        <v>610</v>
      </c>
      <c r="V741" t="s">
        <v>3951</v>
      </c>
      <c r="W741" t="s">
        <v>3962</v>
      </c>
      <c r="X741" t="s">
        <v>79</v>
      </c>
    </row>
    <row r="742" spans="1:24">
      <c r="A742">
        <v>61071</v>
      </c>
      <c r="B742" t="s">
        <v>3963</v>
      </c>
      <c r="C742" t="s">
        <v>10</v>
      </c>
      <c r="D742" t="s">
        <v>10</v>
      </c>
      <c r="G742">
        <v>15000</v>
      </c>
      <c r="H742">
        <v>150000</v>
      </c>
      <c r="I742" t="s">
        <v>3961</v>
      </c>
      <c r="J742" t="s">
        <v>10</v>
      </c>
      <c r="K742">
        <v>455</v>
      </c>
      <c r="L742">
        <v>5.75</v>
      </c>
      <c r="M742">
        <v>6102</v>
      </c>
      <c r="N742" t="s">
        <v>125</v>
      </c>
      <c r="O742">
        <v>2</v>
      </c>
      <c r="P742" t="s">
        <v>2449</v>
      </c>
      <c r="Q742" t="s">
        <v>2206</v>
      </c>
      <c r="R742" t="s">
        <v>2199</v>
      </c>
      <c r="S742">
        <v>74</v>
      </c>
      <c r="T742">
        <v>98</v>
      </c>
      <c r="U742">
        <v>610</v>
      </c>
      <c r="V742" t="s">
        <v>3951</v>
      </c>
      <c r="W742" t="s">
        <v>3964</v>
      </c>
      <c r="X742" t="s">
        <v>79</v>
      </c>
    </row>
    <row r="743" spans="1:24">
      <c r="A743">
        <v>61072</v>
      </c>
      <c r="B743" t="s">
        <v>3965</v>
      </c>
      <c r="C743" t="s">
        <v>10</v>
      </c>
      <c r="D743" t="s">
        <v>10</v>
      </c>
      <c r="G743">
        <v>15000</v>
      </c>
      <c r="H743">
        <v>150000</v>
      </c>
      <c r="I743" t="s">
        <v>3961</v>
      </c>
      <c r="J743" t="s">
        <v>10</v>
      </c>
      <c r="K743">
        <v>455</v>
      </c>
      <c r="L743">
        <v>5.75</v>
      </c>
      <c r="M743">
        <v>6102</v>
      </c>
      <c r="N743" t="s">
        <v>125</v>
      </c>
      <c r="O743">
        <v>2</v>
      </c>
      <c r="P743" t="s">
        <v>2449</v>
      </c>
      <c r="Q743" t="s">
        <v>2206</v>
      </c>
      <c r="R743" t="s">
        <v>2199</v>
      </c>
      <c r="S743">
        <v>231</v>
      </c>
      <c r="T743">
        <v>382</v>
      </c>
      <c r="U743">
        <v>610</v>
      </c>
      <c r="V743" t="s">
        <v>3951</v>
      </c>
      <c r="W743" t="s">
        <v>3966</v>
      </c>
      <c r="X743" t="s">
        <v>79</v>
      </c>
    </row>
    <row r="744" spans="1:24">
      <c r="A744">
        <v>61073</v>
      </c>
      <c r="B744" t="s">
        <v>3967</v>
      </c>
      <c r="C744" t="s">
        <v>10</v>
      </c>
      <c r="D744" t="s">
        <v>10</v>
      </c>
      <c r="G744">
        <v>18000</v>
      </c>
      <c r="H744">
        <v>110000</v>
      </c>
      <c r="I744" t="s">
        <v>3968</v>
      </c>
      <c r="J744" t="s">
        <v>10</v>
      </c>
      <c r="K744">
        <v>599</v>
      </c>
      <c r="L744">
        <v>5.55</v>
      </c>
      <c r="M744">
        <v>6101</v>
      </c>
      <c r="N744" t="s">
        <v>125</v>
      </c>
      <c r="O744">
        <v>2</v>
      </c>
      <c r="P744" t="s">
        <v>2449</v>
      </c>
      <c r="Q744" t="s">
        <v>2206</v>
      </c>
      <c r="R744" t="s">
        <v>2199</v>
      </c>
      <c r="S744">
        <v>95</v>
      </c>
      <c r="T744">
        <v>276</v>
      </c>
      <c r="U744">
        <v>610</v>
      </c>
      <c r="V744" t="s">
        <v>3951</v>
      </c>
      <c r="W744" t="s">
        <v>3969</v>
      </c>
      <c r="X744" t="s">
        <v>79</v>
      </c>
    </row>
    <row r="745" spans="1:24">
      <c r="A745">
        <v>61074</v>
      </c>
      <c r="B745" t="s">
        <v>3970</v>
      </c>
      <c r="C745" t="s">
        <v>10</v>
      </c>
      <c r="D745" t="s">
        <v>10</v>
      </c>
      <c r="G745">
        <v>15000</v>
      </c>
      <c r="H745">
        <v>150000</v>
      </c>
      <c r="I745" t="s">
        <v>3961</v>
      </c>
      <c r="J745" t="s">
        <v>10</v>
      </c>
      <c r="K745">
        <v>455</v>
      </c>
      <c r="L745">
        <v>5.75</v>
      </c>
      <c r="M745">
        <v>6102</v>
      </c>
      <c r="N745" t="s">
        <v>125</v>
      </c>
      <c r="O745">
        <v>1</v>
      </c>
      <c r="P745" t="s">
        <v>2449</v>
      </c>
      <c r="Q745" t="s">
        <v>2206</v>
      </c>
      <c r="R745" t="s">
        <v>2199</v>
      </c>
      <c r="S745">
        <v>29</v>
      </c>
      <c r="T745">
        <v>74</v>
      </c>
      <c r="U745">
        <v>610</v>
      </c>
      <c r="V745" t="s">
        <v>3951</v>
      </c>
      <c r="W745" t="s">
        <v>3971</v>
      </c>
      <c r="X745" t="s">
        <v>79</v>
      </c>
    </row>
    <row r="746" spans="1:24">
      <c r="A746">
        <v>61077</v>
      </c>
      <c r="B746" t="s">
        <v>3972</v>
      </c>
      <c r="C746" t="s">
        <v>10</v>
      </c>
      <c r="D746" t="s">
        <v>10</v>
      </c>
      <c r="G746">
        <v>8400</v>
      </c>
      <c r="H746">
        <v>1000000</v>
      </c>
      <c r="I746" t="s">
        <v>2780</v>
      </c>
      <c r="J746" t="s">
        <v>10</v>
      </c>
      <c r="K746">
        <v>587</v>
      </c>
      <c r="L746">
        <v>4.5999999999999996</v>
      </c>
      <c r="M746">
        <v>6100</v>
      </c>
      <c r="N746" t="s">
        <v>125</v>
      </c>
      <c r="O746">
        <v>1</v>
      </c>
      <c r="P746" t="s">
        <v>2449</v>
      </c>
      <c r="Q746" t="s">
        <v>2206</v>
      </c>
      <c r="R746" t="s">
        <v>2199</v>
      </c>
      <c r="S746">
        <v>193</v>
      </c>
      <c r="T746">
        <v>518</v>
      </c>
      <c r="U746">
        <v>610</v>
      </c>
      <c r="V746" t="s">
        <v>3951</v>
      </c>
      <c r="W746" t="s">
        <v>3973</v>
      </c>
      <c r="X746" t="s">
        <v>79</v>
      </c>
    </row>
    <row r="747" spans="1:24">
      <c r="A747">
        <v>62010</v>
      </c>
      <c r="B747" t="s">
        <v>3974</v>
      </c>
      <c r="C747" t="s">
        <v>10</v>
      </c>
      <c r="D747" t="s">
        <v>10</v>
      </c>
      <c r="G747">
        <v>17000</v>
      </c>
      <c r="H747">
        <v>64000</v>
      </c>
      <c r="I747" t="s">
        <v>3975</v>
      </c>
      <c r="J747" t="s">
        <v>10</v>
      </c>
      <c r="K747">
        <v>410.48</v>
      </c>
      <c r="L747">
        <v>4.4400000000000004</v>
      </c>
      <c r="M747">
        <v>6200</v>
      </c>
      <c r="N747" t="s">
        <v>125</v>
      </c>
      <c r="O747">
        <v>1</v>
      </c>
      <c r="P747" t="s">
        <v>2449</v>
      </c>
      <c r="Q747" t="s">
        <v>2206</v>
      </c>
      <c r="R747" t="s">
        <v>2199</v>
      </c>
      <c r="S747">
        <v>1</v>
      </c>
      <c r="T747">
        <v>1</v>
      </c>
      <c r="U747">
        <v>620</v>
      </c>
      <c r="V747" t="s">
        <v>3976</v>
      </c>
      <c r="W747" t="s">
        <v>3977</v>
      </c>
      <c r="X747" t="s">
        <v>79</v>
      </c>
    </row>
    <row r="748" spans="1:24">
      <c r="A748">
        <v>62077</v>
      </c>
      <c r="B748" t="s">
        <v>3978</v>
      </c>
      <c r="C748" t="s">
        <v>10</v>
      </c>
      <c r="D748" t="s">
        <v>10</v>
      </c>
      <c r="G748">
        <v>17000</v>
      </c>
      <c r="H748">
        <v>64000</v>
      </c>
      <c r="I748" t="s">
        <v>3975</v>
      </c>
      <c r="J748" t="s">
        <v>10</v>
      </c>
      <c r="K748">
        <v>410.48</v>
      </c>
      <c r="L748">
        <v>4.4400000000000004</v>
      </c>
      <c r="M748">
        <v>6200</v>
      </c>
      <c r="N748" t="s">
        <v>125</v>
      </c>
      <c r="O748">
        <v>1</v>
      </c>
      <c r="P748" t="s">
        <v>2449</v>
      </c>
      <c r="Q748" t="s">
        <v>2206</v>
      </c>
      <c r="R748" t="s">
        <v>2199</v>
      </c>
      <c r="S748">
        <v>1</v>
      </c>
      <c r="T748">
        <v>1</v>
      </c>
      <c r="U748">
        <v>620</v>
      </c>
      <c r="V748" t="s">
        <v>3976</v>
      </c>
      <c r="W748" t="s">
        <v>3979</v>
      </c>
      <c r="X748" t="s">
        <v>79</v>
      </c>
    </row>
    <row r="749" spans="1:24">
      <c r="A749">
        <v>69010</v>
      </c>
      <c r="B749" t="s">
        <v>3980</v>
      </c>
      <c r="C749" t="s">
        <v>2162</v>
      </c>
      <c r="F749" t="s">
        <v>2162</v>
      </c>
      <c r="G749">
        <v>1</v>
      </c>
      <c r="H749">
        <v>200</v>
      </c>
      <c r="I749" t="s">
        <v>3981</v>
      </c>
      <c r="J749" t="s">
        <v>2162</v>
      </c>
      <c r="K749">
        <v>10416.969999999999</v>
      </c>
      <c r="L749">
        <v>252.63</v>
      </c>
      <c r="M749">
        <v>6900</v>
      </c>
      <c r="N749" t="s">
        <v>79</v>
      </c>
      <c r="O749">
        <v>3</v>
      </c>
      <c r="P749" t="s">
        <v>2449</v>
      </c>
      <c r="Q749" t="s">
        <v>2206</v>
      </c>
      <c r="R749" t="s">
        <v>159</v>
      </c>
      <c r="S749">
        <v>2270</v>
      </c>
      <c r="T749">
        <v>2283</v>
      </c>
      <c r="U749">
        <v>690</v>
      </c>
      <c r="V749" t="s">
        <v>3982</v>
      </c>
      <c r="W749" t="s">
        <v>3983</v>
      </c>
      <c r="X749" t="s">
        <v>79</v>
      </c>
    </row>
    <row r="750" spans="1:24">
      <c r="A750">
        <v>69015</v>
      </c>
      <c r="B750" t="s">
        <v>3984</v>
      </c>
      <c r="C750" t="s">
        <v>2162</v>
      </c>
      <c r="F750" t="s">
        <v>2162</v>
      </c>
      <c r="G750">
        <v>1</v>
      </c>
      <c r="H750">
        <v>200</v>
      </c>
      <c r="I750" t="s">
        <v>3981</v>
      </c>
      <c r="J750" t="s">
        <v>2162</v>
      </c>
      <c r="K750">
        <v>10416.969999999999</v>
      </c>
      <c r="L750">
        <v>252.63</v>
      </c>
      <c r="M750">
        <v>6900</v>
      </c>
      <c r="N750" t="s">
        <v>79</v>
      </c>
      <c r="O750">
        <v>3</v>
      </c>
      <c r="P750" t="s">
        <v>2449</v>
      </c>
      <c r="Q750" t="s">
        <v>2206</v>
      </c>
      <c r="R750" t="s">
        <v>159</v>
      </c>
      <c r="S750">
        <v>19</v>
      </c>
      <c r="T750">
        <v>19</v>
      </c>
      <c r="U750">
        <v>690</v>
      </c>
      <c r="V750" t="s">
        <v>3982</v>
      </c>
      <c r="W750" t="s">
        <v>3983</v>
      </c>
      <c r="X750" t="s">
        <v>79</v>
      </c>
    </row>
    <row r="751" spans="1:24">
      <c r="A751">
        <v>69025</v>
      </c>
      <c r="B751" t="s">
        <v>3985</v>
      </c>
      <c r="C751" t="s">
        <v>2162</v>
      </c>
      <c r="F751" t="s">
        <v>2162</v>
      </c>
      <c r="G751">
        <v>1</v>
      </c>
      <c r="H751">
        <v>200</v>
      </c>
      <c r="I751" t="s">
        <v>3981</v>
      </c>
      <c r="J751" t="s">
        <v>2162</v>
      </c>
      <c r="K751">
        <v>10416.969999999999</v>
      </c>
      <c r="L751">
        <v>252.63</v>
      </c>
      <c r="M751">
        <v>6900</v>
      </c>
      <c r="N751" t="s">
        <v>79</v>
      </c>
      <c r="O751">
        <v>3</v>
      </c>
      <c r="P751" t="s">
        <v>2449</v>
      </c>
      <c r="Q751" t="s">
        <v>2206</v>
      </c>
      <c r="R751" t="s">
        <v>159</v>
      </c>
      <c r="S751">
        <v>35</v>
      </c>
      <c r="T751">
        <v>36</v>
      </c>
      <c r="U751">
        <v>690</v>
      </c>
      <c r="V751" t="s">
        <v>3982</v>
      </c>
      <c r="W751" t="s">
        <v>3983</v>
      </c>
      <c r="X751" t="s">
        <v>79</v>
      </c>
    </row>
    <row r="752" spans="1:24">
      <c r="A752">
        <v>69030</v>
      </c>
      <c r="B752" t="s">
        <v>3986</v>
      </c>
      <c r="C752" t="s">
        <v>2162</v>
      </c>
      <c r="E752" t="s">
        <v>3954</v>
      </c>
      <c r="F752" t="s">
        <v>2162</v>
      </c>
      <c r="G752">
        <v>1</v>
      </c>
      <c r="H752">
        <v>200</v>
      </c>
      <c r="I752" t="s">
        <v>3981</v>
      </c>
      <c r="J752" t="s">
        <v>2162</v>
      </c>
      <c r="K752">
        <v>10416.969999999999</v>
      </c>
      <c r="L752">
        <v>252.63</v>
      </c>
      <c r="M752">
        <v>6900</v>
      </c>
      <c r="N752" t="s">
        <v>79</v>
      </c>
      <c r="O752">
        <v>3</v>
      </c>
      <c r="P752" t="s">
        <v>2449</v>
      </c>
      <c r="Q752" t="s">
        <v>2206</v>
      </c>
      <c r="R752" t="s">
        <v>159</v>
      </c>
      <c r="S752">
        <v>2</v>
      </c>
      <c r="T752">
        <v>2</v>
      </c>
      <c r="U752">
        <v>690</v>
      </c>
      <c r="V752" t="s">
        <v>3982</v>
      </c>
      <c r="W752" t="s">
        <v>3987</v>
      </c>
      <c r="X752" t="s">
        <v>79</v>
      </c>
    </row>
    <row r="753" spans="1:24">
      <c r="A753">
        <v>71120</v>
      </c>
      <c r="B753" t="s">
        <v>3988</v>
      </c>
      <c r="C753" t="s">
        <v>3989</v>
      </c>
      <c r="D753" t="s">
        <v>10</v>
      </c>
      <c r="E753" t="s">
        <v>3990</v>
      </c>
      <c r="F753" t="s">
        <v>3989</v>
      </c>
      <c r="G753">
        <v>4000</v>
      </c>
      <c r="H753">
        <v>200000</v>
      </c>
      <c r="I753" t="s">
        <v>3991</v>
      </c>
      <c r="J753" t="s">
        <v>10</v>
      </c>
      <c r="K753">
        <v>280.10000000000002</v>
      </c>
      <c r="L753">
        <v>2.88</v>
      </c>
      <c r="M753">
        <v>7110</v>
      </c>
      <c r="N753" t="s">
        <v>79</v>
      </c>
      <c r="O753">
        <v>2</v>
      </c>
      <c r="P753" t="s">
        <v>3992</v>
      </c>
      <c r="Q753" t="s">
        <v>2198</v>
      </c>
      <c r="R753" t="s">
        <v>2199</v>
      </c>
      <c r="S753">
        <v>1013</v>
      </c>
      <c r="T753">
        <v>1016</v>
      </c>
      <c r="U753">
        <v>711</v>
      </c>
      <c r="V753" t="s">
        <v>3993</v>
      </c>
      <c r="W753" t="s">
        <v>3994</v>
      </c>
      <c r="X753" t="s">
        <v>79</v>
      </c>
    </row>
    <row r="754" spans="1:24">
      <c r="A754">
        <v>71125</v>
      </c>
      <c r="B754" t="s">
        <v>3995</v>
      </c>
      <c r="C754" t="s">
        <v>3989</v>
      </c>
      <c r="D754" t="s">
        <v>10</v>
      </c>
      <c r="E754" t="s">
        <v>3990</v>
      </c>
      <c r="F754" t="s">
        <v>3989</v>
      </c>
      <c r="G754">
        <v>4000</v>
      </c>
      <c r="H754">
        <v>200000</v>
      </c>
      <c r="I754" t="s">
        <v>3991</v>
      </c>
      <c r="J754" t="s">
        <v>10</v>
      </c>
      <c r="K754">
        <v>280.10000000000002</v>
      </c>
      <c r="L754">
        <v>2.88</v>
      </c>
      <c r="M754">
        <v>7110</v>
      </c>
      <c r="N754" t="s">
        <v>79</v>
      </c>
      <c r="O754">
        <v>2</v>
      </c>
      <c r="P754" t="s">
        <v>3992</v>
      </c>
      <c r="Q754" t="s">
        <v>2198</v>
      </c>
      <c r="R754" t="s">
        <v>2199</v>
      </c>
      <c r="S754">
        <v>7322</v>
      </c>
      <c r="T754">
        <v>7384</v>
      </c>
      <c r="U754">
        <v>711</v>
      </c>
      <c r="V754" t="s">
        <v>3993</v>
      </c>
      <c r="W754" t="s">
        <v>3996</v>
      </c>
      <c r="X754" t="s">
        <v>79</v>
      </c>
    </row>
    <row r="755" spans="1:24">
      <c r="A755">
        <v>71129</v>
      </c>
      <c r="B755" t="s">
        <v>3997</v>
      </c>
      <c r="C755" t="s">
        <v>3989</v>
      </c>
      <c r="D755" t="s">
        <v>10</v>
      </c>
      <c r="E755" t="s">
        <v>3990</v>
      </c>
      <c r="F755" t="s">
        <v>3989</v>
      </c>
      <c r="G755">
        <v>4000</v>
      </c>
      <c r="H755">
        <v>200000</v>
      </c>
      <c r="I755" t="s">
        <v>3991</v>
      </c>
      <c r="J755" t="s">
        <v>10</v>
      </c>
      <c r="K755">
        <v>280.10000000000002</v>
      </c>
      <c r="L755">
        <v>2.88</v>
      </c>
      <c r="M755">
        <v>7110</v>
      </c>
      <c r="N755" t="s">
        <v>79</v>
      </c>
      <c r="O755">
        <v>2</v>
      </c>
      <c r="P755" t="s">
        <v>3992</v>
      </c>
      <c r="Q755" t="s">
        <v>2198</v>
      </c>
      <c r="R755" t="s">
        <v>2199</v>
      </c>
      <c r="S755">
        <v>2</v>
      </c>
      <c r="T755">
        <v>2</v>
      </c>
      <c r="U755">
        <v>711</v>
      </c>
      <c r="V755" t="s">
        <v>3993</v>
      </c>
      <c r="W755" t="s">
        <v>3998</v>
      </c>
      <c r="X755" t="s">
        <v>79</v>
      </c>
    </row>
    <row r="756" spans="1:24">
      <c r="A756">
        <v>71130</v>
      </c>
      <c r="B756" t="s">
        <v>3999</v>
      </c>
      <c r="C756" t="s">
        <v>3989</v>
      </c>
      <c r="D756" t="s">
        <v>10</v>
      </c>
      <c r="E756" t="s">
        <v>3990</v>
      </c>
      <c r="F756" t="s">
        <v>3989</v>
      </c>
      <c r="G756">
        <v>4000</v>
      </c>
      <c r="H756">
        <v>200000</v>
      </c>
      <c r="I756" t="s">
        <v>3991</v>
      </c>
      <c r="J756" t="s">
        <v>10</v>
      </c>
      <c r="K756">
        <v>280.10000000000002</v>
      </c>
      <c r="L756">
        <v>2.88</v>
      </c>
      <c r="M756">
        <v>7110</v>
      </c>
      <c r="N756" t="s">
        <v>79</v>
      </c>
      <c r="O756">
        <v>2</v>
      </c>
      <c r="P756" t="s">
        <v>3992</v>
      </c>
      <c r="Q756" t="s">
        <v>2198</v>
      </c>
      <c r="R756" t="s">
        <v>2199</v>
      </c>
      <c r="S756">
        <v>19041</v>
      </c>
      <c r="T756">
        <v>19048</v>
      </c>
      <c r="U756">
        <v>711</v>
      </c>
      <c r="V756" t="s">
        <v>3993</v>
      </c>
      <c r="W756" t="s">
        <v>3999</v>
      </c>
      <c r="X756" t="s">
        <v>79</v>
      </c>
    </row>
    <row r="757" spans="1:24">
      <c r="A757">
        <v>71134</v>
      </c>
      <c r="B757" t="s">
        <v>4000</v>
      </c>
      <c r="C757" t="s">
        <v>3989</v>
      </c>
      <c r="D757" t="s">
        <v>10</v>
      </c>
      <c r="E757" t="s">
        <v>3990</v>
      </c>
      <c r="F757" t="s">
        <v>3989</v>
      </c>
      <c r="G757">
        <v>4000</v>
      </c>
      <c r="H757">
        <v>200000</v>
      </c>
      <c r="I757" t="s">
        <v>3991</v>
      </c>
      <c r="J757" t="s">
        <v>10</v>
      </c>
      <c r="K757">
        <v>280.10000000000002</v>
      </c>
      <c r="L757">
        <v>2.88</v>
      </c>
      <c r="M757">
        <v>7110</v>
      </c>
      <c r="N757" t="s">
        <v>79</v>
      </c>
      <c r="O757">
        <v>2</v>
      </c>
      <c r="P757" t="s">
        <v>3992</v>
      </c>
      <c r="Q757" t="s">
        <v>2198</v>
      </c>
      <c r="R757" t="s">
        <v>2199</v>
      </c>
      <c r="S757">
        <v>268</v>
      </c>
      <c r="T757">
        <v>268</v>
      </c>
      <c r="U757">
        <v>711</v>
      </c>
      <c r="V757" t="s">
        <v>3993</v>
      </c>
      <c r="W757" t="s">
        <v>4000</v>
      </c>
      <c r="X757" t="s">
        <v>79</v>
      </c>
    </row>
    <row r="758" spans="1:24">
      <c r="A758">
        <v>71135</v>
      </c>
      <c r="B758" t="s">
        <v>4001</v>
      </c>
      <c r="C758" t="s">
        <v>3989</v>
      </c>
      <c r="D758" t="s">
        <v>10</v>
      </c>
      <c r="E758" t="s">
        <v>3990</v>
      </c>
      <c r="F758" t="s">
        <v>3989</v>
      </c>
      <c r="G758">
        <v>4000</v>
      </c>
      <c r="H758">
        <v>200000</v>
      </c>
      <c r="I758" t="s">
        <v>3991</v>
      </c>
      <c r="J758" t="s">
        <v>10</v>
      </c>
      <c r="K758">
        <v>280.10000000000002</v>
      </c>
      <c r="L758">
        <v>2.88</v>
      </c>
      <c r="M758">
        <v>7110</v>
      </c>
      <c r="N758" t="s">
        <v>79</v>
      </c>
      <c r="O758">
        <v>2</v>
      </c>
      <c r="P758" t="s">
        <v>3992</v>
      </c>
      <c r="Q758" t="s">
        <v>2198</v>
      </c>
      <c r="R758" t="s">
        <v>2199</v>
      </c>
      <c r="S758">
        <v>5929</v>
      </c>
      <c r="T758">
        <v>5930</v>
      </c>
      <c r="U758">
        <v>711</v>
      </c>
      <c r="V758" t="s">
        <v>3993</v>
      </c>
      <c r="W758" t="s">
        <v>4001</v>
      </c>
      <c r="X758" t="s">
        <v>79</v>
      </c>
    </row>
    <row r="759" spans="1:24">
      <c r="A759">
        <v>71139</v>
      </c>
      <c r="B759" t="s">
        <v>4002</v>
      </c>
      <c r="C759" t="s">
        <v>3989</v>
      </c>
      <c r="D759" t="s">
        <v>10</v>
      </c>
      <c r="E759" t="s">
        <v>3990</v>
      </c>
      <c r="F759" t="s">
        <v>3989</v>
      </c>
      <c r="G759">
        <v>4000</v>
      </c>
      <c r="H759">
        <v>200000</v>
      </c>
      <c r="I759" t="s">
        <v>3991</v>
      </c>
      <c r="J759" t="s">
        <v>10</v>
      </c>
      <c r="K759">
        <v>280.10000000000002</v>
      </c>
      <c r="L759">
        <v>2.88</v>
      </c>
      <c r="M759">
        <v>7110</v>
      </c>
      <c r="N759" t="s">
        <v>79</v>
      </c>
      <c r="O759">
        <v>2</v>
      </c>
      <c r="P759" t="s">
        <v>3992</v>
      </c>
      <c r="Q759" t="s">
        <v>2198</v>
      </c>
      <c r="R759" t="s">
        <v>2199</v>
      </c>
      <c r="S759">
        <v>38</v>
      </c>
      <c r="T759">
        <v>38</v>
      </c>
      <c r="U759">
        <v>711</v>
      </c>
      <c r="V759" t="s">
        <v>3993</v>
      </c>
      <c r="W759" t="s">
        <v>4003</v>
      </c>
      <c r="X759" t="s">
        <v>79</v>
      </c>
    </row>
    <row r="760" spans="1:24">
      <c r="A760">
        <v>71145</v>
      </c>
      <c r="B760" t="s">
        <v>4004</v>
      </c>
      <c r="C760" t="s">
        <v>3989</v>
      </c>
      <c r="D760" t="s">
        <v>10</v>
      </c>
      <c r="E760" t="s">
        <v>3990</v>
      </c>
      <c r="F760" t="s">
        <v>3989</v>
      </c>
      <c r="N760" t="s">
        <v>79</v>
      </c>
      <c r="O760">
        <v>2</v>
      </c>
      <c r="P760" t="s">
        <v>3992</v>
      </c>
      <c r="Q760" t="s">
        <v>2198</v>
      </c>
      <c r="S760">
        <v>41</v>
      </c>
      <c r="T760">
        <v>41</v>
      </c>
      <c r="U760">
        <v>711</v>
      </c>
      <c r="V760" t="s">
        <v>3993</v>
      </c>
      <c r="W760" t="s">
        <v>4005</v>
      </c>
      <c r="X760" t="s">
        <v>79</v>
      </c>
    </row>
    <row r="761" spans="1:24">
      <c r="A761">
        <v>71150</v>
      </c>
      <c r="B761" t="s">
        <v>4006</v>
      </c>
      <c r="C761" t="s">
        <v>3989</v>
      </c>
      <c r="D761" t="s">
        <v>10</v>
      </c>
      <c r="E761" t="s">
        <v>3990</v>
      </c>
      <c r="F761" t="s">
        <v>3989</v>
      </c>
      <c r="G761">
        <v>4000</v>
      </c>
      <c r="H761">
        <v>200000</v>
      </c>
      <c r="I761" t="s">
        <v>3991</v>
      </c>
      <c r="J761" t="s">
        <v>10</v>
      </c>
      <c r="K761">
        <v>280.10000000000002</v>
      </c>
      <c r="L761">
        <v>2.88</v>
      </c>
      <c r="M761">
        <v>7110</v>
      </c>
      <c r="N761" t="s">
        <v>79</v>
      </c>
      <c r="O761">
        <v>2</v>
      </c>
      <c r="P761" t="s">
        <v>3992</v>
      </c>
      <c r="Q761" t="s">
        <v>2198</v>
      </c>
      <c r="R761" t="s">
        <v>2199</v>
      </c>
      <c r="S761">
        <v>219</v>
      </c>
      <c r="T761">
        <v>219</v>
      </c>
      <c r="U761">
        <v>711</v>
      </c>
      <c r="V761" t="s">
        <v>3993</v>
      </c>
      <c r="W761" t="s">
        <v>4007</v>
      </c>
      <c r="X761" t="s">
        <v>79</v>
      </c>
    </row>
    <row r="762" spans="1:24">
      <c r="A762">
        <v>71155</v>
      </c>
      <c r="B762" t="s">
        <v>4008</v>
      </c>
      <c r="C762" t="s">
        <v>3989</v>
      </c>
      <c r="D762" t="s">
        <v>10</v>
      </c>
      <c r="E762" t="s">
        <v>3990</v>
      </c>
      <c r="F762" t="s">
        <v>3989</v>
      </c>
      <c r="G762">
        <v>4000</v>
      </c>
      <c r="H762">
        <v>200000</v>
      </c>
      <c r="I762" t="s">
        <v>3991</v>
      </c>
      <c r="J762" t="s">
        <v>10</v>
      </c>
      <c r="K762">
        <v>280.10000000000002</v>
      </c>
      <c r="L762">
        <v>2.88</v>
      </c>
      <c r="M762">
        <v>7110</v>
      </c>
      <c r="N762" t="s">
        <v>79</v>
      </c>
      <c r="O762">
        <v>2</v>
      </c>
      <c r="P762" t="s">
        <v>3992</v>
      </c>
      <c r="Q762" t="s">
        <v>2198</v>
      </c>
      <c r="R762" t="s">
        <v>2199</v>
      </c>
      <c r="S762">
        <v>1610</v>
      </c>
      <c r="T762">
        <v>1610</v>
      </c>
      <c r="U762">
        <v>711</v>
      </c>
      <c r="V762" t="s">
        <v>3993</v>
      </c>
      <c r="W762" t="s">
        <v>4008</v>
      </c>
      <c r="X762" t="s">
        <v>79</v>
      </c>
    </row>
    <row r="763" spans="1:24">
      <c r="A763">
        <v>71156</v>
      </c>
      <c r="B763" t="s">
        <v>4009</v>
      </c>
      <c r="C763" t="s">
        <v>10</v>
      </c>
      <c r="D763" t="s">
        <v>10</v>
      </c>
      <c r="F763" t="s">
        <v>3989</v>
      </c>
      <c r="G763">
        <v>75000</v>
      </c>
      <c r="H763">
        <v>500000</v>
      </c>
      <c r="I763" t="s">
        <v>4010</v>
      </c>
      <c r="J763" t="s">
        <v>10</v>
      </c>
      <c r="K763">
        <v>296</v>
      </c>
      <c r="L763">
        <v>4.93</v>
      </c>
      <c r="M763">
        <v>7113</v>
      </c>
      <c r="N763" t="s">
        <v>125</v>
      </c>
      <c r="O763">
        <v>3</v>
      </c>
      <c r="P763" t="s">
        <v>3992</v>
      </c>
      <c r="Q763" t="s">
        <v>2198</v>
      </c>
      <c r="R763" t="s">
        <v>2199</v>
      </c>
      <c r="S763">
        <v>59</v>
      </c>
      <c r="T763">
        <v>59</v>
      </c>
      <c r="U763">
        <v>711</v>
      </c>
      <c r="V763" t="s">
        <v>3993</v>
      </c>
      <c r="W763" t="s">
        <v>4011</v>
      </c>
      <c r="X763" t="s">
        <v>79</v>
      </c>
    </row>
    <row r="764" spans="1:24">
      <c r="A764">
        <v>71159</v>
      </c>
      <c r="B764" t="s">
        <v>4012</v>
      </c>
      <c r="C764" t="s">
        <v>3989</v>
      </c>
      <c r="D764" t="s">
        <v>10</v>
      </c>
      <c r="E764" t="s">
        <v>3990</v>
      </c>
      <c r="F764" t="s">
        <v>3989</v>
      </c>
      <c r="G764">
        <v>4000</v>
      </c>
      <c r="H764">
        <v>200000</v>
      </c>
      <c r="I764" t="s">
        <v>3991</v>
      </c>
      <c r="J764" t="s">
        <v>10</v>
      </c>
      <c r="K764">
        <v>280.10000000000002</v>
      </c>
      <c r="L764">
        <v>2.88</v>
      </c>
      <c r="M764">
        <v>7110</v>
      </c>
      <c r="N764" t="s">
        <v>79</v>
      </c>
      <c r="O764">
        <v>2</v>
      </c>
      <c r="P764" t="s">
        <v>3992</v>
      </c>
      <c r="Q764" t="s">
        <v>2198</v>
      </c>
      <c r="R764" t="s">
        <v>2199</v>
      </c>
      <c r="S764">
        <v>12</v>
      </c>
      <c r="T764">
        <v>12</v>
      </c>
      <c r="U764">
        <v>711</v>
      </c>
      <c r="V764" t="s">
        <v>3993</v>
      </c>
      <c r="W764" t="s">
        <v>4013</v>
      </c>
      <c r="X764" t="s">
        <v>79</v>
      </c>
    </row>
    <row r="765" spans="1:24">
      <c r="A765">
        <v>71311</v>
      </c>
      <c r="B765" t="s">
        <v>4014</v>
      </c>
      <c r="C765" t="s">
        <v>3989</v>
      </c>
      <c r="D765" t="s">
        <v>2097</v>
      </c>
      <c r="E765" t="s">
        <v>4015</v>
      </c>
      <c r="F765" t="s">
        <v>3989</v>
      </c>
      <c r="G765">
        <v>240</v>
      </c>
      <c r="H765">
        <v>250</v>
      </c>
      <c r="I765" t="s">
        <v>4016</v>
      </c>
      <c r="J765" t="s">
        <v>2097</v>
      </c>
      <c r="K765">
        <v>52.78</v>
      </c>
      <c r="L765">
        <v>2.9</v>
      </c>
      <c r="M765">
        <v>7130</v>
      </c>
      <c r="N765" t="s">
        <v>79</v>
      </c>
      <c r="O765">
        <v>3</v>
      </c>
      <c r="P765" t="s">
        <v>3992</v>
      </c>
      <c r="Q765" t="s">
        <v>2198</v>
      </c>
      <c r="R765" t="s">
        <v>2102</v>
      </c>
      <c r="S765">
        <v>2</v>
      </c>
      <c r="T765">
        <v>2</v>
      </c>
      <c r="U765">
        <v>713</v>
      </c>
      <c r="V765" t="s">
        <v>4017</v>
      </c>
      <c r="W765" t="s">
        <v>4018</v>
      </c>
      <c r="X765" t="s">
        <v>79</v>
      </c>
    </row>
    <row r="766" spans="1:24">
      <c r="A766">
        <v>71410</v>
      </c>
      <c r="B766" t="s">
        <v>4019</v>
      </c>
      <c r="C766" t="s">
        <v>10</v>
      </c>
      <c r="D766" t="s">
        <v>10</v>
      </c>
      <c r="F766" t="s">
        <v>4020</v>
      </c>
      <c r="G766">
        <v>580</v>
      </c>
      <c r="H766">
        <v>5100</v>
      </c>
      <c r="I766" t="s">
        <v>4021</v>
      </c>
      <c r="J766" t="s">
        <v>10</v>
      </c>
      <c r="K766">
        <v>57.15</v>
      </c>
      <c r="L766">
        <v>1.67</v>
      </c>
      <c r="M766">
        <v>7141</v>
      </c>
      <c r="N766" t="s">
        <v>79</v>
      </c>
      <c r="O766">
        <v>2</v>
      </c>
      <c r="P766" t="s">
        <v>3992</v>
      </c>
      <c r="Q766" t="s">
        <v>2198</v>
      </c>
      <c r="R766" t="s">
        <v>2199</v>
      </c>
      <c r="S766">
        <v>2751</v>
      </c>
      <c r="T766">
        <v>3194</v>
      </c>
      <c r="U766">
        <v>714</v>
      </c>
      <c r="V766" t="s">
        <v>4022</v>
      </c>
      <c r="W766" t="s">
        <v>4023</v>
      </c>
      <c r="X766" t="s">
        <v>79</v>
      </c>
    </row>
    <row r="767" spans="1:24">
      <c r="A767">
        <v>71420</v>
      </c>
      <c r="B767" t="s">
        <v>4024</v>
      </c>
      <c r="C767" t="s">
        <v>10</v>
      </c>
      <c r="D767" t="s">
        <v>10</v>
      </c>
      <c r="F767" t="s">
        <v>4020</v>
      </c>
      <c r="G767">
        <v>470</v>
      </c>
      <c r="H767">
        <v>6000</v>
      </c>
      <c r="I767" t="s">
        <v>4025</v>
      </c>
      <c r="J767" t="s">
        <v>10</v>
      </c>
      <c r="K767">
        <v>32.770000000000003</v>
      </c>
      <c r="L767">
        <v>0.75</v>
      </c>
      <c r="M767">
        <v>7147</v>
      </c>
      <c r="N767" t="s">
        <v>79</v>
      </c>
      <c r="O767">
        <v>2</v>
      </c>
      <c r="P767" t="s">
        <v>3992</v>
      </c>
      <c r="Q767" t="s">
        <v>2198</v>
      </c>
      <c r="R767" t="s">
        <v>159</v>
      </c>
      <c r="S767">
        <v>2658</v>
      </c>
      <c r="T767">
        <v>3448</v>
      </c>
      <c r="U767">
        <v>714</v>
      </c>
      <c r="V767" t="s">
        <v>4022</v>
      </c>
      <c r="W767" t="s">
        <v>4026</v>
      </c>
      <c r="X767" t="s">
        <v>79</v>
      </c>
    </row>
    <row r="768" spans="1:24">
      <c r="A768">
        <v>71430</v>
      </c>
      <c r="B768" t="s">
        <v>4027</v>
      </c>
      <c r="C768" t="s">
        <v>10</v>
      </c>
      <c r="D768" t="s">
        <v>10</v>
      </c>
      <c r="G768">
        <v>920</v>
      </c>
      <c r="H768">
        <v>25000</v>
      </c>
      <c r="I768" t="s">
        <v>4028</v>
      </c>
      <c r="J768" t="s">
        <v>10</v>
      </c>
      <c r="K768">
        <v>43.24</v>
      </c>
      <c r="L768">
        <v>1.69</v>
      </c>
      <c r="M768">
        <v>7143</v>
      </c>
      <c r="N768" t="s">
        <v>79</v>
      </c>
      <c r="O768">
        <v>3</v>
      </c>
      <c r="P768" t="s">
        <v>3992</v>
      </c>
      <c r="Q768" t="s">
        <v>2198</v>
      </c>
      <c r="R768" t="s">
        <v>2199</v>
      </c>
      <c r="S768">
        <v>938</v>
      </c>
      <c r="T768">
        <v>1375</v>
      </c>
      <c r="U768">
        <v>714</v>
      </c>
      <c r="V768" t="s">
        <v>4022</v>
      </c>
      <c r="W768" t="s">
        <v>4029</v>
      </c>
      <c r="X768" t="s">
        <v>79</v>
      </c>
    </row>
    <row r="769" spans="1:24">
      <c r="A769">
        <v>71431</v>
      </c>
      <c r="B769" t="s">
        <v>4030</v>
      </c>
      <c r="C769" t="s">
        <v>2162</v>
      </c>
      <c r="D769" t="s">
        <v>10</v>
      </c>
      <c r="F769" t="s">
        <v>2162</v>
      </c>
      <c r="G769">
        <v>920</v>
      </c>
      <c r="H769">
        <v>25000</v>
      </c>
      <c r="I769" t="s">
        <v>4028</v>
      </c>
      <c r="J769" t="s">
        <v>10</v>
      </c>
      <c r="K769">
        <v>43.24</v>
      </c>
      <c r="L769">
        <v>1.69</v>
      </c>
      <c r="M769">
        <v>7143</v>
      </c>
      <c r="N769" t="s">
        <v>79</v>
      </c>
      <c r="O769">
        <v>3</v>
      </c>
      <c r="P769" t="s">
        <v>3992</v>
      </c>
      <c r="Q769" t="s">
        <v>2198</v>
      </c>
      <c r="R769" t="s">
        <v>2199</v>
      </c>
      <c r="S769">
        <v>151</v>
      </c>
      <c r="T769">
        <v>151</v>
      </c>
      <c r="U769">
        <v>714</v>
      </c>
      <c r="V769" t="s">
        <v>4022</v>
      </c>
      <c r="W769" t="s">
        <v>4031</v>
      </c>
      <c r="X769" t="s">
        <v>79</v>
      </c>
    </row>
    <row r="770" spans="1:24">
      <c r="A770">
        <v>71432</v>
      </c>
      <c r="B770" t="s">
        <v>4032</v>
      </c>
      <c r="C770" t="s">
        <v>10</v>
      </c>
      <c r="D770" t="s">
        <v>10</v>
      </c>
      <c r="G770">
        <v>10000</v>
      </c>
      <c r="H770">
        <v>53000</v>
      </c>
      <c r="I770" t="s">
        <v>4033</v>
      </c>
      <c r="J770" t="s">
        <v>10</v>
      </c>
      <c r="K770">
        <v>366.27</v>
      </c>
      <c r="L770">
        <v>4.72</v>
      </c>
      <c r="M770">
        <v>7440</v>
      </c>
      <c r="N770" t="s">
        <v>79</v>
      </c>
      <c r="O770">
        <v>1</v>
      </c>
      <c r="P770" t="s">
        <v>3992</v>
      </c>
      <c r="Q770" t="s">
        <v>2198</v>
      </c>
      <c r="R770" t="s">
        <v>2199</v>
      </c>
      <c r="S770">
        <v>125</v>
      </c>
      <c r="T770">
        <v>133</v>
      </c>
      <c r="U770">
        <v>714</v>
      </c>
      <c r="V770" t="s">
        <v>4022</v>
      </c>
      <c r="W770" t="s">
        <v>4034</v>
      </c>
      <c r="X770" t="s">
        <v>79</v>
      </c>
    </row>
    <row r="771" spans="1:24">
      <c r="A771">
        <v>71433</v>
      </c>
      <c r="B771" t="s">
        <v>4035</v>
      </c>
      <c r="C771" t="s">
        <v>10</v>
      </c>
      <c r="D771" t="s">
        <v>10</v>
      </c>
      <c r="G771">
        <v>8400</v>
      </c>
      <c r="H771">
        <v>1000000</v>
      </c>
      <c r="I771" t="s">
        <v>2780</v>
      </c>
      <c r="J771" t="s">
        <v>10</v>
      </c>
      <c r="K771">
        <v>587</v>
      </c>
      <c r="L771">
        <v>4.5999999999999996</v>
      </c>
      <c r="M771">
        <v>6100</v>
      </c>
      <c r="N771" t="s">
        <v>79</v>
      </c>
      <c r="O771">
        <v>1</v>
      </c>
      <c r="P771" t="s">
        <v>3992</v>
      </c>
      <c r="Q771" t="s">
        <v>2198</v>
      </c>
      <c r="R771" t="s">
        <v>2199</v>
      </c>
      <c r="S771">
        <v>34</v>
      </c>
      <c r="T771">
        <v>53</v>
      </c>
      <c r="U771">
        <v>714</v>
      </c>
      <c r="V771" t="s">
        <v>4022</v>
      </c>
      <c r="W771" t="s">
        <v>4036</v>
      </c>
      <c r="X771" t="s">
        <v>79</v>
      </c>
    </row>
    <row r="772" spans="1:24">
      <c r="A772">
        <v>71477</v>
      </c>
      <c r="B772" t="s">
        <v>4037</v>
      </c>
      <c r="C772" t="s">
        <v>10</v>
      </c>
      <c r="D772" t="s">
        <v>10</v>
      </c>
      <c r="G772">
        <v>270</v>
      </c>
      <c r="H772">
        <v>24000</v>
      </c>
      <c r="I772" t="s">
        <v>4038</v>
      </c>
      <c r="J772" t="s">
        <v>10</v>
      </c>
      <c r="K772">
        <v>34.630000000000003</v>
      </c>
      <c r="L772">
        <v>0.8</v>
      </c>
      <c r="M772">
        <v>7142</v>
      </c>
      <c r="N772" t="s">
        <v>79</v>
      </c>
      <c r="O772">
        <v>2</v>
      </c>
      <c r="P772" t="s">
        <v>3992</v>
      </c>
      <c r="Q772" t="s">
        <v>2198</v>
      </c>
      <c r="R772" t="s">
        <v>2199</v>
      </c>
      <c r="S772">
        <v>801</v>
      </c>
      <c r="T772">
        <v>1546</v>
      </c>
      <c r="U772">
        <v>714</v>
      </c>
      <c r="V772" t="s">
        <v>4022</v>
      </c>
      <c r="W772" t="s">
        <v>4039</v>
      </c>
      <c r="X772" t="s">
        <v>79</v>
      </c>
    </row>
    <row r="773" spans="1:24">
      <c r="A773">
        <v>72111</v>
      </c>
      <c r="B773" t="s">
        <v>4040</v>
      </c>
      <c r="C773" t="s">
        <v>2740</v>
      </c>
      <c r="D773" t="s">
        <v>10</v>
      </c>
      <c r="F773" t="s">
        <v>2740</v>
      </c>
      <c r="G773">
        <v>30000</v>
      </c>
      <c r="H773">
        <v>330000</v>
      </c>
      <c r="I773" t="s">
        <v>4041</v>
      </c>
      <c r="J773" t="s">
        <v>10</v>
      </c>
      <c r="K773">
        <v>510</v>
      </c>
      <c r="L773">
        <v>6.01</v>
      </c>
      <c r="M773">
        <v>7210</v>
      </c>
      <c r="N773" t="s">
        <v>125</v>
      </c>
      <c r="O773">
        <v>1</v>
      </c>
      <c r="P773" t="s">
        <v>4042</v>
      </c>
      <c r="Q773" t="s">
        <v>2198</v>
      </c>
      <c r="R773" t="s">
        <v>2199</v>
      </c>
      <c r="S773">
        <v>1599</v>
      </c>
      <c r="T773">
        <v>1637</v>
      </c>
      <c r="U773">
        <v>721</v>
      </c>
      <c r="V773" t="s">
        <v>4041</v>
      </c>
      <c r="W773" t="s">
        <v>4040</v>
      </c>
      <c r="X773" t="s">
        <v>79</v>
      </c>
    </row>
    <row r="774" spans="1:24">
      <c r="A774">
        <v>72114</v>
      </c>
      <c r="B774" t="s">
        <v>4043</v>
      </c>
      <c r="C774" t="s">
        <v>2740</v>
      </c>
      <c r="D774" t="s">
        <v>10</v>
      </c>
      <c r="F774" t="s">
        <v>2740</v>
      </c>
      <c r="G774">
        <v>60000</v>
      </c>
      <c r="H774">
        <v>210000</v>
      </c>
      <c r="I774" t="s">
        <v>4043</v>
      </c>
      <c r="J774" t="s">
        <v>10</v>
      </c>
      <c r="K774">
        <v>373</v>
      </c>
      <c r="L774">
        <v>4.63</v>
      </c>
      <c r="M774">
        <v>7213</v>
      </c>
      <c r="N774" t="s">
        <v>125</v>
      </c>
      <c r="P774" t="s">
        <v>4044</v>
      </c>
      <c r="Q774" t="s">
        <v>2198</v>
      </c>
      <c r="R774" t="s">
        <v>2199</v>
      </c>
      <c r="S774">
        <v>192</v>
      </c>
      <c r="T774">
        <v>196</v>
      </c>
      <c r="U774">
        <v>721</v>
      </c>
      <c r="V774" t="s">
        <v>4041</v>
      </c>
      <c r="W774" t="s">
        <v>4045</v>
      </c>
      <c r="X774" t="s">
        <v>79</v>
      </c>
    </row>
    <row r="775" spans="1:24">
      <c r="A775">
        <v>72115</v>
      </c>
      <c r="B775" t="s">
        <v>4046</v>
      </c>
      <c r="C775" t="s">
        <v>2740</v>
      </c>
      <c r="D775" t="s">
        <v>10</v>
      </c>
      <c r="F775" t="s">
        <v>2740</v>
      </c>
      <c r="G775">
        <v>59000</v>
      </c>
      <c r="H775">
        <v>200000</v>
      </c>
      <c r="I775" t="s">
        <v>4047</v>
      </c>
      <c r="J775" t="s">
        <v>10</v>
      </c>
      <c r="K775">
        <v>373</v>
      </c>
      <c r="L775">
        <v>6.72</v>
      </c>
      <c r="M775">
        <v>7218</v>
      </c>
      <c r="N775" t="s">
        <v>125</v>
      </c>
      <c r="O775">
        <v>1</v>
      </c>
      <c r="P775" t="s">
        <v>4044</v>
      </c>
      <c r="Q775" t="s">
        <v>2198</v>
      </c>
      <c r="R775" t="s">
        <v>2199</v>
      </c>
      <c r="S775">
        <v>114</v>
      </c>
      <c r="T775">
        <v>117</v>
      </c>
      <c r="U775">
        <v>721</v>
      </c>
      <c r="V775" t="s">
        <v>4041</v>
      </c>
      <c r="W775" t="s">
        <v>4048</v>
      </c>
      <c r="X775" t="s">
        <v>79</v>
      </c>
    </row>
    <row r="776" spans="1:24">
      <c r="A776">
        <v>72127</v>
      </c>
      <c r="B776" t="s">
        <v>4049</v>
      </c>
      <c r="C776" t="s">
        <v>10</v>
      </c>
      <c r="D776" t="s">
        <v>10</v>
      </c>
      <c r="G776">
        <v>5000</v>
      </c>
      <c r="H776">
        <v>200000</v>
      </c>
      <c r="I776" t="s">
        <v>4050</v>
      </c>
      <c r="J776" t="s">
        <v>10</v>
      </c>
      <c r="K776">
        <v>510</v>
      </c>
      <c r="L776">
        <v>6.82</v>
      </c>
      <c r="M776">
        <v>7212</v>
      </c>
      <c r="N776" t="s">
        <v>125</v>
      </c>
      <c r="O776">
        <v>1</v>
      </c>
      <c r="P776" t="s">
        <v>4042</v>
      </c>
      <c r="Q776" t="s">
        <v>2198</v>
      </c>
      <c r="R776" t="s">
        <v>2199</v>
      </c>
      <c r="S776">
        <v>306</v>
      </c>
      <c r="T776">
        <v>309</v>
      </c>
      <c r="U776">
        <v>721</v>
      </c>
      <c r="V776" t="s">
        <v>4041</v>
      </c>
      <c r="W776" t="s">
        <v>4051</v>
      </c>
      <c r="X776" t="s">
        <v>79</v>
      </c>
    </row>
    <row r="777" spans="1:24">
      <c r="A777">
        <v>72140</v>
      </c>
      <c r="B777" t="s">
        <v>4052</v>
      </c>
      <c r="C777" t="s">
        <v>2740</v>
      </c>
      <c r="D777" t="s">
        <v>10</v>
      </c>
      <c r="F777" t="s">
        <v>2740</v>
      </c>
      <c r="G777">
        <v>22000</v>
      </c>
      <c r="H777">
        <v>220000</v>
      </c>
      <c r="I777" t="s">
        <v>4053</v>
      </c>
      <c r="J777" t="s">
        <v>10</v>
      </c>
      <c r="K777">
        <v>401.62</v>
      </c>
      <c r="L777">
        <v>7.89</v>
      </c>
      <c r="M777">
        <v>7312</v>
      </c>
      <c r="N777" t="s">
        <v>125</v>
      </c>
      <c r="O777">
        <v>1</v>
      </c>
      <c r="P777" t="s">
        <v>4054</v>
      </c>
      <c r="Q777" t="s">
        <v>2198</v>
      </c>
      <c r="R777" t="s">
        <v>2199</v>
      </c>
      <c r="S777">
        <v>2</v>
      </c>
      <c r="T777">
        <v>9</v>
      </c>
      <c r="U777">
        <v>721</v>
      </c>
      <c r="V777" t="s">
        <v>4041</v>
      </c>
      <c r="W777" t="s">
        <v>4055</v>
      </c>
      <c r="X777" t="s">
        <v>79</v>
      </c>
    </row>
    <row r="778" spans="1:24">
      <c r="A778">
        <v>72141</v>
      </c>
      <c r="B778" t="s">
        <v>4056</v>
      </c>
      <c r="C778" t="s">
        <v>10</v>
      </c>
      <c r="D778" t="s">
        <v>10</v>
      </c>
      <c r="F778" t="s">
        <v>2740</v>
      </c>
      <c r="G778">
        <v>6500</v>
      </c>
      <c r="H778">
        <v>88000</v>
      </c>
      <c r="I778" t="s">
        <v>4057</v>
      </c>
      <c r="J778" t="s">
        <v>10</v>
      </c>
      <c r="K778">
        <v>373</v>
      </c>
      <c r="L778">
        <v>4.53</v>
      </c>
      <c r="M778">
        <v>7214</v>
      </c>
      <c r="N778" t="s">
        <v>125</v>
      </c>
      <c r="O778">
        <v>2</v>
      </c>
      <c r="P778" t="s">
        <v>4042</v>
      </c>
      <c r="Q778" t="s">
        <v>2198</v>
      </c>
      <c r="R778" t="s">
        <v>2199</v>
      </c>
      <c r="S778">
        <v>174</v>
      </c>
      <c r="T778">
        <v>174</v>
      </c>
      <c r="U778">
        <v>721</v>
      </c>
      <c r="V778" t="s">
        <v>4041</v>
      </c>
      <c r="W778" t="s">
        <v>4058</v>
      </c>
      <c r="X778" t="s">
        <v>79</v>
      </c>
    </row>
    <row r="779" spans="1:24">
      <c r="A779">
        <v>72146</v>
      </c>
      <c r="B779" t="s">
        <v>4059</v>
      </c>
      <c r="C779" t="s">
        <v>2740</v>
      </c>
      <c r="D779" t="s">
        <v>10</v>
      </c>
      <c r="F779" t="s">
        <v>2740</v>
      </c>
      <c r="G779">
        <v>30000</v>
      </c>
      <c r="H779">
        <v>330000</v>
      </c>
      <c r="I779" t="s">
        <v>4041</v>
      </c>
      <c r="J779" t="s">
        <v>10</v>
      </c>
      <c r="K779">
        <v>510</v>
      </c>
      <c r="L779">
        <v>6.01</v>
      </c>
      <c r="M779">
        <v>7210</v>
      </c>
      <c r="N779" t="s">
        <v>125</v>
      </c>
      <c r="O779">
        <v>3</v>
      </c>
      <c r="P779" t="s">
        <v>4060</v>
      </c>
      <c r="Q779" t="s">
        <v>2198</v>
      </c>
      <c r="R779" t="s">
        <v>2199</v>
      </c>
      <c r="S779">
        <v>1</v>
      </c>
      <c r="T779">
        <v>2</v>
      </c>
      <c r="U779">
        <v>721</v>
      </c>
      <c r="V779" t="s">
        <v>4041</v>
      </c>
      <c r="W779" t="s">
        <v>4061</v>
      </c>
      <c r="X779" t="s">
        <v>79</v>
      </c>
    </row>
    <row r="780" spans="1:24">
      <c r="A780">
        <v>72147</v>
      </c>
      <c r="B780" t="s">
        <v>4062</v>
      </c>
      <c r="C780" t="s">
        <v>10</v>
      </c>
      <c r="D780" t="s">
        <v>10</v>
      </c>
      <c r="G780">
        <v>78000</v>
      </c>
      <c r="H780">
        <v>220000</v>
      </c>
      <c r="I780" t="s">
        <v>4062</v>
      </c>
      <c r="J780" t="s">
        <v>10</v>
      </c>
      <c r="K780">
        <v>397.07</v>
      </c>
      <c r="L780">
        <v>4.0199999999999996</v>
      </c>
      <c r="M780">
        <v>7215</v>
      </c>
      <c r="N780" t="s">
        <v>125</v>
      </c>
      <c r="O780">
        <v>1</v>
      </c>
      <c r="P780" t="s">
        <v>4063</v>
      </c>
      <c r="Q780" t="s">
        <v>2198</v>
      </c>
      <c r="R780" t="s">
        <v>2199</v>
      </c>
      <c r="S780">
        <v>3</v>
      </c>
      <c r="T780">
        <v>8</v>
      </c>
      <c r="U780">
        <v>721</v>
      </c>
      <c r="V780" t="s">
        <v>4041</v>
      </c>
      <c r="W780" t="s">
        <v>4064</v>
      </c>
      <c r="X780" t="s">
        <v>79</v>
      </c>
    </row>
    <row r="781" spans="1:24">
      <c r="A781">
        <v>72210</v>
      </c>
      <c r="B781" t="s">
        <v>4065</v>
      </c>
      <c r="C781" t="s">
        <v>2740</v>
      </c>
      <c r="D781" t="s">
        <v>10</v>
      </c>
      <c r="F781" t="s">
        <v>2740</v>
      </c>
      <c r="G781">
        <v>16000</v>
      </c>
      <c r="H781">
        <v>110000</v>
      </c>
      <c r="I781" t="s">
        <v>4066</v>
      </c>
      <c r="J781" t="s">
        <v>10</v>
      </c>
      <c r="K781">
        <v>751</v>
      </c>
      <c r="L781">
        <v>5.82</v>
      </c>
      <c r="M781">
        <v>7220</v>
      </c>
      <c r="N781" t="s">
        <v>125</v>
      </c>
      <c r="O781">
        <v>1</v>
      </c>
      <c r="P781" t="s">
        <v>4067</v>
      </c>
      <c r="Q781" t="s">
        <v>2198</v>
      </c>
      <c r="R781" t="s">
        <v>2199</v>
      </c>
      <c r="S781">
        <v>175</v>
      </c>
      <c r="T781">
        <v>225</v>
      </c>
      <c r="U781">
        <v>722</v>
      </c>
      <c r="V781" t="s">
        <v>4068</v>
      </c>
      <c r="W781" t="s">
        <v>4069</v>
      </c>
      <c r="X781" t="s">
        <v>79</v>
      </c>
    </row>
    <row r="782" spans="1:24">
      <c r="A782">
        <v>72235</v>
      </c>
      <c r="B782" t="s">
        <v>4070</v>
      </c>
      <c r="C782" t="s">
        <v>10</v>
      </c>
      <c r="D782" t="s">
        <v>10</v>
      </c>
      <c r="F782" t="s">
        <v>2740</v>
      </c>
      <c r="G782">
        <v>16000</v>
      </c>
      <c r="H782">
        <v>110000</v>
      </c>
      <c r="I782" t="s">
        <v>4066</v>
      </c>
      <c r="J782" t="s">
        <v>10</v>
      </c>
      <c r="K782">
        <v>751</v>
      </c>
      <c r="L782">
        <v>5.82</v>
      </c>
      <c r="M782">
        <v>7220</v>
      </c>
      <c r="N782" t="s">
        <v>125</v>
      </c>
      <c r="O782">
        <v>1</v>
      </c>
      <c r="P782" t="s">
        <v>4067</v>
      </c>
      <c r="Q782" t="s">
        <v>2198</v>
      </c>
      <c r="R782" t="s">
        <v>2199</v>
      </c>
      <c r="S782">
        <v>11</v>
      </c>
      <c r="T782">
        <v>15</v>
      </c>
      <c r="U782">
        <v>722</v>
      </c>
      <c r="V782" t="s">
        <v>4068</v>
      </c>
      <c r="W782" t="s">
        <v>4071</v>
      </c>
      <c r="X782" t="s">
        <v>79</v>
      </c>
    </row>
    <row r="783" spans="1:24">
      <c r="A783">
        <v>72250</v>
      </c>
      <c r="B783" t="s">
        <v>4072</v>
      </c>
      <c r="C783" t="s">
        <v>10</v>
      </c>
      <c r="D783" t="s">
        <v>10</v>
      </c>
      <c r="E783" t="s">
        <v>3847</v>
      </c>
      <c r="F783" t="s">
        <v>3848</v>
      </c>
      <c r="G783">
        <v>3500</v>
      </c>
      <c r="H783">
        <v>16000</v>
      </c>
      <c r="I783" t="s">
        <v>4073</v>
      </c>
      <c r="J783" t="s">
        <v>10</v>
      </c>
      <c r="K783">
        <v>182.86</v>
      </c>
      <c r="L783">
        <v>6.93</v>
      </c>
      <c r="M783">
        <v>7233</v>
      </c>
      <c r="N783" t="s">
        <v>79</v>
      </c>
      <c r="O783">
        <v>3</v>
      </c>
      <c r="P783" t="s">
        <v>4067</v>
      </c>
      <c r="Q783" t="s">
        <v>2198</v>
      </c>
      <c r="R783" t="s">
        <v>2199</v>
      </c>
      <c r="S783">
        <v>54</v>
      </c>
      <c r="T783">
        <v>55</v>
      </c>
      <c r="U783">
        <v>722</v>
      </c>
      <c r="V783" t="s">
        <v>4068</v>
      </c>
      <c r="W783" t="s">
        <v>4074</v>
      </c>
      <c r="X783" t="s">
        <v>79</v>
      </c>
    </row>
    <row r="784" spans="1:24">
      <c r="A784">
        <v>72260</v>
      </c>
      <c r="B784" t="s">
        <v>4075</v>
      </c>
      <c r="C784" t="s">
        <v>10</v>
      </c>
      <c r="D784" t="s">
        <v>10</v>
      </c>
      <c r="G784">
        <v>8400</v>
      </c>
      <c r="H784">
        <v>1000000</v>
      </c>
      <c r="I784" t="s">
        <v>2780</v>
      </c>
      <c r="J784" t="s">
        <v>10</v>
      </c>
      <c r="K784">
        <v>587</v>
      </c>
      <c r="L784">
        <v>4.5999999999999996</v>
      </c>
      <c r="M784">
        <v>6100</v>
      </c>
      <c r="N784" t="s">
        <v>79</v>
      </c>
      <c r="O784">
        <v>3</v>
      </c>
      <c r="P784" t="s">
        <v>4076</v>
      </c>
      <c r="Q784" t="s">
        <v>2198</v>
      </c>
      <c r="R784" t="s">
        <v>2199</v>
      </c>
      <c r="S784">
        <v>7</v>
      </c>
      <c r="T784">
        <v>15</v>
      </c>
      <c r="U784">
        <v>722</v>
      </c>
      <c r="V784" t="s">
        <v>4068</v>
      </c>
      <c r="W784" t="s">
        <v>4077</v>
      </c>
      <c r="X784" t="s">
        <v>79</v>
      </c>
    </row>
    <row r="785" spans="1:24">
      <c r="A785">
        <v>72320</v>
      </c>
      <c r="B785" t="s">
        <v>4078</v>
      </c>
      <c r="C785" t="s">
        <v>10</v>
      </c>
      <c r="D785" t="s">
        <v>10</v>
      </c>
      <c r="F785" t="s">
        <v>2740</v>
      </c>
      <c r="G785">
        <v>780</v>
      </c>
      <c r="H785">
        <v>4000</v>
      </c>
      <c r="I785" t="s">
        <v>4079</v>
      </c>
      <c r="J785" t="s">
        <v>10</v>
      </c>
      <c r="K785">
        <v>831.63</v>
      </c>
      <c r="L785">
        <v>8.39</v>
      </c>
      <c r="M785">
        <v>7234</v>
      </c>
      <c r="N785" t="s">
        <v>79</v>
      </c>
      <c r="O785">
        <v>3</v>
      </c>
      <c r="P785" t="s">
        <v>4076</v>
      </c>
      <c r="Q785" t="s">
        <v>2198</v>
      </c>
      <c r="R785" t="s">
        <v>2199</v>
      </c>
      <c r="S785">
        <v>205</v>
      </c>
      <c r="T785">
        <v>210</v>
      </c>
      <c r="U785">
        <v>723</v>
      </c>
      <c r="V785" t="s">
        <v>4080</v>
      </c>
      <c r="W785" t="s">
        <v>4081</v>
      </c>
      <c r="X785" t="s">
        <v>79</v>
      </c>
    </row>
    <row r="786" spans="1:24">
      <c r="A786">
        <v>72330</v>
      </c>
      <c r="B786" t="s">
        <v>4082</v>
      </c>
      <c r="C786" t="s">
        <v>10</v>
      </c>
      <c r="D786" t="s">
        <v>10</v>
      </c>
      <c r="G786">
        <v>2800</v>
      </c>
      <c r="H786">
        <v>56000</v>
      </c>
      <c r="I786" t="s">
        <v>4083</v>
      </c>
      <c r="J786" t="s">
        <v>10</v>
      </c>
      <c r="K786">
        <v>187.29</v>
      </c>
      <c r="L786">
        <v>3.33</v>
      </c>
      <c r="M786">
        <v>7342</v>
      </c>
      <c r="N786" t="s">
        <v>79</v>
      </c>
      <c r="O786">
        <v>3</v>
      </c>
      <c r="P786" t="s">
        <v>4076</v>
      </c>
      <c r="Q786" t="s">
        <v>2198</v>
      </c>
      <c r="R786" t="s">
        <v>2199</v>
      </c>
      <c r="S786">
        <v>85</v>
      </c>
      <c r="T786">
        <v>117</v>
      </c>
      <c r="U786">
        <v>723</v>
      </c>
      <c r="V786" t="s">
        <v>4080</v>
      </c>
      <c r="W786" t="s">
        <v>4084</v>
      </c>
      <c r="X786" t="s">
        <v>79</v>
      </c>
    </row>
    <row r="787" spans="1:24">
      <c r="A787">
        <v>72331</v>
      </c>
      <c r="B787" t="s">
        <v>4085</v>
      </c>
      <c r="C787" t="s">
        <v>10</v>
      </c>
      <c r="D787" t="s">
        <v>10</v>
      </c>
      <c r="G787">
        <v>3500</v>
      </c>
      <c r="H787">
        <v>16000</v>
      </c>
      <c r="I787" t="s">
        <v>4073</v>
      </c>
      <c r="J787" t="s">
        <v>10</v>
      </c>
      <c r="K787">
        <v>182.86</v>
      </c>
      <c r="L787">
        <v>6.93</v>
      </c>
      <c r="M787">
        <v>7233</v>
      </c>
      <c r="N787" t="s">
        <v>79</v>
      </c>
      <c r="O787">
        <v>3</v>
      </c>
      <c r="P787" t="s">
        <v>4067</v>
      </c>
      <c r="Q787" t="s">
        <v>2198</v>
      </c>
      <c r="R787" t="s">
        <v>2199</v>
      </c>
      <c r="S787">
        <v>3</v>
      </c>
      <c r="T787">
        <v>3</v>
      </c>
      <c r="U787">
        <v>723</v>
      </c>
      <c r="V787" t="s">
        <v>4080</v>
      </c>
      <c r="W787" t="s">
        <v>4086</v>
      </c>
      <c r="X787" t="s">
        <v>79</v>
      </c>
    </row>
    <row r="788" spans="1:24">
      <c r="A788">
        <v>72340</v>
      </c>
      <c r="B788" t="s">
        <v>4087</v>
      </c>
      <c r="C788" t="s">
        <v>4020</v>
      </c>
      <c r="D788" t="s">
        <v>10</v>
      </c>
      <c r="F788" t="s">
        <v>4020</v>
      </c>
      <c r="G788">
        <v>600</v>
      </c>
      <c r="H788">
        <v>6500</v>
      </c>
      <c r="I788" t="s">
        <v>4088</v>
      </c>
      <c r="J788" t="s">
        <v>10</v>
      </c>
      <c r="K788">
        <v>65</v>
      </c>
      <c r="L788">
        <v>1.57</v>
      </c>
      <c r="M788">
        <v>7232</v>
      </c>
      <c r="N788" t="s">
        <v>79</v>
      </c>
      <c r="O788">
        <v>3</v>
      </c>
      <c r="P788" t="s">
        <v>4076</v>
      </c>
      <c r="Q788" t="s">
        <v>2198</v>
      </c>
      <c r="R788" t="s">
        <v>2199</v>
      </c>
      <c r="S788">
        <v>46</v>
      </c>
      <c r="T788">
        <v>46</v>
      </c>
      <c r="U788">
        <v>723</v>
      </c>
      <c r="V788" t="s">
        <v>4080</v>
      </c>
      <c r="W788" t="s">
        <v>4089</v>
      </c>
      <c r="X788" t="s">
        <v>79</v>
      </c>
    </row>
    <row r="789" spans="1:24">
      <c r="A789">
        <v>72350</v>
      </c>
      <c r="B789" t="s">
        <v>4090</v>
      </c>
      <c r="C789" t="s">
        <v>2162</v>
      </c>
      <c r="D789" t="s">
        <v>2097</v>
      </c>
      <c r="F789" t="s">
        <v>2162</v>
      </c>
      <c r="G789">
        <v>530</v>
      </c>
      <c r="H789">
        <v>160000</v>
      </c>
      <c r="I789" t="s">
        <v>2583</v>
      </c>
      <c r="J789" t="s">
        <v>2097</v>
      </c>
      <c r="K789">
        <v>76.33</v>
      </c>
      <c r="L789">
        <v>1.8</v>
      </c>
      <c r="M789">
        <v>8526</v>
      </c>
      <c r="N789" t="s">
        <v>79</v>
      </c>
      <c r="O789">
        <v>3</v>
      </c>
      <c r="P789" t="s">
        <v>4076</v>
      </c>
      <c r="Q789" t="s">
        <v>2198</v>
      </c>
      <c r="R789" t="s">
        <v>2102</v>
      </c>
      <c r="S789">
        <v>25</v>
      </c>
      <c r="T789">
        <v>26</v>
      </c>
      <c r="U789">
        <v>723</v>
      </c>
      <c r="V789" t="s">
        <v>4080</v>
      </c>
      <c r="W789" t="s">
        <v>4091</v>
      </c>
      <c r="X789" t="s">
        <v>79</v>
      </c>
    </row>
    <row r="790" spans="1:24">
      <c r="A790">
        <v>72360</v>
      </c>
      <c r="B790" t="s">
        <v>4092</v>
      </c>
      <c r="C790" t="s">
        <v>10</v>
      </c>
      <c r="D790" t="s">
        <v>10</v>
      </c>
      <c r="G790">
        <v>3700</v>
      </c>
      <c r="H790">
        <v>24000</v>
      </c>
      <c r="I790" t="s">
        <v>4093</v>
      </c>
      <c r="J790" t="s">
        <v>10</v>
      </c>
      <c r="K790">
        <v>167.93</v>
      </c>
      <c r="L790">
        <v>3.02</v>
      </c>
      <c r="M790">
        <v>7231</v>
      </c>
      <c r="N790" t="s">
        <v>79</v>
      </c>
      <c r="O790">
        <v>3</v>
      </c>
      <c r="P790" t="s">
        <v>4076</v>
      </c>
      <c r="Q790" t="s">
        <v>2198</v>
      </c>
      <c r="R790" t="s">
        <v>2199</v>
      </c>
      <c r="S790">
        <v>92</v>
      </c>
      <c r="T790">
        <v>98</v>
      </c>
      <c r="U790">
        <v>723</v>
      </c>
      <c r="V790" t="s">
        <v>4080</v>
      </c>
      <c r="W790" t="s">
        <v>4094</v>
      </c>
      <c r="X790" t="s">
        <v>79</v>
      </c>
    </row>
    <row r="791" spans="1:24">
      <c r="A791">
        <v>72361</v>
      </c>
      <c r="B791" t="s">
        <v>4095</v>
      </c>
      <c r="C791" t="s">
        <v>2162</v>
      </c>
      <c r="F791" t="s">
        <v>2162</v>
      </c>
      <c r="G791">
        <v>1</v>
      </c>
      <c r="H791">
        <v>8</v>
      </c>
      <c r="I791" t="s">
        <v>4096</v>
      </c>
      <c r="J791" t="s">
        <v>2162</v>
      </c>
      <c r="K791">
        <v>46729.36</v>
      </c>
      <c r="L791">
        <v>287.22000000000003</v>
      </c>
      <c r="M791">
        <v>7235</v>
      </c>
      <c r="N791" t="s">
        <v>79</v>
      </c>
      <c r="O791">
        <v>3</v>
      </c>
      <c r="P791" t="s">
        <v>4076</v>
      </c>
      <c r="Q791" t="s">
        <v>2198</v>
      </c>
      <c r="R791" t="s">
        <v>159</v>
      </c>
      <c r="S791">
        <v>255</v>
      </c>
      <c r="T791">
        <v>260</v>
      </c>
      <c r="U791">
        <v>723</v>
      </c>
      <c r="V791" t="s">
        <v>4080</v>
      </c>
      <c r="W791" t="s">
        <v>4097</v>
      </c>
      <c r="X791" t="s">
        <v>79</v>
      </c>
    </row>
    <row r="792" spans="1:24">
      <c r="A792">
        <v>72377</v>
      </c>
      <c r="B792" t="s">
        <v>4098</v>
      </c>
      <c r="C792" t="s">
        <v>10</v>
      </c>
      <c r="D792" t="s">
        <v>10</v>
      </c>
      <c r="G792">
        <v>18000</v>
      </c>
      <c r="H792">
        <v>1500000</v>
      </c>
      <c r="I792" t="s">
        <v>3321</v>
      </c>
      <c r="J792" t="s">
        <v>10</v>
      </c>
      <c r="K792">
        <v>330</v>
      </c>
      <c r="L792">
        <v>3.33</v>
      </c>
      <c r="M792">
        <v>4421</v>
      </c>
      <c r="N792" t="s">
        <v>125</v>
      </c>
      <c r="O792">
        <v>2</v>
      </c>
      <c r="P792" t="s">
        <v>4076</v>
      </c>
      <c r="Q792" t="s">
        <v>2198</v>
      </c>
      <c r="R792" t="s">
        <v>2199</v>
      </c>
      <c r="S792">
        <v>107</v>
      </c>
      <c r="T792">
        <v>142</v>
      </c>
      <c r="U792">
        <v>723</v>
      </c>
      <c r="V792" t="s">
        <v>4080</v>
      </c>
      <c r="W792" t="s">
        <v>4099</v>
      </c>
      <c r="X792" t="s">
        <v>79</v>
      </c>
    </row>
    <row r="793" spans="1:24">
      <c r="A793">
        <v>72411</v>
      </c>
      <c r="B793" t="s">
        <v>4100</v>
      </c>
      <c r="C793" t="s">
        <v>2740</v>
      </c>
      <c r="D793" t="s">
        <v>10</v>
      </c>
      <c r="F793" t="s">
        <v>2740</v>
      </c>
      <c r="G793">
        <v>3400</v>
      </c>
      <c r="H793">
        <v>98000</v>
      </c>
      <c r="I793" t="s">
        <v>4101</v>
      </c>
      <c r="J793" t="s">
        <v>10</v>
      </c>
      <c r="K793">
        <v>379.49</v>
      </c>
      <c r="L793">
        <v>6.23</v>
      </c>
      <c r="M793">
        <v>7240</v>
      </c>
      <c r="N793" t="s">
        <v>125</v>
      </c>
      <c r="O793">
        <v>1</v>
      </c>
      <c r="P793" t="s">
        <v>4042</v>
      </c>
      <c r="Q793" t="s">
        <v>2198</v>
      </c>
      <c r="R793" t="s">
        <v>2199</v>
      </c>
      <c r="S793">
        <v>175</v>
      </c>
      <c r="T793">
        <v>194</v>
      </c>
      <c r="U793">
        <v>724</v>
      </c>
      <c r="V793" t="s">
        <v>4102</v>
      </c>
      <c r="W793" t="s">
        <v>4103</v>
      </c>
      <c r="X793" t="s">
        <v>79</v>
      </c>
    </row>
    <row r="794" spans="1:24">
      <c r="A794">
        <v>72415</v>
      </c>
      <c r="B794" t="s">
        <v>4104</v>
      </c>
      <c r="C794" t="s">
        <v>10</v>
      </c>
      <c r="D794" t="s">
        <v>10</v>
      </c>
      <c r="F794" t="s">
        <v>2740</v>
      </c>
      <c r="G794">
        <v>6500</v>
      </c>
      <c r="H794">
        <v>88000</v>
      </c>
      <c r="I794" t="s">
        <v>4057</v>
      </c>
      <c r="J794" t="s">
        <v>10</v>
      </c>
      <c r="K794">
        <v>373</v>
      </c>
      <c r="L794">
        <v>4.53</v>
      </c>
      <c r="M794">
        <v>7214</v>
      </c>
      <c r="N794" t="s">
        <v>125</v>
      </c>
      <c r="O794">
        <v>2</v>
      </c>
      <c r="P794" t="s">
        <v>4042</v>
      </c>
      <c r="Q794" t="s">
        <v>2198</v>
      </c>
      <c r="R794" t="s">
        <v>2199</v>
      </c>
      <c r="S794">
        <v>6</v>
      </c>
      <c r="T794">
        <v>6</v>
      </c>
      <c r="U794">
        <v>724</v>
      </c>
      <c r="V794" t="s">
        <v>4102</v>
      </c>
      <c r="W794" t="s">
        <v>4105</v>
      </c>
      <c r="X794" t="s">
        <v>79</v>
      </c>
    </row>
    <row r="795" spans="1:24">
      <c r="A795">
        <v>72420</v>
      </c>
      <c r="B795" t="s">
        <v>4106</v>
      </c>
      <c r="C795" t="s">
        <v>10</v>
      </c>
      <c r="D795" t="s">
        <v>10</v>
      </c>
      <c r="F795" t="s">
        <v>2740</v>
      </c>
      <c r="G795">
        <v>60000</v>
      </c>
      <c r="H795">
        <v>790000</v>
      </c>
      <c r="I795" t="s">
        <v>4107</v>
      </c>
      <c r="J795" t="s">
        <v>10</v>
      </c>
      <c r="K795">
        <v>465.39</v>
      </c>
      <c r="L795">
        <v>4.83</v>
      </c>
      <c r="M795">
        <v>7242</v>
      </c>
      <c r="N795" t="s">
        <v>125</v>
      </c>
      <c r="O795">
        <v>3</v>
      </c>
      <c r="P795" t="s">
        <v>4044</v>
      </c>
      <c r="Q795" t="s">
        <v>2198</v>
      </c>
      <c r="R795" t="s">
        <v>2199</v>
      </c>
      <c r="S795">
        <v>0</v>
      </c>
      <c r="T795">
        <v>0</v>
      </c>
      <c r="U795">
        <v>724</v>
      </c>
      <c r="V795" t="s">
        <v>4102</v>
      </c>
      <c r="W795" t="s">
        <v>4108</v>
      </c>
      <c r="X795" t="s">
        <v>79</v>
      </c>
    </row>
    <row r="796" spans="1:24">
      <c r="A796">
        <v>72510</v>
      </c>
      <c r="B796" t="s">
        <v>4109</v>
      </c>
      <c r="C796" t="s">
        <v>10</v>
      </c>
      <c r="D796" t="s">
        <v>10</v>
      </c>
      <c r="F796" t="s">
        <v>2740</v>
      </c>
      <c r="G796">
        <v>3600</v>
      </c>
      <c r="H796">
        <v>63000</v>
      </c>
      <c r="I796" t="s">
        <v>4110</v>
      </c>
      <c r="J796" t="s">
        <v>10</v>
      </c>
      <c r="K796">
        <v>510</v>
      </c>
      <c r="L796">
        <v>2.5299999999999998</v>
      </c>
      <c r="M796">
        <v>7250</v>
      </c>
      <c r="N796" t="s">
        <v>125</v>
      </c>
      <c r="O796">
        <v>3</v>
      </c>
      <c r="P796" t="s">
        <v>4076</v>
      </c>
      <c r="Q796" t="s">
        <v>2198</v>
      </c>
      <c r="R796" t="s">
        <v>2199</v>
      </c>
      <c r="S796">
        <v>448</v>
      </c>
      <c r="T796">
        <v>459</v>
      </c>
      <c r="U796">
        <v>725</v>
      </c>
      <c r="V796" t="s">
        <v>4111</v>
      </c>
      <c r="W796" t="s">
        <v>4112</v>
      </c>
      <c r="X796" t="s">
        <v>79</v>
      </c>
    </row>
    <row r="797" spans="1:24">
      <c r="A797">
        <v>72511</v>
      </c>
      <c r="B797" t="s">
        <v>4113</v>
      </c>
      <c r="C797" t="s">
        <v>2162</v>
      </c>
      <c r="D797" t="s">
        <v>10</v>
      </c>
      <c r="F797" t="s">
        <v>2162</v>
      </c>
      <c r="G797">
        <v>1500</v>
      </c>
      <c r="H797">
        <v>61000</v>
      </c>
      <c r="I797" t="s">
        <v>4114</v>
      </c>
      <c r="J797" t="s">
        <v>10</v>
      </c>
      <c r="K797">
        <v>13.91</v>
      </c>
      <c r="L797">
        <v>0.19</v>
      </c>
      <c r="M797">
        <v>7251</v>
      </c>
      <c r="N797" t="s">
        <v>79</v>
      </c>
      <c r="O797">
        <v>3</v>
      </c>
      <c r="P797" t="s">
        <v>4076</v>
      </c>
      <c r="Q797" t="s">
        <v>2198</v>
      </c>
      <c r="R797" t="s">
        <v>159</v>
      </c>
      <c r="S797">
        <v>31</v>
      </c>
      <c r="T797">
        <v>31</v>
      </c>
      <c r="U797">
        <v>725</v>
      </c>
      <c r="V797" t="s">
        <v>4111</v>
      </c>
      <c r="W797" t="s">
        <v>4115</v>
      </c>
      <c r="X797" t="s">
        <v>79</v>
      </c>
    </row>
    <row r="798" spans="1:24">
      <c r="A798">
        <v>73010</v>
      </c>
      <c r="B798" t="s">
        <v>4116</v>
      </c>
      <c r="C798" t="s">
        <v>10</v>
      </c>
      <c r="D798" t="s">
        <v>10</v>
      </c>
      <c r="G798">
        <v>9900</v>
      </c>
      <c r="H798">
        <v>44000</v>
      </c>
      <c r="I798" t="s">
        <v>4117</v>
      </c>
      <c r="J798" t="s">
        <v>10</v>
      </c>
      <c r="K798">
        <v>1015</v>
      </c>
      <c r="L798">
        <v>6.14</v>
      </c>
      <c r="M798">
        <v>7311</v>
      </c>
      <c r="N798" t="s">
        <v>125</v>
      </c>
      <c r="O798">
        <v>1</v>
      </c>
      <c r="P798" t="s">
        <v>2293</v>
      </c>
      <c r="Q798" t="s">
        <v>2206</v>
      </c>
      <c r="R798" t="s">
        <v>2199</v>
      </c>
      <c r="S798">
        <v>236</v>
      </c>
      <c r="T798">
        <v>265</v>
      </c>
      <c r="U798">
        <v>730</v>
      </c>
      <c r="V798" t="s">
        <v>4118</v>
      </c>
      <c r="W798" t="s">
        <v>4119</v>
      </c>
      <c r="X798" t="s">
        <v>79</v>
      </c>
    </row>
    <row r="799" spans="1:24">
      <c r="A799">
        <v>73011</v>
      </c>
      <c r="B799" t="s">
        <v>4120</v>
      </c>
      <c r="C799" t="s">
        <v>2162</v>
      </c>
      <c r="D799" t="s">
        <v>10</v>
      </c>
      <c r="F799" t="s">
        <v>2162</v>
      </c>
      <c r="G799">
        <v>9900</v>
      </c>
      <c r="H799">
        <v>44000</v>
      </c>
      <c r="I799" t="s">
        <v>4117</v>
      </c>
      <c r="J799" t="s">
        <v>10</v>
      </c>
      <c r="K799">
        <v>1015</v>
      </c>
      <c r="L799">
        <v>6.14</v>
      </c>
      <c r="M799">
        <v>7311</v>
      </c>
      <c r="N799" t="s">
        <v>79</v>
      </c>
      <c r="O799">
        <v>3</v>
      </c>
      <c r="P799" t="s">
        <v>2293</v>
      </c>
      <c r="Q799" t="s">
        <v>2206</v>
      </c>
      <c r="R799" t="s">
        <v>2199</v>
      </c>
      <c r="S799">
        <v>25</v>
      </c>
      <c r="T799">
        <v>25</v>
      </c>
      <c r="U799">
        <v>730</v>
      </c>
      <c r="V799" t="s">
        <v>4118</v>
      </c>
      <c r="W799" t="s">
        <v>4121</v>
      </c>
      <c r="X799" t="s">
        <v>79</v>
      </c>
    </row>
    <row r="800" spans="1:24">
      <c r="A800">
        <v>73012</v>
      </c>
      <c r="B800" t="s">
        <v>4122</v>
      </c>
      <c r="C800" t="s">
        <v>10</v>
      </c>
      <c r="D800" t="s">
        <v>10</v>
      </c>
      <c r="G800">
        <v>9900</v>
      </c>
      <c r="H800">
        <v>44000</v>
      </c>
      <c r="I800" t="s">
        <v>4117</v>
      </c>
      <c r="J800" t="s">
        <v>10</v>
      </c>
      <c r="K800">
        <v>1015</v>
      </c>
      <c r="L800">
        <v>6.14</v>
      </c>
      <c r="M800">
        <v>7311</v>
      </c>
      <c r="N800" t="s">
        <v>79</v>
      </c>
      <c r="O800">
        <v>3</v>
      </c>
      <c r="P800" t="s">
        <v>2293</v>
      </c>
      <c r="Q800" t="s">
        <v>2206</v>
      </c>
      <c r="R800" t="s">
        <v>2199</v>
      </c>
      <c r="S800">
        <v>7</v>
      </c>
      <c r="T800">
        <v>7</v>
      </c>
      <c r="U800">
        <v>730</v>
      </c>
      <c r="V800" t="s">
        <v>4118</v>
      </c>
      <c r="W800" t="s">
        <v>4121</v>
      </c>
      <c r="X800" t="s">
        <v>79</v>
      </c>
    </row>
    <row r="801" spans="1:24">
      <c r="A801">
        <v>73013</v>
      </c>
      <c r="B801" t="s">
        <v>4123</v>
      </c>
      <c r="C801" t="s">
        <v>10</v>
      </c>
      <c r="D801" t="s">
        <v>10</v>
      </c>
      <c r="G801">
        <v>5400</v>
      </c>
      <c r="H801">
        <v>20000</v>
      </c>
      <c r="I801" t="s">
        <v>4124</v>
      </c>
      <c r="J801" t="s">
        <v>10</v>
      </c>
      <c r="K801">
        <v>164.93</v>
      </c>
      <c r="L801">
        <v>4.22</v>
      </c>
      <c r="M801">
        <v>7343</v>
      </c>
      <c r="N801" t="s">
        <v>79</v>
      </c>
      <c r="O801">
        <v>2</v>
      </c>
      <c r="P801" t="s">
        <v>2197</v>
      </c>
      <c r="Q801" t="s">
        <v>2198</v>
      </c>
      <c r="R801" t="s">
        <v>2199</v>
      </c>
      <c r="S801">
        <v>7</v>
      </c>
      <c r="T801">
        <v>23</v>
      </c>
      <c r="U801">
        <v>730</v>
      </c>
      <c r="V801" t="s">
        <v>4118</v>
      </c>
      <c r="W801" t="s">
        <v>4125</v>
      </c>
      <c r="X801" t="s">
        <v>79</v>
      </c>
    </row>
    <row r="802" spans="1:24">
      <c r="A802">
        <v>73015</v>
      </c>
      <c r="B802" t="s">
        <v>4126</v>
      </c>
      <c r="C802" t="s">
        <v>10</v>
      </c>
      <c r="D802" t="s">
        <v>10</v>
      </c>
      <c r="F802" t="s">
        <v>2740</v>
      </c>
      <c r="G802">
        <v>22000</v>
      </c>
      <c r="H802">
        <v>220000</v>
      </c>
      <c r="I802" t="s">
        <v>4053</v>
      </c>
      <c r="J802" t="s">
        <v>10</v>
      </c>
      <c r="K802">
        <v>401.62</v>
      </c>
      <c r="L802">
        <v>7.89</v>
      </c>
      <c r="M802">
        <v>7312</v>
      </c>
      <c r="N802" t="s">
        <v>125</v>
      </c>
      <c r="O802">
        <v>1</v>
      </c>
      <c r="P802" t="s">
        <v>4127</v>
      </c>
      <c r="Q802" t="s">
        <v>2206</v>
      </c>
      <c r="R802" t="s">
        <v>2199</v>
      </c>
      <c r="S802">
        <v>73</v>
      </c>
      <c r="T802">
        <v>75</v>
      </c>
      <c r="U802">
        <v>730</v>
      </c>
      <c r="V802" t="s">
        <v>4118</v>
      </c>
      <c r="W802" t="s">
        <v>4128</v>
      </c>
      <c r="X802" t="s">
        <v>79</v>
      </c>
    </row>
    <row r="803" spans="1:24">
      <c r="A803">
        <v>73020</v>
      </c>
      <c r="B803" t="s">
        <v>4129</v>
      </c>
      <c r="C803" t="s">
        <v>10</v>
      </c>
      <c r="D803" t="s">
        <v>10</v>
      </c>
      <c r="G803">
        <v>5800</v>
      </c>
      <c r="H803">
        <v>51000</v>
      </c>
      <c r="I803" t="s">
        <v>4130</v>
      </c>
      <c r="J803" t="s">
        <v>10</v>
      </c>
      <c r="K803">
        <v>288.43</v>
      </c>
      <c r="L803">
        <v>7.4</v>
      </c>
      <c r="M803">
        <v>7313</v>
      </c>
      <c r="N803" t="s">
        <v>125</v>
      </c>
      <c r="O803">
        <v>1</v>
      </c>
      <c r="P803" t="s">
        <v>4127</v>
      </c>
      <c r="Q803" t="s">
        <v>2206</v>
      </c>
      <c r="R803" t="s">
        <v>2199</v>
      </c>
      <c r="S803">
        <v>352</v>
      </c>
      <c r="T803">
        <v>547</v>
      </c>
      <c r="U803">
        <v>730</v>
      </c>
      <c r="V803" t="s">
        <v>4118</v>
      </c>
      <c r="W803" t="s">
        <v>4131</v>
      </c>
      <c r="X803" t="s">
        <v>79</v>
      </c>
    </row>
    <row r="804" spans="1:24">
      <c r="A804">
        <v>73021</v>
      </c>
      <c r="B804" t="s">
        <v>4132</v>
      </c>
      <c r="C804" t="s">
        <v>10</v>
      </c>
      <c r="D804" t="s">
        <v>10</v>
      </c>
      <c r="G804">
        <v>430</v>
      </c>
      <c r="H804">
        <v>12000</v>
      </c>
      <c r="I804" t="s">
        <v>4133</v>
      </c>
      <c r="J804" t="s">
        <v>10</v>
      </c>
      <c r="K804">
        <v>880.14</v>
      </c>
      <c r="L804">
        <v>4.93</v>
      </c>
      <c r="M804">
        <v>1498</v>
      </c>
      <c r="N804" t="s">
        <v>125</v>
      </c>
      <c r="O804">
        <v>1</v>
      </c>
      <c r="P804" t="s">
        <v>4134</v>
      </c>
      <c r="Q804" t="s">
        <v>2206</v>
      </c>
      <c r="R804" t="s">
        <v>2199</v>
      </c>
      <c r="S804">
        <v>108</v>
      </c>
      <c r="T804">
        <v>108</v>
      </c>
      <c r="U804">
        <v>730</v>
      </c>
      <c r="V804" t="s">
        <v>4118</v>
      </c>
      <c r="W804" t="s">
        <v>4135</v>
      </c>
      <c r="X804" t="s">
        <v>79</v>
      </c>
    </row>
    <row r="805" spans="1:24">
      <c r="A805">
        <v>73022</v>
      </c>
      <c r="B805" t="s">
        <v>4136</v>
      </c>
      <c r="C805" t="s">
        <v>10</v>
      </c>
      <c r="D805" t="s">
        <v>10</v>
      </c>
      <c r="G805">
        <v>5800</v>
      </c>
      <c r="H805">
        <v>51000</v>
      </c>
      <c r="I805" t="s">
        <v>4130</v>
      </c>
      <c r="J805" t="s">
        <v>10</v>
      </c>
      <c r="K805">
        <v>288.43</v>
      </c>
      <c r="L805">
        <v>7.4</v>
      </c>
      <c r="M805">
        <v>7313</v>
      </c>
      <c r="N805" t="s">
        <v>125</v>
      </c>
      <c r="P805" t="s">
        <v>4127</v>
      </c>
      <c r="Q805" t="s">
        <v>2206</v>
      </c>
      <c r="R805" t="s">
        <v>2199</v>
      </c>
      <c r="S805">
        <v>15</v>
      </c>
      <c r="T805">
        <v>31</v>
      </c>
      <c r="U805">
        <v>730</v>
      </c>
      <c r="V805" t="s">
        <v>4118</v>
      </c>
      <c r="W805" t="s">
        <v>4137</v>
      </c>
      <c r="X805" t="s">
        <v>79</v>
      </c>
    </row>
    <row r="806" spans="1:24">
      <c r="A806">
        <v>73025</v>
      </c>
      <c r="B806" t="s">
        <v>4138</v>
      </c>
      <c r="C806" t="s">
        <v>10</v>
      </c>
      <c r="D806" t="s">
        <v>10</v>
      </c>
      <c r="G806">
        <v>430</v>
      </c>
      <c r="H806">
        <v>12000</v>
      </c>
      <c r="I806" t="s">
        <v>4133</v>
      </c>
      <c r="J806" t="s">
        <v>10</v>
      </c>
      <c r="K806">
        <v>880.14</v>
      </c>
      <c r="L806">
        <v>4.93</v>
      </c>
      <c r="M806">
        <v>1498</v>
      </c>
      <c r="N806" t="s">
        <v>125</v>
      </c>
      <c r="O806">
        <v>1</v>
      </c>
      <c r="P806" t="s">
        <v>4134</v>
      </c>
      <c r="Q806" t="s">
        <v>2206</v>
      </c>
      <c r="R806" t="s">
        <v>2199</v>
      </c>
      <c r="S806">
        <v>1451</v>
      </c>
      <c r="T806">
        <v>1480</v>
      </c>
      <c r="U806">
        <v>730</v>
      </c>
      <c r="V806" t="s">
        <v>4118</v>
      </c>
      <c r="W806" t="s">
        <v>4139</v>
      </c>
      <c r="X806" t="s">
        <v>79</v>
      </c>
    </row>
    <row r="807" spans="1:24">
      <c r="A807">
        <v>73030</v>
      </c>
      <c r="B807" t="s">
        <v>4140</v>
      </c>
      <c r="C807" t="s">
        <v>10</v>
      </c>
      <c r="D807" t="s">
        <v>10</v>
      </c>
      <c r="G807">
        <v>1800</v>
      </c>
      <c r="H807">
        <v>45000</v>
      </c>
      <c r="I807" t="s">
        <v>4141</v>
      </c>
      <c r="J807" t="s">
        <v>10</v>
      </c>
      <c r="K807">
        <v>154.1</v>
      </c>
      <c r="L807">
        <v>4.93</v>
      </c>
      <c r="M807">
        <v>7321</v>
      </c>
      <c r="N807" t="s">
        <v>125</v>
      </c>
      <c r="O807">
        <v>1</v>
      </c>
      <c r="P807" t="s">
        <v>4067</v>
      </c>
      <c r="Q807" t="s">
        <v>2198</v>
      </c>
      <c r="R807" t="s">
        <v>2199</v>
      </c>
      <c r="S807">
        <v>0</v>
      </c>
      <c r="T807">
        <v>1</v>
      </c>
      <c r="U807">
        <v>730</v>
      </c>
      <c r="V807" t="s">
        <v>4118</v>
      </c>
      <c r="W807" t="s">
        <v>4142</v>
      </c>
      <c r="X807" t="s">
        <v>79</v>
      </c>
    </row>
    <row r="808" spans="1:24">
      <c r="A808">
        <v>73035</v>
      </c>
      <c r="B808" t="s">
        <v>4143</v>
      </c>
      <c r="C808" t="s">
        <v>10</v>
      </c>
      <c r="D808" t="s">
        <v>10</v>
      </c>
      <c r="F808" t="s">
        <v>2740</v>
      </c>
      <c r="G808">
        <v>1700</v>
      </c>
      <c r="H808">
        <v>22000</v>
      </c>
      <c r="I808" t="s">
        <v>4143</v>
      </c>
      <c r="J808" t="s">
        <v>10</v>
      </c>
      <c r="K808">
        <v>193.52</v>
      </c>
      <c r="L808">
        <v>4.1399999999999997</v>
      </c>
      <c r="M808">
        <v>7382</v>
      </c>
      <c r="N808" t="s">
        <v>125</v>
      </c>
      <c r="O808">
        <v>1</v>
      </c>
      <c r="P808" t="s">
        <v>4144</v>
      </c>
      <c r="Q808" t="s">
        <v>2198</v>
      </c>
      <c r="R808" t="s">
        <v>2199</v>
      </c>
      <c r="S808">
        <v>14</v>
      </c>
      <c r="T808">
        <v>24</v>
      </c>
      <c r="U808">
        <v>730</v>
      </c>
      <c r="V808" t="s">
        <v>4118</v>
      </c>
      <c r="W808" t="s">
        <v>4145</v>
      </c>
      <c r="X808" t="s">
        <v>79</v>
      </c>
    </row>
    <row r="809" spans="1:24">
      <c r="A809">
        <v>73036</v>
      </c>
      <c r="B809" t="s">
        <v>4146</v>
      </c>
      <c r="C809" t="s">
        <v>10</v>
      </c>
      <c r="D809" t="s">
        <v>10</v>
      </c>
      <c r="G809">
        <v>3400</v>
      </c>
      <c r="H809">
        <v>34000</v>
      </c>
      <c r="I809" t="s">
        <v>4147</v>
      </c>
      <c r="J809" t="s">
        <v>10</v>
      </c>
      <c r="K809">
        <v>283.06</v>
      </c>
      <c r="L809">
        <v>4.5599999999999996</v>
      </c>
      <c r="M809">
        <v>7332</v>
      </c>
      <c r="N809" t="s">
        <v>125</v>
      </c>
      <c r="O809">
        <v>3</v>
      </c>
      <c r="P809" t="s">
        <v>4144</v>
      </c>
      <c r="Q809" t="s">
        <v>2198</v>
      </c>
      <c r="R809" t="s">
        <v>2199</v>
      </c>
      <c r="S809">
        <v>72</v>
      </c>
      <c r="T809">
        <v>201</v>
      </c>
      <c r="U809">
        <v>730</v>
      </c>
      <c r="V809" t="s">
        <v>4118</v>
      </c>
      <c r="W809" t="s">
        <v>4148</v>
      </c>
      <c r="X809" t="s">
        <v>79</v>
      </c>
    </row>
    <row r="810" spans="1:24">
      <c r="A810">
        <v>73040</v>
      </c>
      <c r="B810" t="s">
        <v>4149</v>
      </c>
      <c r="C810" t="s">
        <v>10</v>
      </c>
      <c r="D810" t="s">
        <v>10</v>
      </c>
      <c r="G810">
        <v>2800</v>
      </c>
      <c r="H810">
        <v>56000</v>
      </c>
      <c r="I810" t="s">
        <v>4083</v>
      </c>
      <c r="J810" t="s">
        <v>10</v>
      </c>
      <c r="K810">
        <v>187.29</v>
      </c>
      <c r="L810">
        <v>3.33</v>
      </c>
      <c r="M810">
        <v>7342</v>
      </c>
      <c r="N810" t="s">
        <v>125</v>
      </c>
      <c r="O810">
        <v>3</v>
      </c>
      <c r="P810" t="s">
        <v>2197</v>
      </c>
      <c r="Q810" t="s">
        <v>2198</v>
      </c>
      <c r="R810" t="s">
        <v>2199</v>
      </c>
      <c r="S810">
        <v>12</v>
      </c>
      <c r="T810">
        <v>22</v>
      </c>
      <c r="U810">
        <v>730</v>
      </c>
      <c r="V810" t="s">
        <v>4118</v>
      </c>
      <c r="W810" t="s">
        <v>4150</v>
      </c>
      <c r="X810" t="s">
        <v>79</v>
      </c>
    </row>
    <row r="811" spans="1:24">
      <c r="A811">
        <v>73061</v>
      </c>
      <c r="B811" t="s">
        <v>4151</v>
      </c>
      <c r="C811" t="s">
        <v>10</v>
      </c>
      <c r="D811" t="s">
        <v>10</v>
      </c>
      <c r="E811" t="s">
        <v>2740</v>
      </c>
      <c r="G811">
        <v>30000</v>
      </c>
      <c r="H811">
        <v>280000</v>
      </c>
      <c r="I811" t="s">
        <v>4152</v>
      </c>
      <c r="J811" t="s">
        <v>10</v>
      </c>
      <c r="K811">
        <v>420</v>
      </c>
      <c r="L811">
        <v>5.09</v>
      </c>
      <c r="M811">
        <v>7352</v>
      </c>
      <c r="N811" t="s">
        <v>125</v>
      </c>
      <c r="O811">
        <v>1</v>
      </c>
      <c r="P811" t="s">
        <v>4152</v>
      </c>
      <c r="Q811" t="s">
        <v>2198</v>
      </c>
      <c r="R811" t="s">
        <v>2199</v>
      </c>
      <c r="S811">
        <v>359</v>
      </c>
      <c r="T811">
        <v>360</v>
      </c>
      <c r="U811">
        <v>730</v>
      </c>
      <c r="V811" t="s">
        <v>4118</v>
      </c>
      <c r="W811" t="s">
        <v>4153</v>
      </c>
      <c r="X811" t="s">
        <v>79</v>
      </c>
    </row>
    <row r="812" spans="1:24">
      <c r="A812">
        <v>73065</v>
      </c>
      <c r="B812" t="s">
        <v>4154</v>
      </c>
      <c r="C812" t="s">
        <v>10</v>
      </c>
      <c r="D812" t="s">
        <v>10</v>
      </c>
      <c r="F812" t="s">
        <v>2740</v>
      </c>
      <c r="G812">
        <v>1100</v>
      </c>
      <c r="H812">
        <v>9300</v>
      </c>
      <c r="I812" t="s">
        <v>4155</v>
      </c>
      <c r="J812" t="s">
        <v>10</v>
      </c>
      <c r="K812">
        <v>410.48</v>
      </c>
      <c r="L812">
        <v>6.49</v>
      </c>
      <c r="M812">
        <v>7383</v>
      </c>
      <c r="N812" t="s">
        <v>79</v>
      </c>
      <c r="O812">
        <v>1</v>
      </c>
      <c r="P812" t="s">
        <v>2293</v>
      </c>
      <c r="Q812" t="s">
        <v>2206</v>
      </c>
      <c r="R812" t="s">
        <v>2199</v>
      </c>
      <c r="S812">
        <v>76</v>
      </c>
      <c r="T812">
        <v>77</v>
      </c>
      <c r="U812">
        <v>730</v>
      </c>
      <c r="V812" t="s">
        <v>4118</v>
      </c>
      <c r="W812" t="s">
        <v>4156</v>
      </c>
      <c r="X812" t="s">
        <v>79</v>
      </c>
    </row>
    <row r="813" spans="1:24">
      <c r="A813">
        <v>73066</v>
      </c>
      <c r="B813" t="s">
        <v>4157</v>
      </c>
      <c r="C813" t="s">
        <v>10</v>
      </c>
      <c r="D813" t="s">
        <v>10</v>
      </c>
      <c r="G813">
        <v>300</v>
      </c>
      <c r="H813">
        <v>15000</v>
      </c>
      <c r="I813" t="s">
        <v>4158</v>
      </c>
      <c r="J813" t="s">
        <v>10</v>
      </c>
      <c r="K813">
        <v>66.290000000000006</v>
      </c>
      <c r="L813">
        <v>0.67</v>
      </c>
      <c r="M813">
        <v>7384</v>
      </c>
      <c r="N813" t="s">
        <v>79</v>
      </c>
      <c r="O813">
        <v>4</v>
      </c>
      <c r="P813" t="s">
        <v>2205</v>
      </c>
      <c r="Q813" t="s">
        <v>2206</v>
      </c>
      <c r="R813" t="s">
        <v>159</v>
      </c>
      <c r="S813">
        <v>1663</v>
      </c>
      <c r="T813">
        <v>1675</v>
      </c>
      <c r="U813">
        <v>730</v>
      </c>
      <c r="V813" t="s">
        <v>4118</v>
      </c>
      <c r="W813" t="s">
        <v>4159</v>
      </c>
      <c r="X813" t="s">
        <v>79</v>
      </c>
    </row>
    <row r="814" spans="1:24">
      <c r="A814">
        <v>73067</v>
      </c>
      <c r="B814" t="s">
        <v>4160</v>
      </c>
      <c r="C814" t="s">
        <v>10</v>
      </c>
      <c r="D814" t="s">
        <v>10</v>
      </c>
      <c r="G814">
        <v>300</v>
      </c>
      <c r="H814">
        <v>1800</v>
      </c>
      <c r="I814" t="s">
        <v>4160</v>
      </c>
      <c r="J814" t="s">
        <v>10</v>
      </c>
      <c r="K814">
        <v>185.8</v>
      </c>
      <c r="L814">
        <v>3.27</v>
      </c>
      <c r="M814">
        <v>7341</v>
      </c>
      <c r="N814" t="s">
        <v>125</v>
      </c>
      <c r="O814">
        <v>1</v>
      </c>
      <c r="P814" t="s">
        <v>2205</v>
      </c>
      <c r="Q814" t="s">
        <v>2206</v>
      </c>
      <c r="R814" t="s">
        <v>2199</v>
      </c>
      <c r="S814">
        <v>2</v>
      </c>
      <c r="T814">
        <v>6</v>
      </c>
      <c r="U814">
        <v>730</v>
      </c>
      <c r="V814" t="s">
        <v>4118</v>
      </c>
      <c r="W814" t="s">
        <v>4161</v>
      </c>
      <c r="X814" t="s">
        <v>79</v>
      </c>
    </row>
    <row r="815" spans="1:24">
      <c r="A815">
        <v>73074</v>
      </c>
      <c r="B815" t="s">
        <v>4162</v>
      </c>
      <c r="C815" t="s">
        <v>10</v>
      </c>
      <c r="D815" t="s">
        <v>10</v>
      </c>
      <c r="G815">
        <v>2700</v>
      </c>
      <c r="H815">
        <v>4500</v>
      </c>
      <c r="I815" t="s">
        <v>4163</v>
      </c>
      <c r="J815" t="s">
        <v>10</v>
      </c>
      <c r="K815">
        <v>250.2</v>
      </c>
      <c r="L815">
        <v>5.39</v>
      </c>
      <c r="M815">
        <v>7449</v>
      </c>
      <c r="N815" t="s">
        <v>79</v>
      </c>
      <c r="O815">
        <v>1</v>
      </c>
      <c r="P815" t="s">
        <v>4144</v>
      </c>
      <c r="Q815" t="s">
        <v>2198</v>
      </c>
      <c r="R815" t="s">
        <v>2199</v>
      </c>
      <c r="S815">
        <v>4</v>
      </c>
      <c r="T815">
        <v>7</v>
      </c>
      <c r="U815">
        <v>730</v>
      </c>
      <c r="V815" t="s">
        <v>4118</v>
      </c>
      <c r="W815" t="s">
        <v>4164</v>
      </c>
      <c r="X815" t="s">
        <v>79</v>
      </c>
    </row>
    <row r="816" spans="1:24">
      <c r="A816">
        <v>73075</v>
      </c>
      <c r="B816" t="s">
        <v>4165</v>
      </c>
      <c r="C816" t="s">
        <v>10</v>
      </c>
      <c r="D816" t="s">
        <v>10</v>
      </c>
      <c r="F816" t="s">
        <v>2740</v>
      </c>
      <c r="G816">
        <v>540</v>
      </c>
      <c r="H816">
        <v>11000</v>
      </c>
      <c r="I816" t="s">
        <v>4166</v>
      </c>
      <c r="J816" t="s">
        <v>10</v>
      </c>
      <c r="K816">
        <v>260.2</v>
      </c>
      <c r="L816">
        <v>7.21</v>
      </c>
      <c r="M816">
        <v>7385</v>
      </c>
      <c r="N816" t="s">
        <v>79</v>
      </c>
      <c r="O816">
        <v>1</v>
      </c>
      <c r="P816" t="s">
        <v>4144</v>
      </c>
      <c r="Q816" t="s">
        <v>2198</v>
      </c>
      <c r="R816" t="s">
        <v>2199</v>
      </c>
      <c r="S816">
        <v>857</v>
      </c>
      <c r="T816">
        <v>914</v>
      </c>
      <c r="U816">
        <v>730</v>
      </c>
      <c r="V816" t="s">
        <v>4118</v>
      </c>
      <c r="W816" t="s">
        <v>4167</v>
      </c>
      <c r="X816" t="s">
        <v>79</v>
      </c>
    </row>
    <row r="817" spans="1:24">
      <c r="A817">
        <v>73076</v>
      </c>
      <c r="B817" t="s">
        <v>4168</v>
      </c>
      <c r="C817" t="s">
        <v>10</v>
      </c>
      <c r="D817" t="s">
        <v>10</v>
      </c>
      <c r="G817">
        <v>3800</v>
      </c>
      <c r="H817">
        <v>23000</v>
      </c>
      <c r="I817" t="s">
        <v>4169</v>
      </c>
      <c r="J817" t="s">
        <v>10</v>
      </c>
      <c r="K817">
        <v>699</v>
      </c>
      <c r="L817">
        <v>4.17</v>
      </c>
      <c r="M817">
        <v>1445</v>
      </c>
      <c r="N817" t="s">
        <v>125</v>
      </c>
      <c r="O817">
        <v>1</v>
      </c>
      <c r="P817" t="s">
        <v>4134</v>
      </c>
      <c r="Q817" t="s">
        <v>2206</v>
      </c>
      <c r="R817" t="s">
        <v>2199</v>
      </c>
      <c r="S817">
        <v>130</v>
      </c>
      <c r="T817">
        <v>141</v>
      </c>
      <c r="U817">
        <v>730</v>
      </c>
      <c r="V817" t="s">
        <v>4118</v>
      </c>
      <c r="W817" t="s">
        <v>4170</v>
      </c>
      <c r="X817" t="s">
        <v>79</v>
      </c>
    </row>
    <row r="818" spans="1:24">
      <c r="A818">
        <v>73077</v>
      </c>
      <c r="B818" t="s">
        <v>4171</v>
      </c>
      <c r="C818" t="s">
        <v>10</v>
      </c>
      <c r="D818" t="s">
        <v>10</v>
      </c>
      <c r="G818">
        <v>18000</v>
      </c>
      <c r="H818">
        <v>1500000</v>
      </c>
      <c r="I818" t="s">
        <v>3321</v>
      </c>
      <c r="J818" t="s">
        <v>10</v>
      </c>
      <c r="K818">
        <v>330</v>
      </c>
      <c r="L818">
        <v>3.33</v>
      </c>
      <c r="M818">
        <v>4421</v>
      </c>
      <c r="N818" t="s">
        <v>125</v>
      </c>
      <c r="O818">
        <v>1</v>
      </c>
      <c r="P818" t="s">
        <v>2449</v>
      </c>
      <c r="Q818" t="s">
        <v>2206</v>
      </c>
      <c r="R818" t="s">
        <v>2199</v>
      </c>
      <c r="S818">
        <v>198</v>
      </c>
      <c r="T818">
        <v>240</v>
      </c>
      <c r="U818">
        <v>730</v>
      </c>
      <c r="V818" t="s">
        <v>4118</v>
      </c>
      <c r="W818" t="s">
        <v>4172</v>
      </c>
      <c r="X818" t="s">
        <v>79</v>
      </c>
    </row>
    <row r="819" spans="1:24">
      <c r="A819">
        <v>73078</v>
      </c>
      <c r="B819" t="s">
        <v>4173</v>
      </c>
      <c r="C819" t="s">
        <v>10</v>
      </c>
      <c r="D819" t="s">
        <v>10</v>
      </c>
      <c r="G819">
        <v>1800</v>
      </c>
      <c r="H819">
        <v>6000</v>
      </c>
      <c r="I819" t="s">
        <v>4174</v>
      </c>
      <c r="J819" t="s">
        <v>10</v>
      </c>
      <c r="K819">
        <v>168.17</v>
      </c>
      <c r="L819">
        <v>8.5500000000000007</v>
      </c>
      <c r="M819">
        <v>7322</v>
      </c>
      <c r="N819" t="s">
        <v>125</v>
      </c>
      <c r="O819">
        <v>3</v>
      </c>
      <c r="P819" t="s">
        <v>4067</v>
      </c>
      <c r="Q819" t="s">
        <v>2198</v>
      </c>
      <c r="R819" t="s">
        <v>2199</v>
      </c>
      <c r="S819">
        <v>61</v>
      </c>
      <c r="T819">
        <v>61</v>
      </c>
      <c r="U819">
        <v>730</v>
      </c>
      <c r="V819" t="s">
        <v>4118</v>
      </c>
      <c r="W819" t="s">
        <v>4175</v>
      </c>
      <c r="X819" t="s">
        <v>79</v>
      </c>
    </row>
    <row r="820" spans="1:24">
      <c r="A820">
        <v>73082</v>
      </c>
      <c r="B820" t="s">
        <v>4176</v>
      </c>
      <c r="C820" t="s">
        <v>10</v>
      </c>
      <c r="D820" t="s">
        <v>10</v>
      </c>
      <c r="E820" t="s">
        <v>2162</v>
      </c>
      <c r="G820">
        <v>5500</v>
      </c>
      <c r="H820">
        <v>75000</v>
      </c>
      <c r="I820" t="s">
        <v>4177</v>
      </c>
      <c r="J820" t="s">
        <v>10</v>
      </c>
      <c r="K820">
        <v>104.35</v>
      </c>
      <c r="L820">
        <v>2.63</v>
      </c>
      <c r="M820">
        <v>8331</v>
      </c>
      <c r="N820" t="s">
        <v>125</v>
      </c>
      <c r="O820">
        <v>3</v>
      </c>
      <c r="P820" t="s">
        <v>4178</v>
      </c>
      <c r="Q820" t="s">
        <v>2206</v>
      </c>
      <c r="R820" t="s">
        <v>159</v>
      </c>
      <c r="S820">
        <v>70</v>
      </c>
      <c r="T820">
        <v>76</v>
      </c>
      <c r="U820">
        <v>730</v>
      </c>
      <c r="V820" t="s">
        <v>4118</v>
      </c>
      <c r="W820" t="s">
        <v>4179</v>
      </c>
      <c r="X820" t="s">
        <v>79</v>
      </c>
    </row>
    <row r="821" spans="1:24">
      <c r="A821">
        <v>73083</v>
      </c>
      <c r="B821" t="s">
        <v>4180</v>
      </c>
      <c r="C821" t="s">
        <v>10</v>
      </c>
      <c r="D821" t="s">
        <v>10</v>
      </c>
      <c r="E821" t="s">
        <v>2755</v>
      </c>
      <c r="G821">
        <v>8286</v>
      </c>
      <c r="H821">
        <v>33000</v>
      </c>
      <c r="I821" t="s">
        <v>4181</v>
      </c>
      <c r="J821" t="s">
        <v>10</v>
      </c>
      <c r="K821">
        <v>436.4</v>
      </c>
      <c r="L821">
        <v>4.72</v>
      </c>
      <c r="M821">
        <v>7361</v>
      </c>
      <c r="N821" t="s">
        <v>125</v>
      </c>
      <c r="O821">
        <v>1</v>
      </c>
      <c r="P821" t="s">
        <v>4182</v>
      </c>
      <c r="Q821" t="s">
        <v>2198</v>
      </c>
      <c r="R821" t="s">
        <v>2199</v>
      </c>
      <c r="S821">
        <v>187</v>
      </c>
      <c r="T821">
        <v>244</v>
      </c>
      <c r="U821">
        <v>730</v>
      </c>
      <c r="V821" t="s">
        <v>4118</v>
      </c>
      <c r="W821" t="s">
        <v>4183</v>
      </c>
      <c r="X821" t="s">
        <v>79</v>
      </c>
    </row>
    <row r="822" spans="1:24">
      <c r="A822">
        <v>73085</v>
      </c>
      <c r="B822" t="s">
        <v>4184</v>
      </c>
      <c r="C822" t="s">
        <v>10</v>
      </c>
      <c r="D822" t="s">
        <v>10</v>
      </c>
      <c r="G822">
        <v>3500</v>
      </c>
      <c r="H822">
        <v>24000</v>
      </c>
      <c r="I822" t="s">
        <v>4185</v>
      </c>
      <c r="J822" t="s">
        <v>10</v>
      </c>
      <c r="K822">
        <v>290.56</v>
      </c>
      <c r="L822">
        <v>6.52</v>
      </c>
      <c r="M822">
        <v>7344</v>
      </c>
      <c r="N822" t="s">
        <v>125</v>
      </c>
      <c r="O822">
        <v>1</v>
      </c>
      <c r="P822" t="s">
        <v>4186</v>
      </c>
      <c r="Q822" t="s">
        <v>2198</v>
      </c>
      <c r="R822" t="s">
        <v>2199</v>
      </c>
      <c r="S822">
        <v>81</v>
      </c>
      <c r="T822">
        <v>193</v>
      </c>
      <c r="U822">
        <v>730</v>
      </c>
      <c r="V822" t="s">
        <v>4118</v>
      </c>
      <c r="W822" t="s">
        <v>4187</v>
      </c>
      <c r="X822" t="s">
        <v>79</v>
      </c>
    </row>
    <row r="823" spans="1:24">
      <c r="A823">
        <v>73530</v>
      </c>
      <c r="B823" t="s">
        <v>4188</v>
      </c>
      <c r="C823" t="s">
        <v>10</v>
      </c>
      <c r="D823" t="s">
        <v>10</v>
      </c>
      <c r="G823">
        <v>1100</v>
      </c>
      <c r="H823">
        <v>23100</v>
      </c>
      <c r="I823" t="s">
        <v>4189</v>
      </c>
      <c r="J823" t="s">
        <v>10</v>
      </c>
      <c r="K823">
        <v>206.75</v>
      </c>
      <c r="L823">
        <v>8.65</v>
      </c>
      <c r="M823">
        <v>7353</v>
      </c>
      <c r="N823" t="s">
        <v>125</v>
      </c>
      <c r="P823" t="s">
        <v>4152</v>
      </c>
      <c r="Q823" t="s">
        <v>2198</v>
      </c>
      <c r="R823" t="s">
        <v>2199</v>
      </c>
      <c r="S823">
        <v>1</v>
      </c>
      <c r="T823">
        <v>1</v>
      </c>
      <c r="U823">
        <v>735</v>
      </c>
      <c r="V823" t="s">
        <v>4190</v>
      </c>
      <c r="W823" t="s">
        <v>4191</v>
      </c>
      <c r="X823" t="s">
        <v>79</v>
      </c>
    </row>
    <row r="824" spans="1:24">
      <c r="A824">
        <v>74001</v>
      </c>
      <c r="B824" t="s">
        <v>4192</v>
      </c>
      <c r="C824" t="s">
        <v>10</v>
      </c>
      <c r="D824" t="s">
        <v>10</v>
      </c>
      <c r="G824">
        <v>20000</v>
      </c>
      <c r="H824">
        <v>240000</v>
      </c>
      <c r="I824" t="s">
        <v>4193</v>
      </c>
      <c r="J824" t="s">
        <v>10</v>
      </c>
      <c r="K824">
        <v>164.93</v>
      </c>
      <c r="L824">
        <v>3.89</v>
      </c>
      <c r="M824">
        <v>7346</v>
      </c>
      <c r="N824" t="s">
        <v>125</v>
      </c>
      <c r="O824">
        <v>1</v>
      </c>
      <c r="P824" t="s">
        <v>2197</v>
      </c>
      <c r="Q824" t="s">
        <v>2198</v>
      </c>
      <c r="R824" t="s">
        <v>2199</v>
      </c>
      <c r="S824">
        <v>270</v>
      </c>
      <c r="T824">
        <v>379</v>
      </c>
      <c r="U824">
        <v>740</v>
      </c>
      <c r="V824" t="s">
        <v>4194</v>
      </c>
      <c r="W824" t="s">
        <v>4195</v>
      </c>
      <c r="X824" t="s">
        <v>79</v>
      </c>
    </row>
    <row r="825" spans="1:24">
      <c r="A825">
        <v>74003</v>
      </c>
      <c r="B825" t="s">
        <v>4196</v>
      </c>
      <c r="C825" t="s">
        <v>10</v>
      </c>
      <c r="D825" t="s">
        <v>10</v>
      </c>
      <c r="G825">
        <v>7800</v>
      </c>
      <c r="H825">
        <v>39000</v>
      </c>
      <c r="I825" t="s">
        <v>4197</v>
      </c>
      <c r="J825" t="s">
        <v>10</v>
      </c>
      <c r="K825">
        <v>112</v>
      </c>
      <c r="L825">
        <v>5.37</v>
      </c>
      <c r="M825">
        <v>7387</v>
      </c>
      <c r="N825" t="s">
        <v>125</v>
      </c>
      <c r="O825">
        <v>1</v>
      </c>
      <c r="P825" t="s">
        <v>2197</v>
      </c>
      <c r="Q825" t="s">
        <v>2198</v>
      </c>
      <c r="R825" t="s">
        <v>2199</v>
      </c>
      <c r="S825">
        <v>18</v>
      </c>
      <c r="T825">
        <v>80</v>
      </c>
      <c r="U825">
        <v>740</v>
      </c>
      <c r="V825" t="s">
        <v>4194</v>
      </c>
      <c r="W825" t="s">
        <v>4198</v>
      </c>
      <c r="X825" t="s">
        <v>79</v>
      </c>
    </row>
    <row r="826" spans="1:24">
      <c r="A826">
        <v>74004</v>
      </c>
      <c r="B826" t="s">
        <v>4199</v>
      </c>
      <c r="C826" t="s">
        <v>10</v>
      </c>
      <c r="D826" t="s">
        <v>10</v>
      </c>
      <c r="G826">
        <v>4300</v>
      </c>
      <c r="H826">
        <v>26000</v>
      </c>
      <c r="I826" t="s">
        <v>4200</v>
      </c>
      <c r="J826" t="s">
        <v>10</v>
      </c>
      <c r="K826">
        <v>283.06</v>
      </c>
      <c r="L826">
        <v>7.21</v>
      </c>
      <c r="M826">
        <v>7331</v>
      </c>
      <c r="N826" t="s">
        <v>125</v>
      </c>
      <c r="O826">
        <v>1</v>
      </c>
      <c r="P826" t="s">
        <v>2197</v>
      </c>
      <c r="Q826" t="s">
        <v>2198</v>
      </c>
      <c r="R826" t="s">
        <v>2199</v>
      </c>
      <c r="S826">
        <v>200</v>
      </c>
      <c r="T826">
        <v>552</v>
      </c>
      <c r="U826">
        <v>740</v>
      </c>
      <c r="V826" t="s">
        <v>4194</v>
      </c>
      <c r="W826" t="s">
        <v>4201</v>
      </c>
      <c r="X826" t="s">
        <v>79</v>
      </c>
    </row>
    <row r="827" spans="1:24">
      <c r="A827">
        <v>74006</v>
      </c>
      <c r="B827" t="s">
        <v>4202</v>
      </c>
      <c r="C827" t="s">
        <v>10</v>
      </c>
      <c r="D827" t="s">
        <v>10</v>
      </c>
      <c r="F827" t="s">
        <v>2755</v>
      </c>
      <c r="G827">
        <v>3400</v>
      </c>
      <c r="H827">
        <v>34000</v>
      </c>
      <c r="I827" t="s">
        <v>4147</v>
      </c>
      <c r="J827" t="s">
        <v>10</v>
      </c>
      <c r="K827">
        <v>283.06</v>
      </c>
      <c r="L827">
        <v>4.5599999999999996</v>
      </c>
      <c r="M827">
        <v>7332</v>
      </c>
      <c r="N827" t="s">
        <v>125</v>
      </c>
      <c r="P827" t="s">
        <v>4067</v>
      </c>
      <c r="Q827" t="s">
        <v>2198</v>
      </c>
      <c r="R827" t="s">
        <v>2199</v>
      </c>
      <c r="S827">
        <v>8</v>
      </c>
      <c r="T827">
        <v>13</v>
      </c>
      <c r="U827">
        <v>733</v>
      </c>
      <c r="V827" t="s">
        <v>4203</v>
      </c>
      <c r="W827" t="s">
        <v>4204</v>
      </c>
      <c r="X827" t="s">
        <v>79</v>
      </c>
    </row>
    <row r="828" spans="1:24">
      <c r="A828">
        <v>74009</v>
      </c>
      <c r="B828" t="s">
        <v>4205</v>
      </c>
      <c r="C828" t="s">
        <v>10</v>
      </c>
      <c r="D828" t="s">
        <v>10</v>
      </c>
      <c r="G828">
        <v>20000</v>
      </c>
      <c r="H828">
        <v>240000</v>
      </c>
      <c r="I828" t="s">
        <v>4193</v>
      </c>
      <c r="J828" t="s">
        <v>10</v>
      </c>
      <c r="K828">
        <v>164.93</v>
      </c>
      <c r="L828">
        <v>3.89</v>
      </c>
      <c r="M828">
        <v>7346</v>
      </c>
      <c r="N828" t="s">
        <v>125</v>
      </c>
      <c r="O828">
        <v>1</v>
      </c>
      <c r="P828" t="s">
        <v>2197</v>
      </c>
      <c r="Q828" t="s">
        <v>2198</v>
      </c>
      <c r="R828" t="s">
        <v>2199</v>
      </c>
      <c r="S828">
        <v>92</v>
      </c>
      <c r="T828">
        <v>354</v>
      </c>
      <c r="U828">
        <v>740</v>
      </c>
      <c r="V828" t="s">
        <v>4194</v>
      </c>
      <c r="W828" t="s">
        <v>4206</v>
      </c>
      <c r="X828" t="s">
        <v>79</v>
      </c>
    </row>
    <row r="829" spans="1:24">
      <c r="A829">
        <v>74011</v>
      </c>
      <c r="B829" t="s">
        <v>4207</v>
      </c>
      <c r="C829" t="s">
        <v>10</v>
      </c>
      <c r="D829" t="s">
        <v>10</v>
      </c>
      <c r="G829">
        <v>20000</v>
      </c>
      <c r="H829">
        <v>240000</v>
      </c>
      <c r="I829" t="s">
        <v>4193</v>
      </c>
      <c r="J829" t="s">
        <v>10</v>
      </c>
      <c r="K829">
        <v>164.93</v>
      </c>
      <c r="L829">
        <v>3.89</v>
      </c>
      <c r="M829">
        <v>7346</v>
      </c>
      <c r="N829" t="s">
        <v>125</v>
      </c>
      <c r="O829">
        <v>2</v>
      </c>
      <c r="P829" t="s">
        <v>2197</v>
      </c>
      <c r="Q829" t="s">
        <v>2198</v>
      </c>
      <c r="R829" t="s">
        <v>2199</v>
      </c>
      <c r="S829">
        <v>2</v>
      </c>
      <c r="T829">
        <v>7</v>
      </c>
      <c r="U829">
        <v>740</v>
      </c>
      <c r="V829" t="s">
        <v>4194</v>
      </c>
      <c r="W829" t="s">
        <v>4208</v>
      </c>
      <c r="X829" t="s">
        <v>79</v>
      </c>
    </row>
    <row r="830" spans="1:24">
      <c r="A830">
        <v>74012</v>
      </c>
      <c r="B830" t="s">
        <v>4209</v>
      </c>
      <c r="C830" t="s">
        <v>10</v>
      </c>
      <c r="D830" t="s">
        <v>10</v>
      </c>
      <c r="G830">
        <v>8400</v>
      </c>
      <c r="H830">
        <v>1000000</v>
      </c>
      <c r="I830" t="s">
        <v>2780</v>
      </c>
      <c r="J830" t="s">
        <v>10</v>
      </c>
      <c r="K830">
        <v>587</v>
      </c>
      <c r="L830">
        <v>4.5999999999999996</v>
      </c>
      <c r="M830">
        <v>6100</v>
      </c>
      <c r="N830" t="s">
        <v>125</v>
      </c>
      <c r="O830">
        <v>1</v>
      </c>
      <c r="P830" t="s">
        <v>4144</v>
      </c>
      <c r="Q830" t="s">
        <v>2198</v>
      </c>
      <c r="R830" t="s">
        <v>2199</v>
      </c>
      <c r="S830">
        <v>10</v>
      </c>
      <c r="T830">
        <v>75</v>
      </c>
      <c r="U830">
        <v>740</v>
      </c>
      <c r="V830" t="s">
        <v>4194</v>
      </c>
      <c r="W830" t="s">
        <v>4210</v>
      </c>
      <c r="X830" t="s">
        <v>79</v>
      </c>
    </row>
    <row r="831" spans="1:24">
      <c r="A831">
        <v>74013</v>
      </c>
      <c r="B831" t="s">
        <v>4211</v>
      </c>
      <c r="C831" t="s">
        <v>10</v>
      </c>
      <c r="D831" t="s">
        <v>10</v>
      </c>
      <c r="G831">
        <v>2800</v>
      </c>
      <c r="H831">
        <v>56000</v>
      </c>
      <c r="I831" t="s">
        <v>4083</v>
      </c>
      <c r="J831" t="s">
        <v>10</v>
      </c>
      <c r="K831">
        <v>187.29</v>
      </c>
      <c r="L831">
        <v>3.33</v>
      </c>
      <c r="M831">
        <v>7342</v>
      </c>
      <c r="N831" t="s">
        <v>125</v>
      </c>
      <c r="O831">
        <v>1</v>
      </c>
      <c r="P831" t="s">
        <v>2197</v>
      </c>
      <c r="Q831" t="s">
        <v>2198</v>
      </c>
      <c r="R831" t="s">
        <v>2199</v>
      </c>
      <c r="S831">
        <v>9</v>
      </c>
      <c r="T831">
        <v>32</v>
      </c>
      <c r="U831">
        <v>740</v>
      </c>
      <c r="V831" t="s">
        <v>4194</v>
      </c>
      <c r="W831" t="s">
        <v>4212</v>
      </c>
      <c r="X831" t="s">
        <v>79</v>
      </c>
    </row>
    <row r="832" spans="1:24">
      <c r="A832">
        <v>74016</v>
      </c>
      <c r="B832" t="s">
        <v>4213</v>
      </c>
      <c r="C832" t="s">
        <v>10</v>
      </c>
      <c r="D832" t="s">
        <v>10</v>
      </c>
      <c r="G832">
        <v>7800</v>
      </c>
      <c r="H832">
        <v>39000</v>
      </c>
      <c r="I832" t="s">
        <v>4197</v>
      </c>
      <c r="J832" t="s">
        <v>10</v>
      </c>
      <c r="K832">
        <v>112</v>
      </c>
      <c r="L832">
        <v>5.37</v>
      </c>
      <c r="M832">
        <v>7387</v>
      </c>
      <c r="N832" t="s">
        <v>125</v>
      </c>
      <c r="O832">
        <v>1</v>
      </c>
      <c r="P832" t="s">
        <v>2197</v>
      </c>
      <c r="Q832" t="s">
        <v>2198</v>
      </c>
      <c r="R832" t="s">
        <v>2199</v>
      </c>
      <c r="S832">
        <v>25</v>
      </c>
      <c r="T832">
        <v>40</v>
      </c>
      <c r="U832">
        <v>740</v>
      </c>
      <c r="V832" t="s">
        <v>4194</v>
      </c>
      <c r="W832" t="s">
        <v>4214</v>
      </c>
      <c r="X832" t="s">
        <v>79</v>
      </c>
    </row>
    <row r="833" spans="1:24">
      <c r="A833">
        <v>74018</v>
      </c>
      <c r="B833" t="s">
        <v>4215</v>
      </c>
      <c r="C833" t="s">
        <v>10</v>
      </c>
      <c r="D833" t="s">
        <v>10</v>
      </c>
      <c r="G833">
        <v>2000</v>
      </c>
      <c r="H833">
        <v>24000</v>
      </c>
      <c r="I833" t="s">
        <v>4216</v>
      </c>
      <c r="J833" t="s">
        <v>10</v>
      </c>
      <c r="K833">
        <v>340.27</v>
      </c>
      <c r="L833">
        <v>3.62</v>
      </c>
      <c r="M833">
        <v>7347</v>
      </c>
      <c r="N833" t="s">
        <v>125</v>
      </c>
      <c r="O833">
        <v>1</v>
      </c>
      <c r="P833" t="s">
        <v>2449</v>
      </c>
      <c r="Q833" t="s">
        <v>2206</v>
      </c>
      <c r="R833" t="s">
        <v>2199</v>
      </c>
      <c r="S833">
        <v>21</v>
      </c>
      <c r="T833">
        <v>85</v>
      </c>
      <c r="U833">
        <v>740</v>
      </c>
      <c r="V833" t="s">
        <v>4194</v>
      </c>
      <c r="W833" t="s">
        <v>4217</v>
      </c>
      <c r="X833" t="s">
        <v>79</v>
      </c>
    </row>
    <row r="834" spans="1:24">
      <c r="A834">
        <v>74019</v>
      </c>
      <c r="B834" t="s">
        <v>4218</v>
      </c>
      <c r="C834" t="s">
        <v>10</v>
      </c>
      <c r="D834" t="s">
        <v>10</v>
      </c>
      <c r="G834">
        <v>2000</v>
      </c>
      <c r="H834">
        <v>24000</v>
      </c>
      <c r="I834" t="s">
        <v>4216</v>
      </c>
      <c r="J834" t="s">
        <v>10</v>
      </c>
      <c r="K834">
        <v>340.27</v>
      </c>
      <c r="L834">
        <v>3.62</v>
      </c>
      <c r="M834">
        <v>7347</v>
      </c>
      <c r="N834" t="s">
        <v>125</v>
      </c>
      <c r="O834">
        <v>1</v>
      </c>
      <c r="P834" t="s">
        <v>2449</v>
      </c>
      <c r="Q834" t="s">
        <v>2206</v>
      </c>
      <c r="R834" t="s">
        <v>2199</v>
      </c>
      <c r="S834">
        <v>73</v>
      </c>
      <c r="T834">
        <v>252</v>
      </c>
      <c r="U834">
        <v>740</v>
      </c>
      <c r="V834" t="s">
        <v>4194</v>
      </c>
      <c r="W834" t="s">
        <v>4219</v>
      </c>
      <c r="X834" t="s">
        <v>79</v>
      </c>
    </row>
    <row r="835" spans="1:24" ht="409.5">
      <c r="A835">
        <v>74020</v>
      </c>
      <c r="B835" t="s">
        <v>4220</v>
      </c>
      <c r="C835" t="s">
        <v>10</v>
      </c>
      <c r="D835" t="s">
        <v>10</v>
      </c>
      <c r="G835">
        <v>23000</v>
      </c>
      <c r="H835">
        <v>152000</v>
      </c>
      <c r="I835" t="s">
        <v>4221</v>
      </c>
      <c r="J835" t="s">
        <v>10</v>
      </c>
      <c r="K835">
        <v>401.17</v>
      </c>
      <c r="L835">
        <v>4.07</v>
      </c>
      <c r="M835">
        <v>7441</v>
      </c>
      <c r="N835" t="s">
        <v>79</v>
      </c>
      <c r="O835">
        <v>1</v>
      </c>
      <c r="P835" t="s">
        <v>2197</v>
      </c>
      <c r="Q835" t="s">
        <v>2198</v>
      </c>
      <c r="R835" t="s">
        <v>2199</v>
      </c>
      <c r="S835">
        <v>106</v>
      </c>
      <c r="T835">
        <v>108</v>
      </c>
      <c r="U835">
        <v>740</v>
      </c>
      <c r="V835" t="s">
        <v>4194</v>
      </c>
      <c r="W835" s="2" t="s">
        <v>4222</v>
      </c>
      <c r="X835" t="s">
        <v>79</v>
      </c>
    </row>
    <row r="836" spans="1:24">
      <c r="A836">
        <v>74021</v>
      </c>
      <c r="B836" t="s">
        <v>4223</v>
      </c>
      <c r="C836" t="s">
        <v>10</v>
      </c>
      <c r="D836" t="s">
        <v>10</v>
      </c>
      <c r="G836">
        <v>10000</v>
      </c>
      <c r="H836">
        <v>53000</v>
      </c>
      <c r="I836" t="s">
        <v>4033</v>
      </c>
      <c r="J836" t="s">
        <v>10</v>
      </c>
      <c r="K836">
        <v>366.27</v>
      </c>
      <c r="L836">
        <v>4.72</v>
      </c>
      <c r="M836">
        <v>7440</v>
      </c>
      <c r="N836" t="s">
        <v>125</v>
      </c>
      <c r="O836">
        <v>1</v>
      </c>
      <c r="P836" t="s">
        <v>2449</v>
      </c>
      <c r="Q836" t="s">
        <v>2206</v>
      </c>
      <c r="R836" t="s">
        <v>2199</v>
      </c>
      <c r="S836">
        <v>3</v>
      </c>
      <c r="T836">
        <v>5</v>
      </c>
      <c r="U836">
        <v>740</v>
      </c>
      <c r="V836" t="s">
        <v>4194</v>
      </c>
      <c r="W836" t="s">
        <v>4224</v>
      </c>
      <c r="X836" t="s">
        <v>79</v>
      </c>
    </row>
    <row r="837" spans="1:24">
      <c r="A837">
        <v>74023</v>
      </c>
      <c r="B837" t="s">
        <v>4225</v>
      </c>
      <c r="C837" t="s">
        <v>10</v>
      </c>
      <c r="D837" t="s">
        <v>10</v>
      </c>
      <c r="G837">
        <v>52000</v>
      </c>
      <c r="H837">
        <v>130000</v>
      </c>
      <c r="I837" t="s">
        <v>4226</v>
      </c>
      <c r="J837" t="s">
        <v>10</v>
      </c>
      <c r="K837">
        <v>185.4</v>
      </c>
      <c r="L837">
        <v>2.44</v>
      </c>
      <c r="M837">
        <v>7349</v>
      </c>
      <c r="N837" t="s">
        <v>125</v>
      </c>
      <c r="O837">
        <v>1</v>
      </c>
      <c r="P837" t="s">
        <v>2197</v>
      </c>
      <c r="Q837" t="s">
        <v>2198</v>
      </c>
      <c r="R837" t="s">
        <v>2199</v>
      </c>
      <c r="S837">
        <v>67</v>
      </c>
      <c r="T837">
        <v>81</v>
      </c>
      <c r="U837">
        <v>740</v>
      </c>
      <c r="V837" t="s">
        <v>4194</v>
      </c>
      <c r="W837" t="s">
        <v>4227</v>
      </c>
      <c r="X837" t="s">
        <v>79</v>
      </c>
    </row>
    <row r="838" spans="1:24">
      <c r="A838">
        <v>74024</v>
      </c>
      <c r="B838" t="s">
        <v>4228</v>
      </c>
      <c r="C838" t="s">
        <v>10</v>
      </c>
      <c r="D838" t="s">
        <v>10</v>
      </c>
      <c r="E838" t="s">
        <v>4229</v>
      </c>
      <c r="G838">
        <v>15000</v>
      </c>
      <c r="H838">
        <v>190000</v>
      </c>
      <c r="I838" t="s">
        <v>4230</v>
      </c>
      <c r="J838" t="s">
        <v>10</v>
      </c>
      <c r="K838">
        <v>655.51</v>
      </c>
      <c r="L838">
        <v>4.5599999999999996</v>
      </c>
      <c r="M838">
        <v>4321</v>
      </c>
      <c r="N838" t="s">
        <v>125</v>
      </c>
      <c r="O838">
        <v>3</v>
      </c>
      <c r="P838" t="s">
        <v>2197</v>
      </c>
      <c r="Q838" t="s">
        <v>2198</v>
      </c>
      <c r="R838" t="s">
        <v>2199</v>
      </c>
      <c r="S838">
        <v>9</v>
      </c>
      <c r="T838">
        <v>10</v>
      </c>
      <c r="U838">
        <v>740</v>
      </c>
      <c r="V838" t="s">
        <v>4194</v>
      </c>
      <c r="W838" t="s">
        <v>4231</v>
      </c>
      <c r="X838" t="s">
        <v>79</v>
      </c>
    </row>
    <row r="839" spans="1:24">
      <c r="A839">
        <v>74025</v>
      </c>
      <c r="B839" t="s">
        <v>4232</v>
      </c>
      <c r="C839" t="s">
        <v>10</v>
      </c>
      <c r="D839" t="s">
        <v>10</v>
      </c>
      <c r="G839">
        <v>7000</v>
      </c>
      <c r="H839">
        <v>35000</v>
      </c>
      <c r="I839" t="s">
        <v>4233</v>
      </c>
      <c r="J839" t="s">
        <v>10</v>
      </c>
      <c r="K839">
        <v>260.92</v>
      </c>
      <c r="L839">
        <v>5.95</v>
      </c>
      <c r="M839">
        <v>7372</v>
      </c>
      <c r="N839" t="s">
        <v>125</v>
      </c>
      <c r="O839">
        <v>1</v>
      </c>
      <c r="P839" t="s">
        <v>4234</v>
      </c>
      <c r="Q839" t="s">
        <v>2198</v>
      </c>
      <c r="R839" t="s">
        <v>2199</v>
      </c>
      <c r="S839">
        <v>108</v>
      </c>
      <c r="T839">
        <v>185</v>
      </c>
      <c r="U839">
        <v>740</v>
      </c>
      <c r="V839" t="s">
        <v>4194</v>
      </c>
      <c r="W839" t="s">
        <v>4235</v>
      </c>
      <c r="X839" t="s">
        <v>79</v>
      </c>
    </row>
    <row r="840" spans="1:24">
      <c r="A840">
        <v>74027</v>
      </c>
      <c r="B840" t="s">
        <v>4236</v>
      </c>
      <c r="C840" t="s">
        <v>10</v>
      </c>
      <c r="D840" t="s">
        <v>10</v>
      </c>
      <c r="G840">
        <v>3900</v>
      </c>
      <c r="H840">
        <v>18000</v>
      </c>
      <c r="I840" t="s">
        <v>2448</v>
      </c>
      <c r="J840" t="s">
        <v>10</v>
      </c>
      <c r="K840">
        <v>411.57</v>
      </c>
      <c r="L840">
        <v>6.31</v>
      </c>
      <c r="M840">
        <v>1441</v>
      </c>
      <c r="N840" t="s">
        <v>125</v>
      </c>
      <c r="O840">
        <v>3</v>
      </c>
      <c r="P840" t="s">
        <v>4144</v>
      </c>
      <c r="Q840" t="s">
        <v>2198</v>
      </c>
      <c r="R840" t="s">
        <v>2199</v>
      </c>
      <c r="S840">
        <v>16</v>
      </c>
      <c r="T840">
        <v>25</v>
      </c>
      <c r="U840">
        <v>740</v>
      </c>
      <c r="V840" t="s">
        <v>4194</v>
      </c>
      <c r="W840" t="s">
        <v>4237</v>
      </c>
      <c r="X840" t="s">
        <v>79</v>
      </c>
    </row>
    <row r="841" spans="1:24">
      <c r="A841">
        <v>74030</v>
      </c>
      <c r="B841" t="s">
        <v>4238</v>
      </c>
      <c r="C841" t="s">
        <v>10</v>
      </c>
      <c r="D841" t="s">
        <v>10</v>
      </c>
      <c r="E841" t="s">
        <v>2166</v>
      </c>
      <c r="G841">
        <v>4200</v>
      </c>
      <c r="H841">
        <v>18000</v>
      </c>
      <c r="I841" t="s">
        <v>4239</v>
      </c>
      <c r="J841" t="s">
        <v>10</v>
      </c>
      <c r="K841">
        <v>210.7</v>
      </c>
      <c r="L841">
        <v>5.13</v>
      </c>
      <c r="M841">
        <v>7345</v>
      </c>
      <c r="N841" t="s">
        <v>125</v>
      </c>
      <c r="O841">
        <v>1</v>
      </c>
      <c r="P841" t="s">
        <v>2197</v>
      </c>
      <c r="Q841" t="s">
        <v>2198</v>
      </c>
      <c r="R841" t="s">
        <v>2199</v>
      </c>
      <c r="S841">
        <v>116</v>
      </c>
      <c r="T841">
        <v>136</v>
      </c>
      <c r="U841">
        <v>740</v>
      </c>
      <c r="V841" t="s">
        <v>4194</v>
      </c>
      <c r="W841" t="s">
        <v>4240</v>
      </c>
      <c r="X841" t="s">
        <v>79</v>
      </c>
    </row>
    <row r="842" spans="1:24">
      <c r="A842">
        <v>74031</v>
      </c>
      <c r="B842" t="s">
        <v>4241</v>
      </c>
      <c r="C842" t="s">
        <v>2166</v>
      </c>
      <c r="F842" t="s">
        <v>2166</v>
      </c>
      <c r="G842">
        <v>3</v>
      </c>
      <c r="H842">
        <v>28</v>
      </c>
      <c r="I842" t="s">
        <v>2191</v>
      </c>
      <c r="J842" t="s">
        <v>2166</v>
      </c>
      <c r="K842">
        <v>155186.69</v>
      </c>
      <c r="L842">
        <v>7416.54</v>
      </c>
      <c r="M842">
        <v>1231</v>
      </c>
      <c r="N842" t="s">
        <v>79</v>
      </c>
      <c r="O842">
        <v>3</v>
      </c>
      <c r="P842" t="s">
        <v>2192</v>
      </c>
      <c r="Q842" t="s">
        <v>2169</v>
      </c>
      <c r="R842" t="s">
        <v>159</v>
      </c>
      <c r="S842">
        <v>11</v>
      </c>
      <c r="T842">
        <v>14</v>
      </c>
      <c r="U842">
        <v>740</v>
      </c>
      <c r="V842" t="s">
        <v>4194</v>
      </c>
      <c r="W842" t="s">
        <v>4242</v>
      </c>
      <c r="X842" t="s">
        <v>79</v>
      </c>
    </row>
    <row r="843" spans="1:24">
      <c r="A843">
        <v>74032</v>
      </c>
      <c r="B843" t="s">
        <v>4243</v>
      </c>
      <c r="C843" t="s">
        <v>10</v>
      </c>
      <c r="D843" t="s">
        <v>10</v>
      </c>
      <c r="G843">
        <v>1700</v>
      </c>
      <c r="H843">
        <v>6300</v>
      </c>
      <c r="I843" t="s">
        <v>4244</v>
      </c>
      <c r="J843" t="s">
        <v>10</v>
      </c>
      <c r="K843">
        <v>114.82</v>
      </c>
      <c r="L843">
        <v>3.35</v>
      </c>
      <c r="M843">
        <v>7348</v>
      </c>
      <c r="N843" t="s">
        <v>125</v>
      </c>
      <c r="O843">
        <v>1</v>
      </c>
      <c r="P843" t="s">
        <v>2197</v>
      </c>
      <c r="Q843" t="s">
        <v>2198</v>
      </c>
      <c r="R843" t="s">
        <v>2199</v>
      </c>
      <c r="S843">
        <v>54</v>
      </c>
      <c r="T843">
        <v>63</v>
      </c>
      <c r="U843">
        <v>740</v>
      </c>
      <c r="V843" t="s">
        <v>4194</v>
      </c>
      <c r="W843" t="s">
        <v>4245</v>
      </c>
      <c r="X843" t="s">
        <v>79</v>
      </c>
    </row>
    <row r="844" spans="1:24">
      <c r="A844">
        <v>74033</v>
      </c>
      <c r="B844" t="s">
        <v>4246</v>
      </c>
      <c r="C844" t="s">
        <v>10</v>
      </c>
      <c r="D844" t="s">
        <v>10</v>
      </c>
      <c r="G844">
        <v>1400</v>
      </c>
      <c r="H844">
        <v>11000</v>
      </c>
      <c r="I844" t="s">
        <v>4247</v>
      </c>
      <c r="J844" t="s">
        <v>10</v>
      </c>
      <c r="K844">
        <v>114.82</v>
      </c>
      <c r="L844">
        <v>6.78</v>
      </c>
      <c r="M844">
        <v>7350</v>
      </c>
      <c r="N844" t="s">
        <v>79</v>
      </c>
      <c r="O844">
        <v>3</v>
      </c>
      <c r="P844" t="s">
        <v>4234</v>
      </c>
      <c r="Q844" t="s">
        <v>2198</v>
      </c>
      <c r="R844" t="s">
        <v>159</v>
      </c>
      <c r="S844">
        <v>27</v>
      </c>
      <c r="T844">
        <v>28</v>
      </c>
      <c r="U844">
        <v>740</v>
      </c>
      <c r="V844" t="s">
        <v>4194</v>
      </c>
      <c r="W844" t="s">
        <v>4248</v>
      </c>
      <c r="X844" t="s">
        <v>79</v>
      </c>
    </row>
    <row r="845" spans="1:24">
      <c r="A845">
        <v>74034</v>
      </c>
      <c r="B845" t="s">
        <v>4249</v>
      </c>
      <c r="C845" t="s">
        <v>10</v>
      </c>
      <c r="D845" t="s">
        <v>10</v>
      </c>
      <c r="G845">
        <v>4000</v>
      </c>
      <c r="H845">
        <v>24000</v>
      </c>
      <c r="I845" t="s">
        <v>4249</v>
      </c>
      <c r="J845" t="s">
        <v>10</v>
      </c>
      <c r="K845">
        <v>126.79</v>
      </c>
      <c r="L845">
        <v>5.53</v>
      </c>
      <c r="M845">
        <v>7340</v>
      </c>
      <c r="N845" t="s">
        <v>125</v>
      </c>
      <c r="O845">
        <v>1</v>
      </c>
      <c r="P845" t="s">
        <v>4144</v>
      </c>
      <c r="Q845" t="s">
        <v>2198</v>
      </c>
      <c r="R845" t="s">
        <v>2199</v>
      </c>
      <c r="S845">
        <v>28</v>
      </c>
      <c r="T845">
        <v>59</v>
      </c>
      <c r="U845">
        <v>740</v>
      </c>
      <c r="V845" t="s">
        <v>4194</v>
      </c>
      <c r="W845" t="s">
        <v>4250</v>
      </c>
      <c r="X845" t="s">
        <v>79</v>
      </c>
    </row>
    <row r="846" spans="1:24">
      <c r="A846">
        <v>74036</v>
      </c>
      <c r="B846" t="s">
        <v>4251</v>
      </c>
      <c r="C846" t="s">
        <v>10</v>
      </c>
      <c r="D846" t="s">
        <v>10</v>
      </c>
      <c r="G846">
        <v>7200</v>
      </c>
      <c r="H846">
        <v>20000</v>
      </c>
      <c r="I846" t="s">
        <v>4252</v>
      </c>
      <c r="J846" t="s">
        <v>10</v>
      </c>
      <c r="K846">
        <v>174.61</v>
      </c>
      <c r="L846">
        <v>6.71</v>
      </c>
      <c r="M846">
        <v>7411</v>
      </c>
      <c r="N846" t="s">
        <v>79</v>
      </c>
      <c r="O846">
        <v>2</v>
      </c>
      <c r="P846" t="s">
        <v>4144</v>
      </c>
      <c r="Q846" t="s">
        <v>2198</v>
      </c>
      <c r="R846" t="s">
        <v>2199</v>
      </c>
      <c r="S846">
        <v>17</v>
      </c>
      <c r="T846">
        <v>32</v>
      </c>
      <c r="U846">
        <v>740</v>
      </c>
      <c r="V846" t="s">
        <v>4194</v>
      </c>
      <c r="W846" t="s">
        <v>4253</v>
      </c>
      <c r="X846" t="s">
        <v>79</v>
      </c>
    </row>
    <row r="847" spans="1:24">
      <c r="A847">
        <v>74037</v>
      </c>
      <c r="B847" t="s">
        <v>4254</v>
      </c>
      <c r="C847" t="s">
        <v>10</v>
      </c>
      <c r="D847" t="s">
        <v>10</v>
      </c>
      <c r="G847">
        <v>3000</v>
      </c>
      <c r="H847">
        <v>32000</v>
      </c>
      <c r="I847" t="s">
        <v>4255</v>
      </c>
      <c r="J847" t="s">
        <v>10</v>
      </c>
      <c r="K847">
        <v>175.73</v>
      </c>
      <c r="L847">
        <v>5.1100000000000003</v>
      </c>
      <c r="M847">
        <v>7446</v>
      </c>
      <c r="N847" t="s">
        <v>125</v>
      </c>
      <c r="O847">
        <v>1</v>
      </c>
      <c r="P847" t="s">
        <v>4144</v>
      </c>
      <c r="Q847" t="s">
        <v>2198</v>
      </c>
      <c r="R847" t="s">
        <v>2199</v>
      </c>
      <c r="S847">
        <v>110</v>
      </c>
      <c r="T847">
        <v>154</v>
      </c>
      <c r="U847">
        <v>740</v>
      </c>
      <c r="V847" t="s">
        <v>4194</v>
      </c>
      <c r="W847" t="s">
        <v>4256</v>
      </c>
      <c r="X847" t="s">
        <v>79</v>
      </c>
    </row>
    <row r="848" spans="1:24">
      <c r="A848">
        <v>74038</v>
      </c>
      <c r="B848" t="s">
        <v>4257</v>
      </c>
      <c r="C848" t="s">
        <v>10</v>
      </c>
      <c r="D848" t="s">
        <v>10</v>
      </c>
      <c r="G848">
        <v>5500</v>
      </c>
      <c r="H848">
        <v>29000</v>
      </c>
      <c r="I848" t="s">
        <v>4258</v>
      </c>
      <c r="J848" t="s">
        <v>10</v>
      </c>
      <c r="K848">
        <v>84.96</v>
      </c>
      <c r="L848">
        <v>3.39</v>
      </c>
      <c r="M848">
        <v>7412</v>
      </c>
      <c r="N848" t="s">
        <v>125</v>
      </c>
      <c r="O848">
        <v>1</v>
      </c>
      <c r="P848" t="s">
        <v>4144</v>
      </c>
      <c r="Q848" t="s">
        <v>2198</v>
      </c>
      <c r="R848" t="s">
        <v>2199</v>
      </c>
      <c r="S848">
        <v>93</v>
      </c>
      <c r="T848">
        <v>112</v>
      </c>
      <c r="U848">
        <v>740</v>
      </c>
      <c r="V848" t="s">
        <v>4194</v>
      </c>
      <c r="W848" t="s">
        <v>4259</v>
      </c>
      <c r="X848" t="s">
        <v>79</v>
      </c>
    </row>
    <row r="849" spans="1:24">
      <c r="A849">
        <v>74040</v>
      </c>
      <c r="B849" t="s">
        <v>4260</v>
      </c>
      <c r="C849" t="s">
        <v>10</v>
      </c>
      <c r="D849" t="s">
        <v>10</v>
      </c>
      <c r="E849" t="s">
        <v>4261</v>
      </c>
      <c r="G849">
        <v>19000</v>
      </c>
      <c r="H849">
        <v>44000</v>
      </c>
      <c r="I849" t="s">
        <v>4260</v>
      </c>
      <c r="J849" t="s">
        <v>10</v>
      </c>
      <c r="K849">
        <v>169.75</v>
      </c>
      <c r="L849">
        <v>4.95</v>
      </c>
      <c r="M849">
        <v>7415</v>
      </c>
      <c r="N849" t="s">
        <v>125</v>
      </c>
      <c r="O849">
        <v>1</v>
      </c>
      <c r="P849" t="s">
        <v>4144</v>
      </c>
      <c r="Q849" t="s">
        <v>2198</v>
      </c>
      <c r="R849" t="s">
        <v>2199</v>
      </c>
      <c r="S849">
        <v>59</v>
      </c>
      <c r="T849">
        <v>76</v>
      </c>
      <c r="U849">
        <v>740</v>
      </c>
      <c r="V849" t="s">
        <v>4194</v>
      </c>
      <c r="W849" t="s">
        <v>4262</v>
      </c>
      <c r="X849" t="s">
        <v>79</v>
      </c>
    </row>
    <row r="850" spans="1:24">
      <c r="A850">
        <v>74042</v>
      </c>
      <c r="B850" t="s">
        <v>4263</v>
      </c>
      <c r="C850" t="s">
        <v>10</v>
      </c>
      <c r="D850" t="s">
        <v>10</v>
      </c>
      <c r="G850">
        <v>7400</v>
      </c>
      <c r="H850">
        <v>43000</v>
      </c>
      <c r="I850" t="s">
        <v>4264</v>
      </c>
      <c r="J850" t="s">
        <v>10</v>
      </c>
      <c r="K850">
        <v>276.86</v>
      </c>
      <c r="L850">
        <v>6.79</v>
      </c>
      <c r="M850">
        <v>7417</v>
      </c>
      <c r="N850" t="s">
        <v>125</v>
      </c>
      <c r="O850">
        <v>1</v>
      </c>
      <c r="P850" t="s">
        <v>4144</v>
      </c>
      <c r="Q850" t="s">
        <v>2198</v>
      </c>
      <c r="R850" t="s">
        <v>2199</v>
      </c>
      <c r="S850">
        <v>153</v>
      </c>
      <c r="T850">
        <v>245</v>
      </c>
      <c r="U850">
        <v>740</v>
      </c>
      <c r="V850" t="s">
        <v>4194</v>
      </c>
      <c r="W850" t="s">
        <v>4265</v>
      </c>
      <c r="X850" t="s">
        <v>79</v>
      </c>
    </row>
    <row r="851" spans="1:24">
      <c r="A851">
        <v>74044</v>
      </c>
      <c r="B851" t="s">
        <v>4266</v>
      </c>
      <c r="C851" t="s">
        <v>10</v>
      </c>
      <c r="D851" t="s">
        <v>10</v>
      </c>
      <c r="G851">
        <v>18000</v>
      </c>
      <c r="H851">
        <v>115000</v>
      </c>
      <c r="I851" t="s">
        <v>4267</v>
      </c>
      <c r="J851" t="s">
        <v>10</v>
      </c>
      <c r="K851">
        <v>342.6</v>
      </c>
      <c r="L851">
        <v>4.7</v>
      </c>
      <c r="M851">
        <v>7421</v>
      </c>
      <c r="N851" t="s">
        <v>125</v>
      </c>
      <c r="O851">
        <v>1</v>
      </c>
      <c r="P851" t="s">
        <v>4144</v>
      </c>
      <c r="Q851" t="s">
        <v>2198</v>
      </c>
      <c r="R851" t="s">
        <v>2199</v>
      </c>
      <c r="S851">
        <v>324</v>
      </c>
      <c r="T851">
        <v>387</v>
      </c>
      <c r="U851">
        <v>740</v>
      </c>
      <c r="V851" t="s">
        <v>4194</v>
      </c>
      <c r="W851" t="s">
        <v>4268</v>
      </c>
      <c r="X851" t="s">
        <v>79</v>
      </c>
    </row>
    <row r="852" spans="1:24">
      <c r="A852">
        <v>74045</v>
      </c>
      <c r="B852" t="s">
        <v>4269</v>
      </c>
      <c r="C852" t="s">
        <v>10</v>
      </c>
      <c r="D852" t="s">
        <v>10</v>
      </c>
      <c r="G852">
        <v>18000</v>
      </c>
      <c r="H852">
        <v>115000</v>
      </c>
      <c r="I852" t="s">
        <v>4267</v>
      </c>
      <c r="J852" t="s">
        <v>10</v>
      </c>
      <c r="K852">
        <v>342.6</v>
      </c>
      <c r="L852">
        <v>4.7</v>
      </c>
      <c r="M852">
        <v>7421</v>
      </c>
      <c r="N852" t="s">
        <v>79</v>
      </c>
      <c r="O852">
        <v>2</v>
      </c>
      <c r="P852" t="s">
        <v>4144</v>
      </c>
      <c r="Q852" t="s">
        <v>2198</v>
      </c>
      <c r="R852" t="s">
        <v>2199</v>
      </c>
      <c r="S852">
        <v>44</v>
      </c>
      <c r="T852">
        <v>144</v>
      </c>
      <c r="U852">
        <v>740</v>
      </c>
      <c r="V852" t="s">
        <v>4194</v>
      </c>
      <c r="W852" t="s">
        <v>4270</v>
      </c>
      <c r="X852" t="s">
        <v>79</v>
      </c>
    </row>
    <row r="853" spans="1:24">
      <c r="A853">
        <v>74046</v>
      </c>
      <c r="B853" t="s">
        <v>4271</v>
      </c>
      <c r="C853" t="s">
        <v>10</v>
      </c>
      <c r="D853" t="s">
        <v>10</v>
      </c>
      <c r="G853">
        <v>12000</v>
      </c>
      <c r="H853">
        <v>20000</v>
      </c>
      <c r="I853" t="s">
        <v>4272</v>
      </c>
      <c r="J853" t="s">
        <v>10</v>
      </c>
      <c r="K853">
        <v>164.1</v>
      </c>
      <c r="L853">
        <v>2.9</v>
      </c>
      <c r="M853">
        <v>7418</v>
      </c>
      <c r="N853" t="s">
        <v>125</v>
      </c>
      <c r="O853">
        <v>1</v>
      </c>
      <c r="P853" t="s">
        <v>4144</v>
      </c>
      <c r="Q853" t="s">
        <v>2198</v>
      </c>
      <c r="R853" t="s">
        <v>2199</v>
      </c>
      <c r="S853">
        <v>1</v>
      </c>
      <c r="T853">
        <v>1</v>
      </c>
      <c r="U853">
        <v>740</v>
      </c>
      <c r="V853" t="s">
        <v>4194</v>
      </c>
      <c r="W853" t="s">
        <v>4273</v>
      </c>
      <c r="X853" t="s">
        <v>79</v>
      </c>
    </row>
    <row r="854" spans="1:24">
      <c r="A854">
        <v>74047</v>
      </c>
      <c r="B854" t="s">
        <v>4274</v>
      </c>
      <c r="C854" t="s">
        <v>10</v>
      </c>
      <c r="D854" t="s">
        <v>10</v>
      </c>
      <c r="G854">
        <v>3000</v>
      </c>
      <c r="H854">
        <v>32000</v>
      </c>
      <c r="I854" t="s">
        <v>4255</v>
      </c>
      <c r="J854" t="s">
        <v>10</v>
      </c>
      <c r="K854">
        <v>175.73</v>
      </c>
      <c r="L854">
        <v>5.1100000000000003</v>
      </c>
      <c r="M854">
        <v>7446</v>
      </c>
      <c r="N854" t="s">
        <v>125</v>
      </c>
      <c r="O854">
        <v>1</v>
      </c>
      <c r="P854" t="s">
        <v>4144</v>
      </c>
      <c r="Q854" t="s">
        <v>2198</v>
      </c>
      <c r="R854" t="s">
        <v>2199</v>
      </c>
      <c r="S854">
        <v>8</v>
      </c>
      <c r="T854">
        <v>74</v>
      </c>
      <c r="U854">
        <v>740</v>
      </c>
      <c r="V854" t="s">
        <v>4194</v>
      </c>
      <c r="W854" t="s">
        <v>4275</v>
      </c>
      <c r="X854" t="s">
        <v>79</v>
      </c>
    </row>
    <row r="855" spans="1:24">
      <c r="A855">
        <v>74049</v>
      </c>
      <c r="B855" t="s">
        <v>4276</v>
      </c>
      <c r="C855" t="s">
        <v>10</v>
      </c>
      <c r="D855" t="s">
        <v>10</v>
      </c>
      <c r="G855">
        <v>18000</v>
      </c>
      <c r="H855">
        <v>115000</v>
      </c>
      <c r="I855" t="s">
        <v>4267</v>
      </c>
      <c r="J855" t="s">
        <v>10</v>
      </c>
      <c r="K855">
        <v>342.6</v>
      </c>
      <c r="L855">
        <v>4.7</v>
      </c>
      <c r="M855">
        <v>7421</v>
      </c>
      <c r="N855" t="s">
        <v>125</v>
      </c>
      <c r="O855">
        <v>1</v>
      </c>
      <c r="P855" t="s">
        <v>4144</v>
      </c>
      <c r="Q855" t="s">
        <v>2198</v>
      </c>
      <c r="R855" t="s">
        <v>2199</v>
      </c>
      <c r="S855">
        <v>5</v>
      </c>
      <c r="T855">
        <v>9</v>
      </c>
      <c r="U855">
        <v>740</v>
      </c>
      <c r="V855" t="s">
        <v>4194</v>
      </c>
      <c r="W855" t="s">
        <v>4277</v>
      </c>
      <c r="X855" t="s">
        <v>79</v>
      </c>
    </row>
    <row r="856" spans="1:24">
      <c r="A856">
        <v>74053</v>
      </c>
      <c r="B856" t="s">
        <v>4278</v>
      </c>
      <c r="C856" t="s">
        <v>10</v>
      </c>
      <c r="D856" t="s">
        <v>10</v>
      </c>
      <c r="E856" t="s">
        <v>3014</v>
      </c>
      <c r="G856">
        <v>13000</v>
      </c>
      <c r="H856">
        <v>45000</v>
      </c>
      <c r="I856" t="s">
        <v>4279</v>
      </c>
      <c r="J856" t="s">
        <v>10</v>
      </c>
      <c r="K856">
        <v>202.92</v>
      </c>
      <c r="L856">
        <v>5.12</v>
      </c>
      <c r="M856">
        <v>7422</v>
      </c>
      <c r="N856" t="s">
        <v>125</v>
      </c>
      <c r="O856">
        <v>1</v>
      </c>
      <c r="P856" t="s">
        <v>4144</v>
      </c>
      <c r="Q856" t="s">
        <v>2198</v>
      </c>
      <c r="R856" t="s">
        <v>2199</v>
      </c>
      <c r="S856">
        <v>18</v>
      </c>
      <c r="T856">
        <v>40</v>
      </c>
      <c r="U856">
        <v>740</v>
      </c>
      <c r="V856" t="s">
        <v>4194</v>
      </c>
      <c r="W856" t="s">
        <v>4280</v>
      </c>
      <c r="X856" t="s">
        <v>79</v>
      </c>
    </row>
    <row r="857" spans="1:24">
      <c r="A857">
        <v>74055</v>
      </c>
      <c r="B857" t="s">
        <v>4281</v>
      </c>
      <c r="C857" t="s">
        <v>10</v>
      </c>
      <c r="D857" t="s">
        <v>10</v>
      </c>
      <c r="G857">
        <v>7400</v>
      </c>
      <c r="H857">
        <v>43000</v>
      </c>
      <c r="I857" t="s">
        <v>4264</v>
      </c>
      <c r="J857" t="s">
        <v>10</v>
      </c>
      <c r="K857">
        <v>276.86</v>
      </c>
      <c r="L857">
        <v>6.79</v>
      </c>
      <c r="M857">
        <v>7417</v>
      </c>
      <c r="N857" t="s">
        <v>125</v>
      </c>
      <c r="O857">
        <v>1</v>
      </c>
      <c r="P857" t="s">
        <v>4282</v>
      </c>
      <c r="Q857" t="s">
        <v>2198</v>
      </c>
      <c r="R857" t="s">
        <v>2199</v>
      </c>
      <c r="S857">
        <v>154</v>
      </c>
      <c r="T857">
        <v>180</v>
      </c>
      <c r="U857">
        <v>740</v>
      </c>
      <c r="V857" t="s">
        <v>4194</v>
      </c>
      <c r="W857" t="s">
        <v>4283</v>
      </c>
      <c r="X857" t="s">
        <v>79</v>
      </c>
    </row>
    <row r="858" spans="1:24">
      <c r="A858">
        <v>74056</v>
      </c>
      <c r="B858" t="s">
        <v>4284</v>
      </c>
      <c r="C858" t="s">
        <v>10</v>
      </c>
      <c r="D858" t="s">
        <v>10</v>
      </c>
      <c r="E858" t="s">
        <v>2755</v>
      </c>
      <c r="G858">
        <v>6700</v>
      </c>
      <c r="H858">
        <v>39000</v>
      </c>
      <c r="I858" t="s">
        <v>2756</v>
      </c>
      <c r="J858" t="s">
        <v>10</v>
      </c>
      <c r="K858">
        <v>269.02</v>
      </c>
      <c r="L858">
        <v>2.84</v>
      </c>
      <c r="M858">
        <v>7431</v>
      </c>
      <c r="N858" t="s">
        <v>125</v>
      </c>
      <c r="O858">
        <v>1</v>
      </c>
      <c r="P858" t="s">
        <v>4144</v>
      </c>
      <c r="Q858" t="s">
        <v>2198</v>
      </c>
      <c r="R858" t="s">
        <v>2199</v>
      </c>
      <c r="S858">
        <v>43</v>
      </c>
      <c r="T858">
        <v>66</v>
      </c>
      <c r="U858">
        <v>740</v>
      </c>
      <c r="V858" t="s">
        <v>4194</v>
      </c>
      <c r="W858" t="s">
        <v>4285</v>
      </c>
      <c r="X858" t="s">
        <v>79</v>
      </c>
    </row>
    <row r="859" spans="1:24">
      <c r="A859">
        <v>74067</v>
      </c>
      <c r="B859" t="s">
        <v>4286</v>
      </c>
      <c r="C859" t="s">
        <v>10</v>
      </c>
      <c r="D859" t="s">
        <v>10</v>
      </c>
      <c r="G859">
        <v>15000</v>
      </c>
      <c r="H859">
        <v>70000</v>
      </c>
      <c r="I859" t="s">
        <v>4287</v>
      </c>
      <c r="J859" t="s">
        <v>10</v>
      </c>
      <c r="K859">
        <v>296.23</v>
      </c>
      <c r="L859">
        <v>7.33</v>
      </c>
      <c r="M859">
        <v>7333</v>
      </c>
      <c r="N859" t="s">
        <v>125</v>
      </c>
      <c r="P859" t="s">
        <v>4067</v>
      </c>
      <c r="Q859" t="s">
        <v>2198</v>
      </c>
      <c r="R859" t="s">
        <v>2199</v>
      </c>
      <c r="S859">
        <v>185</v>
      </c>
      <c r="T859">
        <v>251</v>
      </c>
      <c r="U859">
        <v>740</v>
      </c>
      <c r="V859" t="s">
        <v>4194</v>
      </c>
      <c r="W859" t="s">
        <v>4288</v>
      </c>
      <c r="X859" t="s">
        <v>79</v>
      </c>
    </row>
    <row r="860" spans="1:24">
      <c r="A860">
        <v>74068</v>
      </c>
      <c r="B860" t="s">
        <v>4289</v>
      </c>
      <c r="C860" t="s">
        <v>10</v>
      </c>
      <c r="D860" t="s">
        <v>10</v>
      </c>
      <c r="G860">
        <v>15000</v>
      </c>
      <c r="H860">
        <v>70000</v>
      </c>
      <c r="I860" t="s">
        <v>4287</v>
      </c>
      <c r="J860" t="s">
        <v>10</v>
      </c>
      <c r="K860">
        <v>296.23</v>
      </c>
      <c r="L860">
        <v>7.33</v>
      </c>
      <c r="M860">
        <v>7333</v>
      </c>
      <c r="N860" t="s">
        <v>125</v>
      </c>
      <c r="P860" t="s">
        <v>4144</v>
      </c>
      <c r="Q860" t="s">
        <v>2198</v>
      </c>
      <c r="R860" t="s">
        <v>2199</v>
      </c>
      <c r="S860">
        <v>15</v>
      </c>
      <c r="T860">
        <v>24</v>
      </c>
      <c r="U860">
        <v>740</v>
      </c>
      <c r="V860" t="s">
        <v>4194</v>
      </c>
      <c r="W860" t="s">
        <v>4290</v>
      </c>
      <c r="X860" t="s">
        <v>79</v>
      </c>
    </row>
    <row r="861" spans="1:24">
      <c r="A861">
        <v>74071</v>
      </c>
      <c r="B861" t="s">
        <v>4291</v>
      </c>
      <c r="C861" t="s">
        <v>10</v>
      </c>
      <c r="D861" t="s">
        <v>10</v>
      </c>
      <c r="G861">
        <v>20000</v>
      </c>
      <c r="H861">
        <v>240000</v>
      </c>
      <c r="I861" t="s">
        <v>4193</v>
      </c>
      <c r="J861" t="s">
        <v>10</v>
      </c>
      <c r="K861">
        <v>164.93</v>
      </c>
      <c r="L861">
        <v>3.89</v>
      </c>
      <c r="M861">
        <v>7346</v>
      </c>
      <c r="N861" t="s">
        <v>125</v>
      </c>
      <c r="O861">
        <v>1</v>
      </c>
      <c r="P861" t="s">
        <v>2197</v>
      </c>
      <c r="Q861" t="s">
        <v>2198</v>
      </c>
      <c r="R861" t="s">
        <v>2199</v>
      </c>
      <c r="S861">
        <v>10</v>
      </c>
      <c r="T861">
        <v>19</v>
      </c>
      <c r="U861">
        <v>740</v>
      </c>
      <c r="V861" t="s">
        <v>4194</v>
      </c>
      <c r="W861" t="s">
        <v>4292</v>
      </c>
      <c r="X861" t="s">
        <v>79</v>
      </c>
    </row>
    <row r="862" spans="1:24">
      <c r="A862">
        <v>74074</v>
      </c>
      <c r="B862" t="s">
        <v>4293</v>
      </c>
      <c r="C862" t="s">
        <v>10</v>
      </c>
      <c r="D862" t="s">
        <v>10</v>
      </c>
      <c r="G862">
        <v>14000</v>
      </c>
      <c r="H862">
        <v>51000</v>
      </c>
      <c r="I862" t="s">
        <v>4294</v>
      </c>
      <c r="J862" t="s">
        <v>10</v>
      </c>
      <c r="K862">
        <v>507</v>
      </c>
      <c r="L862">
        <v>3.14</v>
      </c>
      <c r="M862">
        <v>7371</v>
      </c>
      <c r="N862" t="s">
        <v>125</v>
      </c>
      <c r="O862">
        <v>1</v>
      </c>
      <c r="P862" t="s">
        <v>4295</v>
      </c>
      <c r="Q862" t="s">
        <v>2198</v>
      </c>
      <c r="R862" t="s">
        <v>2199</v>
      </c>
      <c r="S862">
        <v>321</v>
      </c>
      <c r="T862">
        <v>331</v>
      </c>
      <c r="U862">
        <v>740</v>
      </c>
      <c r="V862" t="s">
        <v>4194</v>
      </c>
      <c r="W862" t="s">
        <v>4296</v>
      </c>
      <c r="X862" t="s">
        <v>79</v>
      </c>
    </row>
    <row r="863" spans="1:24">
      <c r="A863">
        <v>74075</v>
      </c>
      <c r="B863" t="s">
        <v>4297</v>
      </c>
      <c r="C863" t="s">
        <v>10</v>
      </c>
      <c r="D863" t="s">
        <v>10</v>
      </c>
      <c r="G863">
        <v>2800</v>
      </c>
      <c r="H863">
        <v>23000</v>
      </c>
      <c r="I863" t="s">
        <v>4298</v>
      </c>
      <c r="J863" t="s">
        <v>10</v>
      </c>
      <c r="K863">
        <v>214.63</v>
      </c>
      <c r="L863">
        <v>6.7</v>
      </c>
      <c r="M863">
        <v>7414</v>
      </c>
      <c r="N863" t="s">
        <v>125</v>
      </c>
      <c r="O863">
        <v>1</v>
      </c>
      <c r="P863" t="s">
        <v>4144</v>
      </c>
      <c r="Q863" t="s">
        <v>2198</v>
      </c>
      <c r="R863" t="s">
        <v>2199</v>
      </c>
      <c r="S863">
        <v>5</v>
      </c>
      <c r="T863">
        <v>6</v>
      </c>
      <c r="U863">
        <v>740</v>
      </c>
      <c r="V863" t="s">
        <v>4194</v>
      </c>
      <c r="W863" t="s">
        <v>4299</v>
      </c>
      <c r="X863" t="s">
        <v>79</v>
      </c>
    </row>
    <row r="864" spans="1:24">
      <c r="A864">
        <v>74076</v>
      </c>
      <c r="B864" t="s">
        <v>4300</v>
      </c>
      <c r="C864" t="s">
        <v>10</v>
      </c>
      <c r="D864" t="s">
        <v>10</v>
      </c>
      <c r="G864">
        <v>11000</v>
      </c>
      <c r="H864">
        <v>47000</v>
      </c>
      <c r="I864" t="s">
        <v>4301</v>
      </c>
      <c r="J864" t="s">
        <v>10</v>
      </c>
      <c r="K864">
        <v>289.08999999999997</v>
      </c>
      <c r="L864">
        <v>4.8499999999999996</v>
      </c>
      <c r="M864">
        <v>7416</v>
      </c>
      <c r="N864" t="s">
        <v>125</v>
      </c>
      <c r="O864">
        <v>1</v>
      </c>
      <c r="P864" t="s">
        <v>4144</v>
      </c>
      <c r="Q864" t="s">
        <v>2198</v>
      </c>
      <c r="R864" t="s">
        <v>2199</v>
      </c>
      <c r="S864">
        <v>33</v>
      </c>
      <c r="T864">
        <v>80</v>
      </c>
      <c r="U864">
        <v>740</v>
      </c>
      <c r="V864" t="s">
        <v>4194</v>
      </c>
      <c r="W864" t="s">
        <v>4302</v>
      </c>
      <c r="X864" t="s">
        <v>79</v>
      </c>
    </row>
    <row r="865" spans="1:24">
      <c r="A865">
        <v>74077</v>
      </c>
      <c r="B865" t="s">
        <v>4303</v>
      </c>
      <c r="C865" t="s">
        <v>10</v>
      </c>
      <c r="D865" t="s">
        <v>10</v>
      </c>
      <c r="G865">
        <v>18000</v>
      </c>
      <c r="H865">
        <v>1500000</v>
      </c>
      <c r="I865" t="s">
        <v>3321</v>
      </c>
      <c r="J865" t="s">
        <v>10</v>
      </c>
      <c r="K865">
        <v>330</v>
      </c>
      <c r="L865">
        <v>3.33</v>
      </c>
      <c r="M865">
        <v>4421</v>
      </c>
      <c r="N865" t="s">
        <v>125</v>
      </c>
      <c r="O865">
        <v>2</v>
      </c>
      <c r="P865" t="s">
        <v>4144</v>
      </c>
      <c r="Q865" t="s">
        <v>2198</v>
      </c>
      <c r="R865" t="s">
        <v>2199</v>
      </c>
      <c r="S865">
        <v>548</v>
      </c>
      <c r="T865">
        <v>634</v>
      </c>
      <c r="U865">
        <v>740</v>
      </c>
      <c r="V865" t="s">
        <v>4194</v>
      </c>
      <c r="W865" t="s">
        <v>4304</v>
      </c>
      <c r="X865" t="s">
        <v>79</v>
      </c>
    </row>
    <row r="866" spans="1:24">
      <c r="A866">
        <v>74078</v>
      </c>
      <c r="B866" t="s">
        <v>4305</v>
      </c>
      <c r="C866" t="s">
        <v>10</v>
      </c>
      <c r="D866" t="s">
        <v>10</v>
      </c>
      <c r="G866">
        <v>790</v>
      </c>
      <c r="H866">
        <v>45000</v>
      </c>
      <c r="I866" t="s">
        <v>4306</v>
      </c>
      <c r="J866" t="s">
        <v>10</v>
      </c>
      <c r="K866">
        <v>147.11000000000001</v>
      </c>
      <c r="L866">
        <v>0.68</v>
      </c>
      <c r="M866">
        <v>7531</v>
      </c>
      <c r="N866" t="s">
        <v>125</v>
      </c>
      <c r="O866">
        <v>1</v>
      </c>
      <c r="P866" t="s">
        <v>4144</v>
      </c>
      <c r="Q866" t="s">
        <v>2198</v>
      </c>
      <c r="R866" t="s">
        <v>159</v>
      </c>
      <c r="S866">
        <v>2420</v>
      </c>
      <c r="T866">
        <v>2424</v>
      </c>
      <c r="U866">
        <v>740</v>
      </c>
      <c r="V866" t="s">
        <v>4194</v>
      </c>
      <c r="W866" t="s">
        <v>4307</v>
      </c>
      <c r="X866" t="s">
        <v>79</v>
      </c>
    </row>
    <row r="867" spans="1:24">
      <c r="A867">
        <v>74079</v>
      </c>
      <c r="B867" t="s">
        <v>4308</v>
      </c>
      <c r="C867" t="s">
        <v>10</v>
      </c>
      <c r="D867" t="s">
        <v>10</v>
      </c>
      <c r="G867">
        <v>2600</v>
      </c>
      <c r="H867">
        <v>18000</v>
      </c>
      <c r="I867" t="s">
        <v>4309</v>
      </c>
      <c r="J867" t="s">
        <v>10</v>
      </c>
      <c r="K867">
        <v>49.53</v>
      </c>
      <c r="L867">
        <v>0.71</v>
      </c>
      <c r="M867">
        <v>7444</v>
      </c>
      <c r="N867" t="s">
        <v>125</v>
      </c>
      <c r="O867">
        <v>1</v>
      </c>
      <c r="P867" t="s">
        <v>4144</v>
      </c>
      <c r="Q867" t="s">
        <v>2198</v>
      </c>
      <c r="R867" t="s">
        <v>2199</v>
      </c>
      <c r="S867">
        <v>77</v>
      </c>
      <c r="T867">
        <v>78</v>
      </c>
      <c r="U867">
        <v>740</v>
      </c>
      <c r="V867" t="s">
        <v>4194</v>
      </c>
      <c r="W867" t="s">
        <v>4310</v>
      </c>
      <c r="X867" t="s">
        <v>79</v>
      </c>
    </row>
    <row r="868" spans="1:24">
      <c r="A868">
        <v>74080</v>
      </c>
      <c r="B868" t="s">
        <v>4311</v>
      </c>
      <c r="C868" t="s">
        <v>10</v>
      </c>
      <c r="D868" t="s">
        <v>10</v>
      </c>
      <c r="G868">
        <v>4600</v>
      </c>
      <c r="H868">
        <v>24000</v>
      </c>
      <c r="I868" t="s">
        <v>4312</v>
      </c>
      <c r="J868" t="s">
        <v>10</v>
      </c>
      <c r="K868">
        <v>211.07</v>
      </c>
      <c r="L868">
        <v>9.81</v>
      </c>
      <c r="M868">
        <v>7413</v>
      </c>
      <c r="N868" t="s">
        <v>125</v>
      </c>
      <c r="O868">
        <v>1</v>
      </c>
      <c r="P868" t="s">
        <v>4144</v>
      </c>
      <c r="Q868" t="s">
        <v>2198</v>
      </c>
      <c r="R868" t="s">
        <v>2199</v>
      </c>
      <c r="S868">
        <v>136</v>
      </c>
      <c r="T868">
        <v>143</v>
      </c>
      <c r="U868">
        <v>740</v>
      </c>
      <c r="V868" t="s">
        <v>4194</v>
      </c>
      <c r="W868" t="s">
        <v>4313</v>
      </c>
      <c r="X868" t="s">
        <v>79</v>
      </c>
    </row>
    <row r="869" spans="1:24">
      <c r="A869">
        <v>74081</v>
      </c>
      <c r="B869" t="s">
        <v>4314</v>
      </c>
      <c r="C869" t="s">
        <v>10</v>
      </c>
      <c r="D869" t="s">
        <v>10</v>
      </c>
      <c r="F869" t="s">
        <v>2162</v>
      </c>
      <c r="G869">
        <v>1900</v>
      </c>
      <c r="H869">
        <v>90000</v>
      </c>
      <c r="I869" t="s">
        <v>4315</v>
      </c>
      <c r="J869" t="s">
        <v>10</v>
      </c>
      <c r="K869">
        <v>182.98</v>
      </c>
      <c r="L869">
        <v>4.8499999999999996</v>
      </c>
      <c r="M869">
        <v>7442</v>
      </c>
      <c r="N869" t="s">
        <v>125</v>
      </c>
      <c r="O869">
        <v>2</v>
      </c>
      <c r="P869" t="s">
        <v>4144</v>
      </c>
      <c r="Q869" t="s">
        <v>2198</v>
      </c>
      <c r="R869" t="s">
        <v>2199</v>
      </c>
      <c r="S869">
        <v>658</v>
      </c>
      <c r="T869">
        <v>666</v>
      </c>
      <c r="U869">
        <v>740</v>
      </c>
      <c r="V869" t="s">
        <v>4194</v>
      </c>
      <c r="W869" t="s">
        <v>4316</v>
      </c>
      <c r="X869" t="s">
        <v>79</v>
      </c>
    </row>
    <row r="870" spans="1:24">
      <c r="A870">
        <v>74085</v>
      </c>
      <c r="B870" t="s">
        <v>4317</v>
      </c>
      <c r="C870" t="s">
        <v>10</v>
      </c>
      <c r="D870" t="s">
        <v>10</v>
      </c>
      <c r="G870">
        <v>58000</v>
      </c>
      <c r="H870">
        <v>470000</v>
      </c>
      <c r="I870" t="s">
        <v>4318</v>
      </c>
      <c r="J870" t="s">
        <v>10</v>
      </c>
      <c r="K870">
        <v>255.75</v>
      </c>
      <c r="L870">
        <v>2.5</v>
      </c>
      <c r="M870">
        <v>7388</v>
      </c>
      <c r="N870" t="s">
        <v>125</v>
      </c>
      <c r="O870">
        <v>1</v>
      </c>
      <c r="P870" t="s">
        <v>2197</v>
      </c>
      <c r="Q870" t="s">
        <v>2198</v>
      </c>
      <c r="R870" t="s">
        <v>2199</v>
      </c>
      <c r="S870">
        <v>34</v>
      </c>
      <c r="T870">
        <v>48</v>
      </c>
      <c r="U870">
        <v>740</v>
      </c>
      <c r="V870" t="s">
        <v>4194</v>
      </c>
      <c r="W870" t="s">
        <v>4319</v>
      </c>
      <c r="X870" t="s">
        <v>79</v>
      </c>
    </row>
    <row r="871" spans="1:24">
      <c r="A871">
        <v>74086</v>
      </c>
      <c r="B871" t="s">
        <v>4320</v>
      </c>
      <c r="C871" t="s">
        <v>10</v>
      </c>
      <c r="D871" t="s">
        <v>10</v>
      </c>
      <c r="G871">
        <v>58000</v>
      </c>
      <c r="H871">
        <v>470000</v>
      </c>
      <c r="I871" t="s">
        <v>4318</v>
      </c>
      <c r="J871" t="s">
        <v>10</v>
      </c>
      <c r="K871">
        <v>255.75</v>
      </c>
      <c r="L871">
        <v>2.5</v>
      </c>
      <c r="M871">
        <v>7388</v>
      </c>
      <c r="N871" t="s">
        <v>125</v>
      </c>
      <c r="O871">
        <v>2</v>
      </c>
      <c r="P871" t="s">
        <v>2197</v>
      </c>
      <c r="Q871" t="s">
        <v>2198</v>
      </c>
      <c r="R871" t="s">
        <v>2199</v>
      </c>
      <c r="S871">
        <v>73</v>
      </c>
      <c r="T871">
        <v>138</v>
      </c>
      <c r="U871">
        <v>740</v>
      </c>
      <c r="V871" t="s">
        <v>4194</v>
      </c>
      <c r="W871" t="s">
        <v>4321</v>
      </c>
      <c r="X871" t="s">
        <v>79</v>
      </c>
    </row>
    <row r="872" spans="1:24">
      <c r="A872">
        <v>74087</v>
      </c>
      <c r="B872" t="s">
        <v>4322</v>
      </c>
      <c r="C872" t="s">
        <v>10</v>
      </c>
      <c r="D872" t="s">
        <v>10</v>
      </c>
      <c r="G872">
        <v>2600</v>
      </c>
      <c r="H872">
        <v>14000</v>
      </c>
      <c r="I872" t="s">
        <v>4323</v>
      </c>
      <c r="J872" t="s">
        <v>10</v>
      </c>
      <c r="K872">
        <v>42.16</v>
      </c>
      <c r="L872">
        <v>1.32</v>
      </c>
      <c r="M872">
        <v>7445</v>
      </c>
      <c r="N872" t="s">
        <v>125</v>
      </c>
      <c r="O872">
        <v>1</v>
      </c>
      <c r="P872" t="s">
        <v>4144</v>
      </c>
      <c r="Q872" t="s">
        <v>2198</v>
      </c>
      <c r="R872" t="s">
        <v>2199</v>
      </c>
      <c r="S872">
        <v>87</v>
      </c>
      <c r="T872">
        <v>89</v>
      </c>
      <c r="U872">
        <v>740</v>
      </c>
      <c r="V872" t="s">
        <v>4194</v>
      </c>
      <c r="W872" t="s">
        <v>4324</v>
      </c>
      <c r="X872" t="s">
        <v>79</v>
      </c>
    </row>
    <row r="873" spans="1:24">
      <c r="A873">
        <v>74088</v>
      </c>
      <c r="B873" t="s">
        <v>4325</v>
      </c>
      <c r="C873" t="s">
        <v>10</v>
      </c>
      <c r="D873" t="s">
        <v>10</v>
      </c>
      <c r="G873">
        <v>16000</v>
      </c>
      <c r="H873">
        <v>100000</v>
      </c>
      <c r="I873" t="s">
        <v>4326</v>
      </c>
      <c r="J873" t="s">
        <v>10</v>
      </c>
      <c r="K873">
        <v>261.89</v>
      </c>
      <c r="L873">
        <v>5.38</v>
      </c>
      <c r="M873">
        <v>7351</v>
      </c>
      <c r="N873" t="s">
        <v>125</v>
      </c>
      <c r="O873">
        <v>1</v>
      </c>
      <c r="P873" t="s">
        <v>2742</v>
      </c>
      <c r="Q873" t="s">
        <v>2500</v>
      </c>
      <c r="R873" t="s">
        <v>2199</v>
      </c>
      <c r="S873">
        <v>41</v>
      </c>
      <c r="T873">
        <v>110</v>
      </c>
      <c r="U873">
        <v>740</v>
      </c>
      <c r="V873" t="s">
        <v>4194</v>
      </c>
      <c r="W873" t="s">
        <v>4327</v>
      </c>
      <c r="X873" t="s">
        <v>79</v>
      </c>
    </row>
    <row r="874" spans="1:24">
      <c r="A874">
        <v>74089</v>
      </c>
      <c r="B874" t="s">
        <v>4328</v>
      </c>
      <c r="C874" t="s">
        <v>10</v>
      </c>
      <c r="D874" t="s">
        <v>10</v>
      </c>
      <c r="G874">
        <v>540</v>
      </c>
      <c r="H874">
        <v>11000</v>
      </c>
      <c r="I874" t="s">
        <v>4166</v>
      </c>
      <c r="J874" t="s">
        <v>10</v>
      </c>
      <c r="K874">
        <v>260.2</v>
      </c>
      <c r="L874">
        <v>7.21</v>
      </c>
      <c r="M874">
        <v>7385</v>
      </c>
      <c r="N874" t="s">
        <v>125</v>
      </c>
      <c r="O874">
        <v>1</v>
      </c>
      <c r="P874" t="s">
        <v>4144</v>
      </c>
      <c r="Q874" t="s">
        <v>2198</v>
      </c>
      <c r="R874" t="s">
        <v>2199</v>
      </c>
      <c r="S874">
        <v>140</v>
      </c>
      <c r="T874">
        <v>148</v>
      </c>
      <c r="U874">
        <v>740</v>
      </c>
      <c r="V874" t="s">
        <v>4194</v>
      </c>
      <c r="W874" t="s">
        <v>4329</v>
      </c>
      <c r="X874" t="s">
        <v>79</v>
      </c>
    </row>
    <row r="875" spans="1:24">
      <c r="A875">
        <v>74090</v>
      </c>
      <c r="B875" t="s">
        <v>4330</v>
      </c>
      <c r="C875" t="s">
        <v>10</v>
      </c>
      <c r="D875" t="s">
        <v>10</v>
      </c>
      <c r="G875">
        <v>1200</v>
      </c>
      <c r="H875">
        <v>20000</v>
      </c>
      <c r="I875" t="s">
        <v>4331</v>
      </c>
      <c r="J875" t="s">
        <v>10</v>
      </c>
      <c r="K875">
        <v>110.76</v>
      </c>
      <c r="L875">
        <v>2.69</v>
      </c>
      <c r="M875">
        <v>7448</v>
      </c>
      <c r="N875" t="s">
        <v>125</v>
      </c>
      <c r="O875">
        <v>2</v>
      </c>
      <c r="P875" t="s">
        <v>4144</v>
      </c>
      <c r="Q875" t="s">
        <v>2198</v>
      </c>
      <c r="R875" t="s">
        <v>2199</v>
      </c>
      <c r="S875">
        <v>124</v>
      </c>
      <c r="T875">
        <v>136</v>
      </c>
      <c r="U875">
        <v>740</v>
      </c>
      <c r="V875" t="s">
        <v>4194</v>
      </c>
      <c r="W875" t="s">
        <v>4332</v>
      </c>
      <c r="X875" t="s">
        <v>79</v>
      </c>
    </row>
    <row r="876" spans="1:24">
      <c r="A876">
        <v>74091</v>
      </c>
      <c r="B876" t="s">
        <v>4333</v>
      </c>
      <c r="C876" t="s">
        <v>10</v>
      </c>
      <c r="D876" t="s">
        <v>10</v>
      </c>
      <c r="G876">
        <v>1700</v>
      </c>
      <c r="H876">
        <v>6300</v>
      </c>
      <c r="I876" t="s">
        <v>4244</v>
      </c>
      <c r="J876" t="s">
        <v>10</v>
      </c>
      <c r="K876">
        <v>114.82</v>
      </c>
      <c r="L876">
        <v>3.35</v>
      </c>
      <c r="M876">
        <v>7348</v>
      </c>
      <c r="N876" t="s">
        <v>125</v>
      </c>
      <c r="O876">
        <v>1</v>
      </c>
      <c r="P876" t="s">
        <v>2197</v>
      </c>
      <c r="Q876" t="s">
        <v>2198</v>
      </c>
      <c r="R876" t="s">
        <v>2199</v>
      </c>
      <c r="S876">
        <v>1</v>
      </c>
      <c r="T876">
        <v>1</v>
      </c>
      <c r="U876">
        <v>740</v>
      </c>
      <c r="V876" t="s">
        <v>4194</v>
      </c>
      <c r="W876" t="s">
        <v>4334</v>
      </c>
      <c r="X876" t="s">
        <v>79</v>
      </c>
    </row>
    <row r="877" spans="1:24">
      <c r="A877">
        <v>74092</v>
      </c>
      <c r="B877" t="s">
        <v>4335</v>
      </c>
      <c r="C877" t="s">
        <v>10</v>
      </c>
      <c r="D877" t="s">
        <v>10</v>
      </c>
      <c r="G877">
        <v>1700</v>
      </c>
      <c r="H877">
        <v>16000</v>
      </c>
      <c r="I877" t="s">
        <v>4336</v>
      </c>
      <c r="J877" t="s">
        <v>10</v>
      </c>
      <c r="K877">
        <v>39.07</v>
      </c>
      <c r="L877">
        <v>1.55</v>
      </c>
      <c r="M877">
        <v>7443</v>
      </c>
      <c r="N877" t="s">
        <v>125</v>
      </c>
      <c r="O877">
        <v>2</v>
      </c>
      <c r="P877" t="s">
        <v>4144</v>
      </c>
      <c r="Q877" t="s">
        <v>2198</v>
      </c>
      <c r="R877" t="s">
        <v>2199</v>
      </c>
      <c r="S877">
        <v>98</v>
      </c>
      <c r="T877">
        <v>102</v>
      </c>
      <c r="U877">
        <v>740</v>
      </c>
      <c r="V877" t="s">
        <v>4194</v>
      </c>
      <c r="W877" t="s">
        <v>4337</v>
      </c>
      <c r="X877" t="s">
        <v>79</v>
      </c>
    </row>
    <row r="878" spans="1:24">
      <c r="A878">
        <v>74093</v>
      </c>
      <c r="B878" t="s">
        <v>4338</v>
      </c>
      <c r="C878" t="s">
        <v>2162</v>
      </c>
      <c r="D878" t="s">
        <v>10</v>
      </c>
      <c r="F878" t="s">
        <v>2162</v>
      </c>
      <c r="G878">
        <v>300</v>
      </c>
      <c r="H878">
        <v>15000</v>
      </c>
      <c r="I878" t="s">
        <v>4158</v>
      </c>
      <c r="J878" t="s">
        <v>10</v>
      </c>
      <c r="K878">
        <v>66.290000000000006</v>
      </c>
      <c r="L878">
        <v>0.67</v>
      </c>
      <c r="M878">
        <v>7384</v>
      </c>
      <c r="N878" t="s">
        <v>79</v>
      </c>
      <c r="O878">
        <v>2</v>
      </c>
      <c r="P878" t="s">
        <v>4144</v>
      </c>
      <c r="Q878" t="s">
        <v>2198</v>
      </c>
      <c r="R878" t="s">
        <v>159</v>
      </c>
      <c r="S878">
        <v>629</v>
      </c>
      <c r="T878">
        <v>632</v>
      </c>
      <c r="U878">
        <v>740</v>
      </c>
      <c r="V878" t="s">
        <v>4194</v>
      </c>
      <c r="W878" t="s">
        <v>4339</v>
      </c>
      <c r="X878" t="s">
        <v>79</v>
      </c>
    </row>
    <row r="879" spans="1:24">
      <c r="A879">
        <v>74094</v>
      </c>
      <c r="B879" t="s">
        <v>4340</v>
      </c>
      <c r="C879" t="s">
        <v>10</v>
      </c>
      <c r="D879" t="s">
        <v>10</v>
      </c>
      <c r="F879" t="s">
        <v>2740</v>
      </c>
      <c r="G879">
        <v>23000</v>
      </c>
      <c r="H879">
        <v>152000</v>
      </c>
      <c r="I879" t="s">
        <v>4221</v>
      </c>
      <c r="J879" t="s">
        <v>10</v>
      </c>
      <c r="K879">
        <v>401.17</v>
      </c>
      <c r="L879">
        <v>4.07</v>
      </c>
      <c r="M879">
        <v>7441</v>
      </c>
      <c r="N879" t="s">
        <v>125</v>
      </c>
      <c r="O879">
        <v>1</v>
      </c>
      <c r="P879" t="s">
        <v>4341</v>
      </c>
      <c r="Q879" t="s">
        <v>2198</v>
      </c>
      <c r="R879" t="s">
        <v>2199</v>
      </c>
      <c r="S879">
        <v>487</v>
      </c>
      <c r="T879">
        <v>512</v>
      </c>
      <c r="U879">
        <v>740</v>
      </c>
      <c r="V879" t="s">
        <v>4194</v>
      </c>
      <c r="W879" t="s">
        <v>4342</v>
      </c>
      <c r="X879" t="s">
        <v>79</v>
      </c>
    </row>
    <row r="880" spans="1:24">
      <c r="A880">
        <v>74095</v>
      </c>
      <c r="B880" t="s">
        <v>4343</v>
      </c>
      <c r="C880" t="s">
        <v>10</v>
      </c>
      <c r="D880" t="s">
        <v>10</v>
      </c>
      <c r="F880" t="s">
        <v>2740</v>
      </c>
      <c r="G880">
        <v>23000</v>
      </c>
      <c r="H880">
        <v>152000</v>
      </c>
      <c r="I880" t="s">
        <v>4221</v>
      </c>
      <c r="J880" t="s">
        <v>10</v>
      </c>
      <c r="K880">
        <v>401.17</v>
      </c>
      <c r="L880">
        <v>4.07</v>
      </c>
      <c r="M880">
        <v>7441</v>
      </c>
      <c r="N880" t="s">
        <v>125</v>
      </c>
      <c r="O880">
        <v>1</v>
      </c>
      <c r="P880" t="s">
        <v>4341</v>
      </c>
      <c r="Q880" t="s">
        <v>2198</v>
      </c>
      <c r="R880" t="s">
        <v>2199</v>
      </c>
      <c r="S880">
        <v>59</v>
      </c>
      <c r="T880">
        <v>68</v>
      </c>
      <c r="U880">
        <v>740</v>
      </c>
      <c r="V880" t="s">
        <v>4194</v>
      </c>
      <c r="W880" t="s">
        <v>4344</v>
      </c>
      <c r="X880" t="s">
        <v>79</v>
      </c>
    </row>
    <row r="881" spans="1:24">
      <c r="A881">
        <v>74097</v>
      </c>
      <c r="B881" t="s">
        <v>4345</v>
      </c>
      <c r="C881" t="s">
        <v>10</v>
      </c>
      <c r="D881" t="s">
        <v>10</v>
      </c>
      <c r="G881">
        <v>23000</v>
      </c>
      <c r="H881">
        <v>152000</v>
      </c>
      <c r="I881" t="s">
        <v>4221</v>
      </c>
      <c r="J881" t="s">
        <v>10</v>
      </c>
      <c r="K881">
        <v>401.17</v>
      </c>
      <c r="L881">
        <v>4.07</v>
      </c>
      <c r="M881">
        <v>7441</v>
      </c>
      <c r="N881" t="s">
        <v>79</v>
      </c>
      <c r="O881">
        <v>1</v>
      </c>
      <c r="P881" t="s">
        <v>4054</v>
      </c>
      <c r="Q881" t="s">
        <v>2198</v>
      </c>
      <c r="R881" t="s">
        <v>2199</v>
      </c>
      <c r="S881">
        <v>10</v>
      </c>
      <c r="T881">
        <v>10</v>
      </c>
      <c r="U881">
        <v>740</v>
      </c>
      <c r="V881" t="s">
        <v>4194</v>
      </c>
      <c r="W881" t="s">
        <v>4346</v>
      </c>
      <c r="X881" t="s">
        <v>79</v>
      </c>
    </row>
    <row r="882" spans="1:24">
      <c r="A882">
        <v>74098</v>
      </c>
      <c r="B882" t="s">
        <v>4347</v>
      </c>
      <c r="C882" t="s">
        <v>10</v>
      </c>
      <c r="D882" t="s">
        <v>10</v>
      </c>
      <c r="F882" t="s">
        <v>2740</v>
      </c>
      <c r="G882">
        <v>8400</v>
      </c>
      <c r="H882">
        <v>1000000</v>
      </c>
      <c r="I882" t="s">
        <v>2780</v>
      </c>
      <c r="J882" t="s">
        <v>10</v>
      </c>
      <c r="K882">
        <v>587</v>
      </c>
      <c r="L882">
        <v>4.5999999999999996</v>
      </c>
      <c r="M882">
        <v>6100</v>
      </c>
      <c r="N882" t="s">
        <v>79</v>
      </c>
      <c r="O882">
        <v>3</v>
      </c>
      <c r="P882" t="s">
        <v>4341</v>
      </c>
      <c r="Q882" t="s">
        <v>2198</v>
      </c>
      <c r="R882" t="s">
        <v>2199</v>
      </c>
      <c r="S882">
        <v>3</v>
      </c>
      <c r="T882">
        <v>6</v>
      </c>
      <c r="U882">
        <v>740</v>
      </c>
      <c r="V882" t="s">
        <v>4194</v>
      </c>
      <c r="W882" t="s">
        <v>4348</v>
      </c>
      <c r="X882" t="s">
        <v>79</v>
      </c>
    </row>
    <row r="883" spans="1:24">
      <c r="A883">
        <v>74140</v>
      </c>
      <c r="B883" t="s">
        <v>4349</v>
      </c>
      <c r="C883" t="s">
        <v>10</v>
      </c>
      <c r="D883" t="s">
        <v>10</v>
      </c>
      <c r="G883">
        <v>2800</v>
      </c>
      <c r="H883">
        <v>23000</v>
      </c>
      <c r="I883" t="s">
        <v>4298</v>
      </c>
      <c r="J883" t="s">
        <v>10</v>
      </c>
      <c r="K883">
        <v>214.63</v>
      </c>
      <c r="L883">
        <v>6.7</v>
      </c>
      <c r="M883">
        <v>7414</v>
      </c>
      <c r="N883" t="s">
        <v>125</v>
      </c>
      <c r="O883">
        <v>3</v>
      </c>
      <c r="P883" t="s">
        <v>4144</v>
      </c>
      <c r="Q883" t="s">
        <v>2198</v>
      </c>
      <c r="R883" t="s">
        <v>2199</v>
      </c>
      <c r="S883">
        <v>3</v>
      </c>
      <c r="T883">
        <v>9</v>
      </c>
      <c r="U883">
        <v>741</v>
      </c>
      <c r="V883" t="s">
        <v>4350</v>
      </c>
      <c r="W883" t="s">
        <v>4351</v>
      </c>
      <c r="X883" t="s">
        <v>79</v>
      </c>
    </row>
    <row r="884" spans="1:24">
      <c r="A884">
        <v>74480</v>
      </c>
      <c r="B884" t="s">
        <v>4352</v>
      </c>
      <c r="C884" t="s">
        <v>10</v>
      </c>
      <c r="D884" t="s">
        <v>10</v>
      </c>
      <c r="G884">
        <v>1200</v>
      </c>
      <c r="H884">
        <v>20000</v>
      </c>
      <c r="I884" t="s">
        <v>4331</v>
      </c>
      <c r="J884" t="s">
        <v>10</v>
      </c>
      <c r="K884">
        <v>110.76</v>
      </c>
      <c r="L884">
        <v>2.69</v>
      </c>
      <c r="M884">
        <v>7448</v>
      </c>
      <c r="N884" t="s">
        <v>125</v>
      </c>
      <c r="P884" t="s">
        <v>4144</v>
      </c>
      <c r="Q884" t="s">
        <v>2198</v>
      </c>
      <c r="R884" t="s">
        <v>2199</v>
      </c>
      <c r="S884">
        <v>42</v>
      </c>
      <c r="T884">
        <v>42</v>
      </c>
      <c r="U884">
        <v>744</v>
      </c>
      <c r="V884" t="s">
        <v>4353</v>
      </c>
      <c r="W884" t="s">
        <v>4354</v>
      </c>
      <c r="X884" t="s">
        <v>79</v>
      </c>
    </row>
    <row r="885" spans="1:24">
      <c r="A885">
        <v>74481</v>
      </c>
      <c r="B885" t="s">
        <v>4355</v>
      </c>
      <c r="C885" t="s">
        <v>10</v>
      </c>
      <c r="D885" t="s">
        <v>10</v>
      </c>
      <c r="G885">
        <v>1200</v>
      </c>
      <c r="H885">
        <v>20000</v>
      </c>
      <c r="I885" t="s">
        <v>4331</v>
      </c>
      <c r="J885" t="s">
        <v>10</v>
      </c>
      <c r="K885">
        <v>110.76</v>
      </c>
      <c r="L885">
        <v>2.69</v>
      </c>
      <c r="M885">
        <v>7448</v>
      </c>
      <c r="N885" t="s">
        <v>125</v>
      </c>
      <c r="O885">
        <v>3</v>
      </c>
      <c r="P885" t="s">
        <v>4144</v>
      </c>
      <c r="Q885" t="s">
        <v>2198</v>
      </c>
      <c r="R885" t="s">
        <v>2199</v>
      </c>
      <c r="S885">
        <v>3</v>
      </c>
      <c r="T885">
        <v>3</v>
      </c>
      <c r="U885">
        <v>744</v>
      </c>
      <c r="V885" t="s">
        <v>4353</v>
      </c>
      <c r="W885" t="s">
        <v>4356</v>
      </c>
      <c r="X885" t="s">
        <v>79</v>
      </c>
    </row>
    <row r="886" spans="1:24">
      <c r="A886">
        <v>75010</v>
      </c>
      <c r="B886" t="s">
        <v>4357</v>
      </c>
      <c r="C886" t="s">
        <v>2162</v>
      </c>
      <c r="F886" t="s">
        <v>2162</v>
      </c>
      <c r="G886">
        <v>1</v>
      </c>
      <c r="H886">
        <v>32</v>
      </c>
      <c r="I886" t="s">
        <v>4358</v>
      </c>
      <c r="J886" t="s">
        <v>2162</v>
      </c>
      <c r="K886">
        <v>229004.82</v>
      </c>
      <c r="L886">
        <v>3333.7</v>
      </c>
      <c r="M886">
        <v>7521</v>
      </c>
      <c r="N886" t="s">
        <v>125</v>
      </c>
      <c r="O886">
        <v>2</v>
      </c>
      <c r="P886" t="s">
        <v>4144</v>
      </c>
      <c r="Q886" t="s">
        <v>2198</v>
      </c>
      <c r="R886" t="s">
        <v>159</v>
      </c>
      <c r="S886">
        <v>1634</v>
      </c>
      <c r="T886">
        <v>1658</v>
      </c>
      <c r="U886">
        <v>750</v>
      </c>
      <c r="V886" t="s">
        <v>4359</v>
      </c>
      <c r="W886" t="s">
        <v>4360</v>
      </c>
      <c r="X886" t="s">
        <v>79</v>
      </c>
    </row>
    <row r="887" spans="1:24">
      <c r="A887">
        <v>75020</v>
      </c>
      <c r="B887" t="s">
        <v>4361</v>
      </c>
      <c r="C887" t="s">
        <v>2162</v>
      </c>
      <c r="F887" t="s">
        <v>2162</v>
      </c>
      <c r="G887">
        <v>1</v>
      </c>
      <c r="H887">
        <v>17</v>
      </c>
      <c r="I887" t="s">
        <v>4362</v>
      </c>
      <c r="J887" t="s">
        <v>2162</v>
      </c>
      <c r="K887">
        <v>1405833.87</v>
      </c>
      <c r="L887">
        <v>9312.25</v>
      </c>
      <c r="M887">
        <v>7522</v>
      </c>
      <c r="N887" t="s">
        <v>125</v>
      </c>
      <c r="O887">
        <v>2</v>
      </c>
      <c r="P887" t="s">
        <v>4144</v>
      </c>
      <c r="Q887" t="s">
        <v>2198</v>
      </c>
      <c r="R887" t="s">
        <v>159</v>
      </c>
      <c r="S887">
        <v>667</v>
      </c>
      <c r="T887">
        <v>676</v>
      </c>
      <c r="U887">
        <v>750</v>
      </c>
      <c r="V887" t="s">
        <v>4359</v>
      </c>
      <c r="W887" t="s">
        <v>4363</v>
      </c>
      <c r="X887" t="s">
        <v>79</v>
      </c>
    </row>
    <row r="888" spans="1:24">
      <c r="A888">
        <v>75021</v>
      </c>
      <c r="B888" t="s">
        <v>4364</v>
      </c>
      <c r="C888" t="s">
        <v>2162</v>
      </c>
      <c r="D888" t="s">
        <v>10</v>
      </c>
      <c r="F888" t="s">
        <v>2162</v>
      </c>
      <c r="G888">
        <v>1</v>
      </c>
      <c r="H888">
        <v>32</v>
      </c>
      <c r="I888" t="s">
        <v>4358</v>
      </c>
      <c r="J888" t="s">
        <v>2162</v>
      </c>
      <c r="K888">
        <v>229004.82</v>
      </c>
      <c r="L888">
        <v>3333.7</v>
      </c>
      <c r="M888">
        <v>7521</v>
      </c>
      <c r="N888" t="s">
        <v>79</v>
      </c>
      <c r="O888">
        <v>2</v>
      </c>
      <c r="P888" t="s">
        <v>4144</v>
      </c>
      <c r="Q888" t="s">
        <v>2198</v>
      </c>
      <c r="R888" t="s">
        <v>159</v>
      </c>
      <c r="S888">
        <v>20</v>
      </c>
      <c r="T888">
        <v>22</v>
      </c>
      <c r="U888">
        <v>750</v>
      </c>
      <c r="V888" t="s">
        <v>4359</v>
      </c>
      <c r="W888" t="s">
        <v>4365</v>
      </c>
      <c r="X888" t="s">
        <v>79</v>
      </c>
    </row>
    <row r="889" spans="1:24">
      <c r="A889">
        <v>75022</v>
      </c>
      <c r="B889" t="s">
        <v>4366</v>
      </c>
      <c r="C889" t="s">
        <v>2364</v>
      </c>
      <c r="E889" t="s">
        <v>2162</v>
      </c>
      <c r="F889" t="s">
        <v>2364</v>
      </c>
      <c r="G889">
        <v>1</v>
      </c>
      <c r="H889">
        <v>1</v>
      </c>
      <c r="I889" t="s">
        <v>4367</v>
      </c>
      <c r="J889" t="s">
        <v>2162</v>
      </c>
      <c r="K889">
        <v>622431.71</v>
      </c>
      <c r="L889">
        <v>3333.7</v>
      </c>
      <c r="M889">
        <v>7523</v>
      </c>
      <c r="N889" t="s">
        <v>79</v>
      </c>
      <c r="O889">
        <v>2</v>
      </c>
      <c r="P889" t="s">
        <v>4144</v>
      </c>
      <c r="Q889" t="s">
        <v>2198</v>
      </c>
      <c r="R889" t="s">
        <v>159</v>
      </c>
      <c r="S889">
        <v>101</v>
      </c>
      <c r="T889">
        <v>120</v>
      </c>
      <c r="U889">
        <v>750</v>
      </c>
      <c r="V889" t="s">
        <v>4359</v>
      </c>
      <c r="W889" t="s">
        <v>4368</v>
      </c>
      <c r="X889" t="s">
        <v>79</v>
      </c>
    </row>
    <row r="890" spans="1:24">
      <c r="A890">
        <v>75023</v>
      </c>
      <c r="B890" t="s">
        <v>4369</v>
      </c>
      <c r="C890" t="s">
        <v>2364</v>
      </c>
      <c r="E890" t="s">
        <v>2162</v>
      </c>
      <c r="F890" t="s">
        <v>2364</v>
      </c>
      <c r="G890">
        <v>1</v>
      </c>
      <c r="H890">
        <v>35</v>
      </c>
      <c r="I890" t="s">
        <v>4370</v>
      </c>
      <c r="J890" t="s">
        <v>2162</v>
      </c>
      <c r="K890">
        <v>176517.53</v>
      </c>
      <c r="L890">
        <v>3387.51</v>
      </c>
      <c r="M890">
        <v>7542</v>
      </c>
      <c r="N890" t="s">
        <v>79</v>
      </c>
      <c r="O890">
        <v>2</v>
      </c>
      <c r="P890" t="s">
        <v>4144</v>
      </c>
      <c r="Q890" t="s">
        <v>2198</v>
      </c>
      <c r="R890" t="s">
        <v>159</v>
      </c>
      <c r="S890">
        <v>2</v>
      </c>
      <c r="T890">
        <v>2</v>
      </c>
      <c r="U890">
        <v>750</v>
      </c>
      <c r="V890" t="s">
        <v>4359</v>
      </c>
      <c r="W890" t="s">
        <v>4371</v>
      </c>
      <c r="X890" t="s">
        <v>79</v>
      </c>
    </row>
    <row r="891" spans="1:24">
      <c r="A891">
        <v>75030</v>
      </c>
      <c r="B891" t="s">
        <v>4372</v>
      </c>
      <c r="C891" t="s">
        <v>3014</v>
      </c>
      <c r="D891" t="s">
        <v>10</v>
      </c>
      <c r="E891" t="s">
        <v>3014</v>
      </c>
      <c r="F891" t="s">
        <v>2162</v>
      </c>
      <c r="G891">
        <v>1</v>
      </c>
      <c r="H891">
        <v>1</v>
      </c>
      <c r="I891" t="s">
        <v>4373</v>
      </c>
      <c r="J891" t="s">
        <v>2162</v>
      </c>
      <c r="K891">
        <v>1473723.05</v>
      </c>
      <c r="L891">
        <v>16033.52</v>
      </c>
      <c r="M891">
        <v>7512</v>
      </c>
      <c r="N891" t="s">
        <v>125</v>
      </c>
      <c r="O891">
        <v>1</v>
      </c>
      <c r="P891" t="s">
        <v>4144</v>
      </c>
      <c r="Q891" t="s">
        <v>2198</v>
      </c>
      <c r="R891" t="s">
        <v>159</v>
      </c>
      <c r="S891">
        <v>231</v>
      </c>
      <c r="T891">
        <v>236</v>
      </c>
      <c r="U891">
        <v>750</v>
      </c>
      <c r="V891" t="s">
        <v>4359</v>
      </c>
      <c r="W891" t="s">
        <v>4374</v>
      </c>
      <c r="X891" t="s">
        <v>79</v>
      </c>
    </row>
    <row r="892" spans="1:24">
      <c r="A892">
        <v>75033</v>
      </c>
      <c r="B892" t="s">
        <v>4375</v>
      </c>
      <c r="C892" t="s">
        <v>2162</v>
      </c>
      <c r="D892" t="s">
        <v>10</v>
      </c>
      <c r="F892" t="s">
        <v>2162</v>
      </c>
      <c r="G892">
        <v>1200</v>
      </c>
      <c r="H892">
        <v>20000</v>
      </c>
      <c r="I892" t="s">
        <v>4331</v>
      </c>
      <c r="J892" t="s">
        <v>10</v>
      </c>
      <c r="K892">
        <v>110.76</v>
      </c>
      <c r="L892">
        <v>2.69</v>
      </c>
      <c r="M892">
        <v>7448</v>
      </c>
      <c r="N892" t="s">
        <v>79</v>
      </c>
      <c r="O892">
        <v>3</v>
      </c>
      <c r="P892" t="s">
        <v>4144</v>
      </c>
      <c r="Q892" t="s">
        <v>2198</v>
      </c>
      <c r="R892" t="s">
        <v>2199</v>
      </c>
      <c r="S892">
        <v>59</v>
      </c>
      <c r="T892">
        <v>60</v>
      </c>
      <c r="U892">
        <v>750</v>
      </c>
      <c r="V892" t="s">
        <v>4359</v>
      </c>
      <c r="W892" t="s">
        <v>4376</v>
      </c>
      <c r="X892" t="s">
        <v>79</v>
      </c>
    </row>
    <row r="893" spans="1:24">
      <c r="A893">
        <v>75034</v>
      </c>
      <c r="B893" t="s">
        <v>4377</v>
      </c>
      <c r="C893" t="s">
        <v>2162</v>
      </c>
      <c r="E893" t="s">
        <v>2162</v>
      </c>
      <c r="G893">
        <v>1</v>
      </c>
      <c r="H893">
        <v>1</v>
      </c>
      <c r="I893" t="s">
        <v>4373</v>
      </c>
      <c r="J893" t="s">
        <v>2162</v>
      </c>
      <c r="K893">
        <v>1473723.05</v>
      </c>
      <c r="L893">
        <v>16033.52</v>
      </c>
      <c r="M893">
        <v>7512</v>
      </c>
      <c r="N893" t="s">
        <v>125</v>
      </c>
      <c r="O893">
        <v>3</v>
      </c>
      <c r="P893" t="s">
        <v>4144</v>
      </c>
      <c r="Q893" t="s">
        <v>2198</v>
      </c>
      <c r="R893" t="s">
        <v>159</v>
      </c>
      <c r="S893">
        <v>1</v>
      </c>
      <c r="T893">
        <v>1</v>
      </c>
      <c r="U893">
        <v>751</v>
      </c>
      <c r="V893" t="s">
        <v>2632</v>
      </c>
      <c r="W893" t="s">
        <v>4378</v>
      </c>
      <c r="X893" t="s">
        <v>79</v>
      </c>
    </row>
    <row r="894" spans="1:24">
      <c r="A894">
        <v>75036</v>
      </c>
      <c r="B894" t="s">
        <v>4379</v>
      </c>
      <c r="C894" t="s">
        <v>2364</v>
      </c>
      <c r="E894" t="s">
        <v>2364</v>
      </c>
      <c r="F894" t="s">
        <v>2162</v>
      </c>
      <c r="G894">
        <v>19</v>
      </c>
      <c r="H894">
        <v>1000</v>
      </c>
      <c r="I894" t="s">
        <v>2368</v>
      </c>
      <c r="J894" t="s">
        <v>2364</v>
      </c>
      <c r="K894">
        <v>379962.57</v>
      </c>
      <c r="M894">
        <v>1353</v>
      </c>
      <c r="N894" t="s">
        <v>79</v>
      </c>
      <c r="O894">
        <v>3</v>
      </c>
      <c r="P894" t="s">
        <v>4144</v>
      </c>
      <c r="Q894" t="s">
        <v>2198</v>
      </c>
      <c r="R894" t="s">
        <v>2102</v>
      </c>
      <c r="S894">
        <v>17</v>
      </c>
      <c r="T894">
        <v>18</v>
      </c>
      <c r="U894">
        <v>750</v>
      </c>
      <c r="V894" t="s">
        <v>4359</v>
      </c>
      <c r="W894" t="s">
        <v>4380</v>
      </c>
      <c r="X894" t="s">
        <v>79</v>
      </c>
    </row>
    <row r="895" spans="1:24">
      <c r="A895">
        <v>75037</v>
      </c>
      <c r="B895" t="s">
        <v>4381</v>
      </c>
      <c r="C895" t="s">
        <v>2162</v>
      </c>
      <c r="F895" t="s">
        <v>2162</v>
      </c>
      <c r="G895">
        <v>1</v>
      </c>
      <c r="H895">
        <v>35</v>
      </c>
      <c r="I895" t="s">
        <v>4370</v>
      </c>
      <c r="J895" t="s">
        <v>2162</v>
      </c>
      <c r="K895">
        <v>176517.53</v>
      </c>
      <c r="L895">
        <v>3387.51</v>
      </c>
      <c r="M895">
        <v>7542</v>
      </c>
      <c r="N895" t="s">
        <v>79</v>
      </c>
      <c r="O895">
        <v>2</v>
      </c>
      <c r="P895" t="s">
        <v>4144</v>
      </c>
      <c r="Q895" t="s">
        <v>2198</v>
      </c>
      <c r="R895" t="s">
        <v>159</v>
      </c>
      <c r="S895">
        <v>45</v>
      </c>
      <c r="T895">
        <v>46</v>
      </c>
      <c r="U895">
        <v>750</v>
      </c>
      <c r="V895" t="s">
        <v>4359</v>
      </c>
      <c r="W895" t="s">
        <v>4382</v>
      </c>
      <c r="X895" t="s">
        <v>79</v>
      </c>
    </row>
    <row r="896" spans="1:24">
      <c r="A896">
        <v>75038</v>
      </c>
      <c r="B896" t="s">
        <v>4383</v>
      </c>
      <c r="C896" t="s">
        <v>2097</v>
      </c>
      <c r="D896" t="s">
        <v>2097</v>
      </c>
      <c r="E896" t="s">
        <v>2162</v>
      </c>
      <c r="G896">
        <v>7500</v>
      </c>
      <c r="H896">
        <v>490000</v>
      </c>
      <c r="I896" t="s">
        <v>3896</v>
      </c>
      <c r="J896" t="s">
        <v>2097</v>
      </c>
      <c r="K896">
        <v>145.76</v>
      </c>
      <c r="L896">
        <v>0.19</v>
      </c>
      <c r="M896">
        <v>4521</v>
      </c>
      <c r="N896" t="s">
        <v>125</v>
      </c>
      <c r="O896">
        <v>2</v>
      </c>
      <c r="P896" t="s">
        <v>4144</v>
      </c>
      <c r="Q896" t="s">
        <v>2198</v>
      </c>
      <c r="R896" t="s">
        <v>159</v>
      </c>
      <c r="S896">
        <v>18</v>
      </c>
      <c r="T896">
        <v>18</v>
      </c>
      <c r="U896">
        <v>750</v>
      </c>
      <c r="V896" t="s">
        <v>4359</v>
      </c>
      <c r="W896" t="s">
        <v>4384</v>
      </c>
      <c r="X896" t="s">
        <v>79</v>
      </c>
    </row>
    <row r="897" spans="1:24">
      <c r="A897">
        <v>75039</v>
      </c>
      <c r="B897" t="s">
        <v>4385</v>
      </c>
      <c r="C897" t="s">
        <v>2097</v>
      </c>
      <c r="D897" t="s">
        <v>2097</v>
      </c>
      <c r="E897" t="s">
        <v>2162</v>
      </c>
      <c r="G897">
        <v>10000</v>
      </c>
      <c r="H897">
        <v>400000</v>
      </c>
      <c r="I897" t="s">
        <v>2492</v>
      </c>
      <c r="J897" t="s">
        <v>2097</v>
      </c>
      <c r="K897">
        <v>78.03</v>
      </c>
      <c r="L897">
        <v>1.54</v>
      </c>
      <c r="M897">
        <v>8523</v>
      </c>
      <c r="N897" t="s">
        <v>125</v>
      </c>
      <c r="O897">
        <v>2</v>
      </c>
      <c r="P897" t="s">
        <v>4144</v>
      </c>
      <c r="Q897" t="s">
        <v>2198</v>
      </c>
      <c r="R897" t="s">
        <v>2102</v>
      </c>
      <c r="S897">
        <v>109</v>
      </c>
      <c r="T897">
        <v>111</v>
      </c>
      <c r="U897">
        <v>750</v>
      </c>
      <c r="V897" t="s">
        <v>4359</v>
      </c>
      <c r="W897" t="s">
        <v>4386</v>
      </c>
      <c r="X897" t="s">
        <v>79</v>
      </c>
    </row>
    <row r="898" spans="1:24">
      <c r="A898">
        <v>75040</v>
      </c>
      <c r="B898" t="s">
        <v>4387</v>
      </c>
      <c r="C898" t="s">
        <v>4388</v>
      </c>
      <c r="E898" t="s">
        <v>4388</v>
      </c>
      <c r="F898" t="s">
        <v>2162</v>
      </c>
      <c r="G898">
        <v>1</v>
      </c>
      <c r="H898">
        <v>1</v>
      </c>
      <c r="I898" t="s">
        <v>4387</v>
      </c>
      <c r="J898" t="s">
        <v>2162</v>
      </c>
      <c r="K898">
        <v>2927088.45</v>
      </c>
      <c r="L898">
        <v>91482.39</v>
      </c>
      <c r="M898">
        <v>7513</v>
      </c>
      <c r="N898" t="s">
        <v>125</v>
      </c>
      <c r="O898">
        <v>2</v>
      </c>
      <c r="P898" t="s">
        <v>4144</v>
      </c>
      <c r="Q898" t="s">
        <v>2198</v>
      </c>
      <c r="R898" t="s">
        <v>159</v>
      </c>
      <c r="S898">
        <v>47</v>
      </c>
      <c r="T898">
        <v>47</v>
      </c>
      <c r="U898">
        <v>750</v>
      </c>
      <c r="V898" t="s">
        <v>4359</v>
      </c>
      <c r="W898" t="s">
        <v>4389</v>
      </c>
      <c r="X898" t="s">
        <v>79</v>
      </c>
    </row>
    <row r="899" spans="1:24">
      <c r="A899">
        <v>75050</v>
      </c>
      <c r="B899" t="s">
        <v>4390</v>
      </c>
      <c r="C899" t="s">
        <v>2755</v>
      </c>
      <c r="E899" t="s">
        <v>2755</v>
      </c>
      <c r="F899" t="s">
        <v>2162</v>
      </c>
      <c r="G899">
        <v>1</v>
      </c>
      <c r="H899">
        <v>1</v>
      </c>
      <c r="I899" t="s">
        <v>4390</v>
      </c>
      <c r="J899" t="s">
        <v>2162</v>
      </c>
      <c r="K899">
        <v>201883.45</v>
      </c>
      <c r="L899">
        <v>7311.57</v>
      </c>
      <c r="M899">
        <v>7532</v>
      </c>
      <c r="N899" t="s">
        <v>125</v>
      </c>
      <c r="O899">
        <v>3</v>
      </c>
      <c r="P899" t="s">
        <v>4144</v>
      </c>
      <c r="Q899" t="s">
        <v>2198</v>
      </c>
      <c r="R899" t="s">
        <v>159</v>
      </c>
      <c r="S899">
        <v>42</v>
      </c>
      <c r="T899">
        <v>42</v>
      </c>
      <c r="U899">
        <v>750</v>
      </c>
      <c r="V899" t="s">
        <v>4359</v>
      </c>
      <c r="W899" t="s">
        <v>4391</v>
      </c>
      <c r="X899" t="s">
        <v>79</v>
      </c>
    </row>
    <row r="900" spans="1:24">
      <c r="A900">
        <v>75052</v>
      </c>
      <c r="B900" t="s">
        <v>4392</v>
      </c>
      <c r="C900" t="s">
        <v>2162</v>
      </c>
      <c r="F900" t="s">
        <v>2162</v>
      </c>
      <c r="G900">
        <v>1</v>
      </c>
      <c r="H900">
        <v>35</v>
      </c>
      <c r="I900" t="s">
        <v>4370</v>
      </c>
      <c r="J900" t="s">
        <v>2162</v>
      </c>
      <c r="K900">
        <v>176517.53</v>
      </c>
      <c r="L900">
        <v>3387.51</v>
      </c>
      <c r="M900">
        <v>7542</v>
      </c>
      <c r="N900" t="s">
        <v>125</v>
      </c>
      <c r="O900">
        <v>1</v>
      </c>
      <c r="P900" t="s">
        <v>4144</v>
      </c>
      <c r="Q900" t="s">
        <v>2198</v>
      </c>
      <c r="R900" t="s">
        <v>159</v>
      </c>
      <c r="S900">
        <v>19</v>
      </c>
      <c r="T900">
        <v>21</v>
      </c>
      <c r="U900">
        <v>750</v>
      </c>
      <c r="V900" t="s">
        <v>4359</v>
      </c>
      <c r="W900" t="s">
        <v>4393</v>
      </c>
      <c r="X900" t="s">
        <v>79</v>
      </c>
    </row>
    <row r="901" spans="1:24">
      <c r="A901">
        <v>75054</v>
      </c>
      <c r="B901" t="s">
        <v>4394</v>
      </c>
      <c r="C901" t="s">
        <v>2162</v>
      </c>
      <c r="D901" t="s">
        <v>10</v>
      </c>
      <c r="F901" t="s">
        <v>2162</v>
      </c>
      <c r="G901">
        <v>790</v>
      </c>
      <c r="H901">
        <v>45000</v>
      </c>
      <c r="I901" t="s">
        <v>4306</v>
      </c>
      <c r="J901" t="s">
        <v>10</v>
      </c>
      <c r="K901">
        <v>147.11000000000001</v>
      </c>
      <c r="L901">
        <v>0.68</v>
      </c>
      <c r="M901">
        <v>7531</v>
      </c>
      <c r="N901" t="s">
        <v>79</v>
      </c>
      <c r="O901">
        <v>3</v>
      </c>
      <c r="P901" t="s">
        <v>4144</v>
      </c>
      <c r="Q901" t="s">
        <v>2198</v>
      </c>
      <c r="R901" t="s">
        <v>159</v>
      </c>
      <c r="S901">
        <v>14</v>
      </c>
      <c r="T901">
        <v>15</v>
      </c>
      <c r="U901">
        <v>750</v>
      </c>
      <c r="V901" t="s">
        <v>4359</v>
      </c>
      <c r="W901" t="s">
        <v>4395</v>
      </c>
      <c r="X901" t="s">
        <v>79</v>
      </c>
    </row>
    <row r="902" spans="1:24">
      <c r="A902">
        <v>75056</v>
      </c>
      <c r="B902" t="s">
        <v>4396</v>
      </c>
      <c r="C902" t="s">
        <v>2162</v>
      </c>
      <c r="F902" t="s">
        <v>2162</v>
      </c>
      <c r="G902">
        <v>1</v>
      </c>
      <c r="H902">
        <v>1</v>
      </c>
      <c r="I902" t="s">
        <v>4396</v>
      </c>
      <c r="J902" t="s">
        <v>2162</v>
      </c>
      <c r="K902">
        <v>272539.62</v>
      </c>
      <c r="L902">
        <v>9470.0400000000009</v>
      </c>
      <c r="M902">
        <v>7514</v>
      </c>
      <c r="N902" t="s">
        <v>125</v>
      </c>
      <c r="O902">
        <v>3</v>
      </c>
      <c r="P902" t="s">
        <v>4144</v>
      </c>
      <c r="Q902" t="s">
        <v>2198</v>
      </c>
      <c r="R902" t="s">
        <v>159</v>
      </c>
      <c r="S902">
        <v>37</v>
      </c>
      <c r="T902">
        <v>44</v>
      </c>
      <c r="U902">
        <v>750</v>
      </c>
      <c r="V902" t="s">
        <v>4359</v>
      </c>
      <c r="W902" t="s">
        <v>4397</v>
      </c>
      <c r="X902" t="s">
        <v>79</v>
      </c>
    </row>
    <row r="903" spans="1:24">
      <c r="A903">
        <v>75057</v>
      </c>
      <c r="B903" t="s">
        <v>4398</v>
      </c>
      <c r="C903" t="s">
        <v>2162</v>
      </c>
      <c r="F903" t="s">
        <v>2162</v>
      </c>
      <c r="G903">
        <v>1</v>
      </c>
      <c r="H903">
        <v>1</v>
      </c>
      <c r="I903" t="s">
        <v>4399</v>
      </c>
      <c r="J903" t="s">
        <v>2162</v>
      </c>
      <c r="K903">
        <v>27093.67</v>
      </c>
      <c r="L903">
        <v>1394.64</v>
      </c>
      <c r="M903">
        <v>7516</v>
      </c>
      <c r="N903" t="s">
        <v>125</v>
      </c>
      <c r="O903">
        <v>3</v>
      </c>
      <c r="P903" t="s">
        <v>4144</v>
      </c>
      <c r="Q903" t="s">
        <v>2198</v>
      </c>
      <c r="R903" t="s">
        <v>159</v>
      </c>
      <c r="S903">
        <v>365</v>
      </c>
      <c r="T903">
        <v>377</v>
      </c>
      <c r="U903">
        <v>750</v>
      </c>
      <c r="V903" t="s">
        <v>4359</v>
      </c>
      <c r="W903" t="s">
        <v>4400</v>
      </c>
      <c r="X903" t="s">
        <v>79</v>
      </c>
    </row>
    <row r="904" spans="1:24">
      <c r="A904">
        <v>75059</v>
      </c>
      <c r="B904" t="s">
        <v>4401</v>
      </c>
      <c r="C904" t="s">
        <v>2802</v>
      </c>
      <c r="D904" t="s">
        <v>2802</v>
      </c>
      <c r="E904" t="s">
        <v>2162</v>
      </c>
      <c r="G904">
        <v>1</v>
      </c>
      <c r="H904">
        <v>1</v>
      </c>
      <c r="I904" t="s">
        <v>4402</v>
      </c>
      <c r="J904" t="s">
        <v>2162</v>
      </c>
      <c r="K904">
        <v>499807.85</v>
      </c>
      <c r="L904">
        <v>22450.78</v>
      </c>
      <c r="M904">
        <v>7541</v>
      </c>
      <c r="N904" t="s">
        <v>125</v>
      </c>
      <c r="O904">
        <v>2</v>
      </c>
      <c r="P904" t="s">
        <v>4144</v>
      </c>
      <c r="Q904" t="s">
        <v>2198</v>
      </c>
      <c r="R904" t="s">
        <v>159</v>
      </c>
      <c r="S904">
        <v>95</v>
      </c>
      <c r="T904">
        <v>96</v>
      </c>
      <c r="U904">
        <v>750</v>
      </c>
      <c r="V904" t="s">
        <v>4359</v>
      </c>
      <c r="W904" t="s">
        <v>4403</v>
      </c>
      <c r="X904" t="s">
        <v>79</v>
      </c>
    </row>
    <row r="905" spans="1:24">
      <c r="A905">
        <v>75060</v>
      </c>
      <c r="B905" t="s">
        <v>4404</v>
      </c>
      <c r="C905" t="s">
        <v>2162</v>
      </c>
      <c r="F905" t="s">
        <v>2162</v>
      </c>
      <c r="G905">
        <v>1</v>
      </c>
      <c r="H905">
        <v>1</v>
      </c>
      <c r="I905" t="s">
        <v>4405</v>
      </c>
      <c r="J905" t="s">
        <v>2162</v>
      </c>
      <c r="K905">
        <v>1266860.01</v>
      </c>
      <c r="L905">
        <v>11435.66</v>
      </c>
      <c r="M905">
        <v>7518</v>
      </c>
      <c r="N905" t="s">
        <v>125</v>
      </c>
      <c r="O905">
        <v>2</v>
      </c>
      <c r="P905" t="s">
        <v>4144</v>
      </c>
      <c r="Q905" t="s">
        <v>2198</v>
      </c>
      <c r="R905" t="s">
        <v>159</v>
      </c>
      <c r="S905">
        <v>66</v>
      </c>
      <c r="T905">
        <v>68</v>
      </c>
      <c r="U905">
        <v>750</v>
      </c>
      <c r="V905" t="s">
        <v>4359</v>
      </c>
      <c r="W905" t="s">
        <v>4406</v>
      </c>
      <c r="X905" t="s">
        <v>79</v>
      </c>
    </row>
    <row r="906" spans="1:24">
      <c r="A906">
        <v>75061</v>
      </c>
      <c r="B906" t="s">
        <v>2631</v>
      </c>
      <c r="C906" t="s">
        <v>2162</v>
      </c>
      <c r="E906" t="s">
        <v>2098</v>
      </c>
      <c r="F906" t="s">
        <v>2162</v>
      </c>
      <c r="G906">
        <v>1</v>
      </c>
      <c r="H906">
        <v>1</v>
      </c>
      <c r="I906" t="s">
        <v>2631</v>
      </c>
      <c r="J906" t="s">
        <v>2162</v>
      </c>
      <c r="K906">
        <v>12056.66</v>
      </c>
      <c r="L906">
        <v>701.68</v>
      </c>
      <c r="M906">
        <v>7517</v>
      </c>
      <c r="N906" t="s">
        <v>125</v>
      </c>
      <c r="O906">
        <v>3</v>
      </c>
      <c r="P906" t="s">
        <v>4144</v>
      </c>
      <c r="Q906" t="s">
        <v>2198</v>
      </c>
      <c r="R906" t="s">
        <v>159</v>
      </c>
      <c r="S906">
        <v>142</v>
      </c>
      <c r="T906">
        <v>144</v>
      </c>
      <c r="U906">
        <v>750</v>
      </c>
      <c r="V906" t="s">
        <v>4359</v>
      </c>
      <c r="W906" t="s">
        <v>4407</v>
      </c>
      <c r="X906" t="s">
        <v>79</v>
      </c>
    </row>
    <row r="907" spans="1:24">
      <c r="A907">
        <v>75110</v>
      </c>
      <c r="B907" t="s">
        <v>4408</v>
      </c>
      <c r="C907" t="s">
        <v>2162</v>
      </c>
      <c r="F907" t="s">
        <v>2162</v>
      </c>
      <c r="G907">
        <v>1</v>
      </c>
      <c r="H907">
        <v>50</v>
      </c>
      <c r="I907" t="s">
        <v>4409</v>
      </c>
      <c r="J907" t="s">
        <v>2162</v>
      </c>
      <c r="K907">
        <v>807145.52</v>
      </c>
      <c r="L907">
        <v>4000.85</v>
      </c>
      <c r="M907">
        <v>7511</v>
      </c>
      <c r="N907" t="s">
        <v>79</v>
      </c>
      <c r="O907">
        <v>1</v>
      </c>
      <c r="P907" t="s">
        <v>4234</v>
      </c>
      <c r="Q907" t="s">
        <v>2198</v>
      </c>
      <c r="R907" t="s">
        <v>159</v>
      </c>
      <c r="S907">
        <v>1711</v>
      </c>
      <c r="T907">
        <v>1730</v>
      </c>
      <c r="U907">
        <v>751</v>
      </c>
      <c r="V907" t="s">
        <v>2632</v>
      </c>
      <c r="W907" t="s">
        <v>4410</v>
      </c>
      <c r="X907" t="s">
        <v>79</v>
      </c>
    </row>
    <row r="908" spans="1:24">
      <c r="A908">
        <v>75240</v>
      </c>
      <c r="B908" t="s">
        <v>4411</v>
      </c>
      <c r="C908" t="s">
        <v>2162</v>
      </c>
      <c r="F908" t="s">
        <v>2162</v>
      </c>
      <c r="G908">
        <v>1</v>
      </c>
      <c r="H908">
        <v>1</v>
      </c>
      <c r="I908" t="s">
        <v>4412</v>
      </c>
      <c r="J908" t="s">
        <v>2162</v>
      </c>
      <c r="K908">
        <v>4368411.33</v>
      </c>
      <c r="L908">
        <v>41331.480000000003</v>
      </c>
      <c r="M908">
        <v>7524</v>
      </c>
      <c r="N908" t="s">
        <v>79</v>
      </c>
      <c r="O908">
        <v>4</v>
      </c>
      <c r="P908" t="s">
        <v>4144</v>
      </c>
      <c r="Q908" t="s">
        <v>2198</v>
      </c>
      <c r="R908" t="s">
        <v>159</v>
      </c>
      <c r="S908">
        <v>10</v>
      </c>
      <c r="T908">
        <v>10</v>
      </c>
      <c r="U908">
        <v>752</v>
      </c>
      <c r="V908" t="s">
        <v>4413</v>
      </c>
      <c r="W908" t="s">
        <v>4414</v>
      </c>
      <c r="X908" t="s">
        <v>79</v>
      </c>
    </row>
    <row r="909" spans="1:24">
      <c r="A909">
        <v>76010</v>
      </c>
      <c r="B909" t="s">
        <v>4415</v>
      </c>
      <c r="C909" t="s">
        <v>10</v>
      </c>
      <c r="D909" t="s">
        <v>10</v>
      </c>
      <c r="F909" t="s">
        <v>2162</v>
      </c>
      <c r="G909">
        <v>19000</v>
      </c>
      <c r="H909">
        <v>86000</v>
      </c>
      <c r="I909" t="s">
        <v>4416</v>
      </c>
      <c r="J909" t="s">
        <v>10</v>
      </c>
      <c r="K909">
        <v>423.05</v>
      </c>
      <c r="L909">
        <v>4.04</v>
      </c>
      <c r="M909">
        <v>7601</v>
      </c>
      <c r="N909" t="s">
        <v>125</v>
      </c>
      <c r="O909">
        <v>3</v>
      </c>
      <c r="P909" t="s">
        <v>2449</v>
      </c>
      <c r="Q909" t="s">
        <v>2206</v>
      </c>
      <c r="R909" t="s">
        <v>2199</v>
      </c>
      <c r="S909">
        <v>53</v>
      </c>
      <c r="T909">
        <v>72</v>
      </c>
      <c r="U909">
        <v>760</v>
      </c>
      <c r="V909" t="s">
        <v>4417</v>
      </c>
      <c r="W909" t="s">
        <v>4418</v>
      </c>
      <c r="X909" t="s">
        <v>79</v>
      </c>
    </row>
    <row r="910" spans="1:24">
      <c r="A910">
        <v>76020</v>
      </c>
      <c r="B910" t="s">
        <v>4419</v>
      </c>
      <c r="C910" t="s">
        <v>2162</v>
      </c>
      <c r="F910" t="s">
        <v>2162</v>
      </c>
      <c r="G910">
        <v>1</v>
      </c>
      <c r="H910">
        <v>100</v>
      </c>
      <c r="I910" t="s">
        <v>4420</v>
      </c>
      <c r="J910" t="s">
        <v>2162</v>
      </c>
      <c r="K910">
        <v>21862.82</v>
      </c>
      <c r="L910">
        <v>306.12</v>
      </c>
      <c r="M910">
        <v>7602</v>
      </c>
      <c r="N910" t="s">
        <v>79</v>
      </c>
      <c r="O910">
        <v>3</v>
      </c>
      <c r="P910" t="s">
        <v>2449</v>
      </c>
      <c r="Q910" t="s">
        <v>2206</v>
      </c>
      <c r="R910" t="s">
        <v>159</v>
      </c>
      <c r="S910">
        <v>95</v>
      </c>
      <c r="T910">
        <v>98</v>
      </c>
      <c r="U910">
        <v>760</v>
      </c>
      <c r="V910" t="s">
        <v>4417</v>
      </c>
      <c r="W910" t="s">
        <v>4421</v>
      </c>
      <c r="X910" t="s">
        <v>79</v>
      </c>
    </row>
    <row r="911" spans="1:24">
      <c r="A911">
        <v>76030</v>
      </c>
      <c r="B911" t="s">
        <v>4422</v>
      </c>
      <c r="C911" t="s">
        <v>2162</v>
      </c>
      <c r="D911" t="s">
        <v>2802</v>
      </c>
      <c r="F911" t="s">
        <v>2162</v>
      </c>
      <c r="G911">
        <v>1</v>
      </c>
      <c r="H911">
        <v>1</v>
      </c>
      <c r="I911" t="s">
        <v>4422</v>
      </c>
      <c r="J911" t="s">
        <v>2162</v>
      </c>
      <c r="K911">
        <v>0</v>
      </c>
      <c r="L911">
        <v>0</v>
      </c>
      <c r="M911">
        <v>7603</v>
      </c>
      <c r="N911" t="s">
        <v>79</v>
      </c>
      <c r="O911">
        <v>3</v>
      </c>
      <c r="P911" t="s">
        <v>2205</v>
      </c>
      <c r="Q911" t="s">
        <v>2206</v>
      </c>
      <c r="R911" t="s">
        <v>159</v>
      </c>
      <c r="S911">
        <v>97</v>
      </c>
      <c r="T911">
        <v>98</v>
      </c>
      <c r="U911">
        <v>760</v>
      </c>
      <c r="V911" t="s">
        <v>4417</v>
      </c>
      <c r="W911" t="s">
        <v>4423</v>
      </c>
      <c r="X911" t="s">
        <v>79</v>
      </c>
    </row>
    <row r="912" spans="1:24">
      <c r="A912">
        <v>81109</v>
      </c>
      <c r="B912" t="s">
        <v>4424</v>
      </c>
      <c r="C912" t="s">
        <v>10</v>
      </c>
      <c r="D912" t="s">
        <v>10</v>
      </c>
      <c r="G912">
        <v>1300</v>
      </c>
      <c r="H912">
        <v>150000</v>
      </c>
      <c r="I912" t="s">
        <v>4425</v>
      </c>
      <c r="J912" t="s">
        <v>10</v>
      </c>
      <c r="K912">
        <v>265.08</v>
      </c>
      <c r="L912">
        <v>7.01</v>
      </c>
      <c r="M912">
        <v>8910</v>
      </c>
      <c r="N912" t="s">
        <v>79</v>
      </c>
      <c r="O912">
        <v>2</v>
      </c>
      <c r="P912" t="s">
        <v>4426</v>
      </c>
      <c r="Q912" t="s">
        <v>4427</v>
      </c>
      <c r="R912" t="s">
        <v>2199</v>
      </c>
      <c r="S912">
        <v>99</v>
      </c>
      <c r="T912">
        <v>102</v>
      </c>
      <c r="U912">
        <v>811</v>
      </c>
      <c r="V912" t="s">
        <v>4428</v>
      </c>
      <c r="W912" t="s">
        <v>4429</v>
      </c>
      <c r="X912" t="s">
        <v>125</v>
      </c>
    </row>
    <row r="913" spans="1:24">
      <c r="A913">
        <v>81110</v>
      </c>
      <c r="B913" t="s">
        <v>4430</v>
      </c>
      <c r="C913" t="s">
        <v>4431</v>
      </c>
      <c r="F913" t="s">
        <v>4431</v>
      </c>
      <c r="G913">
        <v>540</v>
      </c>
      <c r="H913">
        <v>18000</v>
      </c>
      <c r="I913" t="s">
        <v>4432</v>
      </c>
      <c r="J913" t="s">
        <v>4431</v>
      </c>
      <c r="K913">
        <v>1028.03</v>
      </c>
      <c r="L913">
        <v>129.02000000000001</v>
      </c>
      <c r="M913">
        <v>8111</v>
      </c>
      <c r="N913" t="s">
        <v>79</v>
      </c>
      <c r="O913">
        <v>2</v>
      </c>
      <c r="P913" t="s">
        <v>4426</v>
      </c>
      <c r="Q913" t="s">
        <v>4427</v>
      </c>
      <c r="R913" t="s">
        <v>159</v>
      </c>
      <c r="S913">
        <v>86</v>
      </c>
      <c r="T913">
        <v>86</v>
      </c>
      <c r="U913">
        <v>811</v>
      </c>
      <c r="V913" t="s">
        <v>4428</v>
      </c>
      <c r="W913" t="s">
        <v>4433</v>
      </c>
      <c r="X913" t="s">
        <v>125</v>
      </c>
    </row>
    <row r="914" spans="1:24">
      <c r="A914">
        <v>81125</v>
      </c>
      <c r="B914" t="s">
        <v>4434</v>
      </c>
      <c r="C914" t="s">
        <v>4431</v>
      </c>
      <c r="F914" t="s">
        <v>4431</v>
      </c>
      <c r="G914">
        <v>540</v>
      </c>
      <c r="H914">
        <v>18000</v>
      </c>
      <c r="I914" t="s">
        <v>4432</v>
      </c>
      <c r="J914" t="s">
        <v>4431</v>
      </c>
      <c r="K914">
        <v>1028.03</v>
      </c>
      <c r="L914">
        <v>129.02000000000001</v>
      </c>
      <c r="M914">
        <v>8111</v>
      </c>
      <c r="N914" t="s">
        <v>79</v>
      </c>
      <c r="O914">
        <v>2</v>
      </c>
      <c r="P914" t="s">
        <v>4426</v>
      </c>
      <c r="Q914" t="s">
        <v>4427</v>
      </c>
      <c r="R914" t="s">
        <v>159</v>
      </c>
      <c r="S914">
        <v>12</v>
      </c>
      <c r="T914">
        <v>12</v>
      </c>
      <c r="U914">
        <v>811</v>
      </c>
      <c r="V914" t="s">
        <v>4428</v>
      </c>
      <c r="W914" t="s">
        <v>4435</v>
      </c>
      <c r="X914" t="s">
        <v>125</v>
      </c>
    </row>
    <row r="915" spans="1:24">
      <c r="A915">
        <v>81145</v>
      </c>
      <c r="B915" t="s">
        <v>4436</v>
      </c>
      <c r="C915" t="s">
        <v>4431</v>
      </c>
      <c r="F915" t="s">
        <v>4431</v>
      </c>
      <c r="G915">
        <v>540</v>
      </c>
      <c r="H915">
        <v>18000</v>
      </c>
      <c r="I915" t="s">
        <v>4432</v>
      </c>
      <c r="J915" t="s">
        <v>4431</v>
      </c>
      <c r="K915">
        <v>1028.03</v>
      </c>
      <c r="L915">
        <v>129.02000000000001</v>
      </c>
      <c r="M915">
        <v>8111</v>
      </c>
      <c r="N915" t="s">
        <v>79</v>
      </c>
      <c r="O915">
        <v>2</v>
      </c>
      <c r="P915" t="s">
        <v>4426</v>
      </c>
      <c r="Q915" t="s">
        <v>4427</v>
      </c>
      <c r="R915" t="s">
        <v>159</v>
      </c>
      <c r="S915">
        <v>12</v>
      </c>
      <c r="T915">
        <v>12</v>
      </c>
      <c r="U915">
        <v>811</v>
      </c>
      <c r="V915" t="s">
        <v>4428</v>
      </c>
      <c r="W915" t="s">
        <v>4437</v>
      </c>
      <c r="X915" t="s">
        <v>125</v>
      </c>
    </row>
    <row r="916" spans="1:24">
      <c r="A916">
        <v>81146</v>
      </c>
      <c r="B916" t="s">
        <v>4438</v>
      </c>
      <c r="C916" t="s">
        <v>4431</v>
      </c>
      <c r="F916" t="s">
        <v>4431</v>
      </c>
      <c r="G916">
        <v>500</v>
      </c>
      <c r="H916">
        <v>1500</v>
      </c>
      <c r="I916" t="s">
        <v>4439</v>
      </c>
      <c r="J916" t="s">
        <v>4431</v>
      </c>
      <c r="K916">
        <v>6907.88</v>
      </c>
      <c r="L916">
        <v>26.34</v>
      </c>
      <c r="M916">
        <v>8114</v>
      </c>
      <c r="N916" t="s">
        <v>79</v>
      </c>
      <c r="O916">
        <v>3</v>
      </c>
      <c r="P916" t="s">
        <v>4426</v>
      </c>
      <c r="Q916" t="s">
        <v>4427</v>
      </c>
      <c r="R916" t="s">
        <v>159</v>
      </c>
      <c r="S916">
        <v>14</v>
      </c>
      <c r="T916">
        <v>14</v>
      </c>
      <c r="U916">
        <v>811</v>
      </c>
      <c r="V916" t="s">
        <v>4428</v>
      </c>
      <c r="W916" t="s">
        <v>4440</v>
      </c>
      <c r="X916" t="s">
        <v>125</v>
      </c>
    </row>
    <row r="917" spans="1:24">
      <c r="A917">
        <v>81150</v>
      </c>
      <c r="B917" t="s">
        <v>4441</v>
      </c>
      <c r="C917" t="s">
        <v>4431</v>
      </c>
      <c r="F917" t="s">
        <v>4431</v>
      </c>
      <c r="G917">
        <v>400</v>
      </c>
      <c r="H917">
        <v>16000</v>
      </c>
      <c r="I917" t="s">
        <v>4442</v>
      </c>
      <c r="J917" t="s">
        <v>4431</v>
      </c>
      <c r="K917">
        <v>18657.23</v>
      </c>
      <c r="L917">
        <v>26.5</v>
      </c>
      <c r="M917">
        <v>8115</v>
      </c>
      <c r="N917" t="s">
        <v>79</v>
      </c>
      <c r="O917">
        <v>2</v>
      </c>
      <c r="P917" t="s">
        <v>4426</v>
      </c>
      <c r="Q917" t="s">
        <v>4427</v>
      </c>
      <c r="R917" t="s">
        <v>159</v>
      </c>
      <c r="S917">
        <v>492</v>
      </c>
      <c r="T917">
        <v>493</v>
      </c>
      <c r="U917">
        <v>811</v>
      </c>
      <c r="V917" t="s">
        <v>4428</v>
      </c>
      <c r="W917" t="s">
        <v>4443</v>
      </c>
      <c r="X917" t="s">
        <v>125</v>
      </c>
    </row>
    <row r="918" spans="1:24">
      <c r="A918">
        <v>81151</v>
      </c>
      <c r="B918" t="s">
        <v>4444</v>
      </c>
      <c r="C918" t="s">
        <v>4431</v>
      </c>
      <c r="F918" t="s">
        <v>4431</v>
      </c>
      <c r="G918">
        <v>400</v>
      </c>
      <c r="H918">
        <v>16000</v>
      </c>
      <c r="I918" t="s">
        <v>4442</v>
      </c>
      <c r="J918" t="s">
        <v>4431</v>
      </c>
      <c r="K918">
        <v>18657.23</v>
      </c>
      <c r="L918">
        <v>26.5</v>
      </c>
      <c r="M918">
        <v>8115</v>
      </c>
      <c r="N918" t="s">
        <v>79</v>
      </c>
      <c r="O918">
        <v>4</v>
      </c>
      <c r="P918" t="s">
        <v>4426</v>
      </c>
      <c r="Q918" t="s">
        <v>4427</v>
      </c>
      <c r="R918" t="s">
        <v>159</v>
      </c>
      <c r="S918">
        <v>0</v>
      </c>
      <c r="T918">
        <v>0</v>
      </c>
      <c r="U918">
        <v>811</v>
      </c>
      <c r="V918" t="s">
        <v>4428</v>
      </c>
      <c r="W918" t="s">
        <v>4445</v>
      </c>
      <c r="X918" t="s">
        <v>125</v>
      </c>
    </row>
    <row r="919" spans="1:24">
      <c r="A919">
        <v>81159</v>
      </c>
      <c r="B919" t="s">
        <v>4446</v>
      </c>
      <c r="C919" t="s">
        <v>10</v>
      </c>
      <c r="D919" t="s">
        <v>10</v>
      </c>
      <c r="G919">
        <v>1300</v>
      </c>
      <c r="H919">
        <v>150000</v>
      </c>
      <c r="I919" t="s">
        <v>4425</v>
      </c>
      <c r="J919" t="s">
        <v>10</v>
      </c>
      <c r="K919">
        <v>265.08</v>
      </c>
      <c r="L919">
        <v>7.01</v>
      </c>
      <c r="M919">
        <v>8910</v>
      </c>
      <c r="N919" t="s">
        <v>79</v>
      </c>
      <c r="O919">
        <v>2</v>
      </c>
      <c r="P919" t="s">
        <v>4426</v>
      </c>
      <c r="Q919" t="s">
        <v>4427</v>
      </c>
      <c r="R919" t="s">
        <v>2199</v>
      </c>
      <c r="S919">
        <v>832</v>
      </c>
      <c r="T919">
        <v>905</v>
      </c>
      <c r="U919">
        <v>811</v>
      </c>
      <c r="V919" t="s">
        <v>4428</v>
      </c>
      <c r="W919" t="s">
        <v>4447</v>
      </c>
      <c r="X919" t="s">
        <v>125</v>
      </c>
    </row>
    <row r="920" spans="1:24">
      <c r="A920">
        <v>81160</v>
      </c>
      <c r="B920" t="s">
        <v>4448</v>
      </c>
      <c r="C920" t="s">
        <v>4431</v>
      </c>
      <c r="F920" t="s">
        <v>4431</v>
      </c>
      <c r="G920">
        <v>300</v>
      </c>
      <c r="H920">
        <v>14000</v>
      </c>
      <c r="I920" t="s">
        <v>4449</v>
      </c>
      <c r="J920" t="s">
        <v>4431</v>
      </c>
      <c r="K920">
        <v>1284.5899999999999</v>
      </c>
      <c r="L920">
        <v>26.34</v>
      </c>
      <c r="M920">
        <v>8112</v>
      </c>
      <c r="N920" t="s">
        <v>79</v>
      </c>
      <c r="O920">
        <v>2</v>
      </c>
      <c r="P920" t="s">
        <v>4426</v>
      </c>
      <c r="Q920" t="s">
        <v>4427</v>
      </c>
      <c r="R920" t="s">
        <v>159</v>
      </c>
      <c r="S920">
        <v>4211</v>
      </c>
      <c r="T920">
        <v>4260</v>
      </c>
      <c r="U920">
        <v>811</v>
      </c>
      <c r="V920" t="s">
        <v>4428</v>
      </c>
      <c r="W920" t="s">
        <v>4450</v>
      </c>
      <c r="X920" t="s">
        <v>125</v>
      </c>
    </row>
    <row r="921" spans="1:24">
      <c r="A921">
        <v>81161</v>
      </c>
      <c r="B921" t="s">
        <v>4451</v>
      </c>
      <c r="C921" t="s">
        <v>4431</v>
      </c>
      <c r="F921" t="s">
        <v>4431</v>
      </c>
      <c r="G921">
        <v>300</v>
      </c>
      <c r="H921">
        <v>14000</v>
      </c>
      <c r="I921" t="s">
        <v>4449</v>
      </c>
      <c r="J921" t="s">
        <v>4431</v>
      </c>
      <c r="K921">
        <v>1284.5899999999999</v>
      </c>
      <c r="L921">
        <v>26.34</v>
      </c>
      <c r="M921">
        <v>8112</v>
      </c>
      <c r="N921" t="s">
        <v>79</v>
      </c>
      <c r="O921">
        <v>4</v>
      </c>
      <c r="P921" t="s">
        <v>4426</v>
      </c>
      <c r="Q921" t="s">
        <v>4427</v>
      </c>
      <c r="R921" t="s">
        <v>159</v>
      </c>
      <c r="S921">
        <v>8</v>
      </c>
      <c r="T921">
        <v>8</v>
      </c>
      <c r="U921">
        <v>811</v>
      </c>
      <c r="V921" t="s">
        <v>4428</v>
      </c>
      <c r="W921" t="s">
        <v>4452</v>
      </c>
      <c r="X921" t="s">
        <v>125</v>
      </c>
    </row>
    <row r="922" spans="1:24">
      <c r="A922">
        <v>81162</v>
      </c>
      <c r="B922" t="s">
        <v>4453</v>
      </c>
      <c r="C922" t="s">
        <v>4454</v>
      </c>
      <c r="F922" t="s">
        <v>4454</v>
      </c>
      <c r="G922">
        <v>2</v>
      </c>
      <c r="H922">
        <v>18</v>
      </c>
      <c r="I922" t="s">
        <v>4453</v>
      </c>
      <c r="J922" t="s">
        <v>4454</v>
      </c>
      <c r="K922">
        <v>2335811.5099999998</v>
      </c>
      <c r="M922">
        <v>8116</v>
      </c>
      <c r="N922" t="s">
        <v>125</v>
      </c>
      <c r="P922" t="s">
        <v>4426</v>
      </c>
      <c r="Q922" t="s">
        <v>4427</v>
      </c>
      <c r="R922" t="s">
        <v>159</v>
      </c>
      <c r="S922">
        <v>0</v>
      </c>
      <c r="T922">
        <v>0</v>
      </c>
      <c r="U922">
        <v>811</v>
      </c>
      <c r="V922" t="s">
        <v>4428</v>
      </c>
      <c r="W922" t="s">
        <v>4455</v>
      </c>
      <c r="X922" t="s">
        <v>79</v>
      </c>
    </row>
    <row r="923" spans="1:24">
      <c r="A923">
        <v>81209</v>
      </c>
      <c r="B923" t="s">
        <v>4456</v>
      </c>
      <c r="C923" t="s">
        <v>10</v>
      </c>
      <c r="D923" t="s">
        <v>10</v>
      </c>
      <c r="G923">
        <v>1300</v>
      </c>
      <c r="H923">
        <v>150000</v>
      </c>
      <c r="I923" t="s">
        <v>4425</v>
      </c>
      <c r="J923" t="s">
        <v>10</v>
      </c>
      <c r="K923">
        <v>265.08</v>
      </c>
      <c r="L923">
        <v>7.01</v>
      </c>
      <c r="M923">
        <v>8910</v>
      </c>
      <c r="N923" t="s">
        <v>79</v>
      </c>
      <c r="O923">
        <v>2</v>
      </c>
      <c r="P923" t="s">
        <v>4426</v>
      </c>
      <c r="Q923" t="s">
        <v>4427</v>
      </c>
      <c r="R923" t="s">
        <v>2199</v>
      </c>
      <c r="S923">
        <v>530</v>
      </c>
      <c r="T923">
        <v>556</v>
      </c>
      <c r="U923">
        <v>812</v>
      </c>
      <c r="V923" t="s">
        <v>4457</v>
      </c>
      <c r="W923" t="s">
        <v>4458</v>
      </c>
      <c r="X923" t="s">
        <v>125</v>
      </c>
    </row>
    <row r="924" spans="1:24">
      <c r="A924">
        <v>81212</v>
      </c>
      <c r="B924" t="s">
        <v>4459</v>
      </c>
      <c r="C924" t="s">
        <v>4460</v>
      </c>
      <c r="E924" t="s">
        <v>4460</v>
      </c>
      <c r="G924">
        <v>910</v>
      </c>
      <c r="H924">
        <v>290000</v>
      </c>
      <c r="I924" t="s">
        <v>4461</v>
      </c>
      <c r="J924" t="s">
        <v>4460</v>
      </c>
      <c r="K924">
        <v>125.78</v>
      </c>
      <c r="L924">
        <v>8.5500000000000007</v>
      </c>
      <c r="M924">
        <v>8133</v>
      </c>
      <c r="N924" t="s">
        <v>79</v>
      </c>
      <c r="O924">
        <v>2</v>
      </c>
      <c r="P924" t="s">
        <v>4426</v>
      </c>
      <c r="Q924" t="s">
        <v>4427</v>
      </c>
      <c r="R924" t="s">
        <v>159</v>
      </c>
      <c r="S924">
        <v>2121</v>
      </c>
      <c r="T924">
        <v>2132</v>
      </c>
      <c r="U924">
        <v>812</v>
      </c>
      <c r="V924" t="s">
        <v>4457</v>
      </c>
      <c r="W924" t="s">
        <v>4462</v>
      </c>
      <c r="X924" t="s">
        <v>125</v>
      </c>
    </row>
    <row r="925" spans="1:24">
      <c r="A925">
        <v>81220</v>
      </c>
      <c r="B925" t="s">
        <v>4463</v>
      </c>
      <c r="C925" t="s">
        <v>2162</v>
      </c>
      <c r="E925" t="s">
        <v>2162</v>
      </c>
      <c r="G925">
        <v>30</v>
      </c>
      <c r="H925">
        <v>10000</v>
      </c>
      <c r="I925" t="s">
        <v>4464</v>
      </c>
      <c r="J925" t="s">
        <v>2162</v>
      </c>
      <c r="K925">
        <v>12416.83</v>
      </c>
      <c r="L925">
        <v>78.650000000000006</v>
      </c>
      <c r="M925">
        <v>8122</v>
      </c>
      <c r="N925" t="s">
        <v>79</v>
      </c>
      <c r="O925">
        <v>3</v>
      </c>
      <c r="P925" t="s">
        <v>2205</v>
      </c>
      <c r="Q925" t="s">
        <v>2206</v>
      </c>
      <c r="R925" t="s">
        <v>159</v>
      </c>
      <c r="S925">
        <v>1010</v>
      </c>
      <c r="T925">
        <v>1048</v>
      </c>
      <c r="U925">
        <v>812</v>
      </c>
      <c r="V925" t="s">
        <v>4457</v>
      </c>
      <c r="W925" t="s">
        <v>4465</v>
      </c>
      <c r="X925" t="s">
        <v>79</v>
      </c>
    </row>
    <row r="926" spans="1:24">
      <c r="A926">
        <v>81231</v>
      </c>
      <c r="B926" t="s">
        <v>4466</v>
      </c>
      <c r="C926" t="s">
        <v>2098</v>
      </c>
      <c r="E926" t="s">
        <v>2098</v>
      </c>
      <c r="G926">
        <v>18000</v>
      </c>
      <c r="H926">
        <v>1300000</v>
      </c>
      <c r="I926" t="s">
        <v>4467</v>
      </c>
      <c r="J926" t="s">
        <v>2098</v>
      </c>
      <c r="K926">
        <v>102.11</v>
      </c>
      <c r="L926">
        <v>0.42</v>
      </c>
      <c r="M926">
        <v>8121</v>
      </c>
      <c r="N926" t="s">
        <v>79</v>
      </c>
      <c r="O926">
        <v>4</v>
      </c>
      <c r="P926" t="s">
        <v>4426</v>
      </c>
      <c r="Q926" t="s">
        <v>4427</v>
      </c>
      <c r="R926" t="s">
        <v>2102</v>
      </c>
      <c r="S926">
        <v>558</v>
      </c>
      <c r="T926">
        <v>571</v>
      </c>
      <c r="U926">
        <v>812</v>
      </c>
      <c r="V926" t="s">
        <v>4457</v>
      </c>
      <c r="W926" t="s">
        <v>4468</v>
      </c>
      <c r="X926" t="s">
        <v>125</v>
      </c>
    </row>
    <row r="927" spans="1:24">
      <c r="A927">
        <v>81232</v>
      </c>
      <c r="B927" t="s">
        <v>4469</v>
      </c>
      <c r="C927" t="s">
        <v>2098</v>
      </c>
      <c r="E927" t="s">
        <v>2098</v>
      </c>
      <c r="G927">
        <v>5700</v>
      </c>
      <c r="H927">
        <v>1200000</v>
      </c>
      <c r="I927" t="s">
        <v>4470</v>
      </c>
      <c r="J927" t="s">
        <v>2098</v>
      </c>
      <c r="K927">
        <v>220.93</v>
      </c>
      <c r="L927">
        <v>0.9</v>
      </c>
      <c r="M927">
        <v>8123</v>
      </c>
      <c r="N927" t="s">
        <v>79</v>
      </c>
      <c r="O927">
        <v>4</v>
      </c>
      <c r="P927" t="s">
        <v>4426</v>
      </c>
      <c r="Q927" t="s">
        <v>4427</v>
      </c>
      <c r="R927" t="s">
        <v>2102</v>
      </c>
      <c r="S927">
        <v>726</v>
      </c>
      <c r="T927">
        <v>745</v>
      </c>
      <c r="U927">
        <v>812</v>
      </c>
      <c r="V927" t="s">
        <v>4457</v>
      </c>
      <c r="W927" t="s">
        <v>4471</v>
      </c>
      <c r="X927" t="s">
        <v>125</v>
      </c>
    </row>
    <row r="928" spans="1:24">
      <c r="A928">
        <v>81240</v>
      </c>
      <c r="B928" t="s">
        <v>4472</v>
      </c>
      <c r="C928" t="s">
        <v>2166</v>
      </c>
      <c r="E928" t="s">
        <v>4431</v>
      </c>
      <c r="F928" t="s">
        <v>2166</v>
      </c>
      <c r="G928">
        <v>34</v>
      </c>
      <c r="H928">
        <v>1750</v>
      </c>
      <c r="I928" t="s">
        <v>4473</v>
      </c>
      <c r="J928" t="s">
        <v>4431</v>
      </c>
      <c r="K928">
        <v>1901.91</v>
      </c>
      <c r="L928">
        <v>121.22</v>
      </c>
      <c r="M928">
        <v>8124</v>
      </c>
      <c r="N928" t="s">
        <v>79</v>
      </c>
      <c r="O928">
        <v>4</v>
      </c>
      <c r="P928" t="s">
        <v>4474</v>
      </c>
      <c r="Q928" t="s">
        <v>2206</v>
      </c>
      <c r="R928" t="s">
        <v>159</v>
      </c>
      <c r="S928">
        <v>77</v>
      </c>
      <c r="T928">
        <v>77</v>
      </c>
      <c r="U928">
        <v>812</v>
      </c>
      <c r="V928" t="s">
        <v>4457</v>
      </c>
      <c r="W928" t="s">
        <v>4475</v>
      </c>
      <c r="X928" t="s">
        <v>79</v>
      </c>
    </row>
    <row r="929" spans="1:24">
      <c r="A929">
        <v>81241</v>
      </c>
      <c r="B929" t="s">
        <v>4476</v>
      </c>
      <c r="C929" t="s">
        <v>2166</v>
      </c>
      <c r="E929" t="s">
        <v>4431</v>
      </c>
      <c r="F929" t="s">
        <v>2166</v>
      </c>
      <c r="G929">
        <v>34</v>
      </c>
      <c r="H929">
        <v>1750</v>
      </c>
      <c r="I929" t="s">
        <v>4473</v>
      </c>
      <c r="J929" t="s">
        <v>4431</v>
      </c>
      <c r="K929">
        <v>1901.91</v>
      </c>
      <c r="L929">
        <v>121.22</v>
      </c>
      <c r="M929">
        <v>8124</v>
      </c>
      <c r="N929" t="s">
        <v>79</v>
      </c>
      <c r="P929" t="s">
        <v>4474</v>
      </c>
      <c r="Q929" t="s">
        <v>2206</v>
      </c>
      <c r="R929" t="s">
        <v>159</v>
      </c>
      <c r="S929">
        <v>4</v>
      </c>
      <c r="T929">
        <v>4</v>
      </c>
      <c r="U929">
        <v>812</v>
      </c>
      <c r="V929" t="s">
        <v>4457</v>
      </c>
      <c r="W929" t="s">
        <v>4477</v>
      </c>
      <c r="X929" t="s">
        <v>79</v>
      </c>
    </row>
    <row r="930" spans="1:24">
      <c r="A930">
        <v>81310</v>
      </c>
      <c r="B930" t="s">
        <v>4478</v>
      </c>
      <c r="C930" t="s">
        <v>10</v>
      </c>
      <c r="D930" t="s">
        <v>10</v>
      </c>
      <c r="G930">
        <v>1300</v>
      </c>
      <c r="H930">
        <v>150000</v>
      </c>
      <c r="I930" t="s">
        <v>4425</v>
      </c>
      <c r="J930" t="s">
        <v>10</v>
      </c>
      <c r="K930">
        <v>265.08</v>
      </c>
      <c r="L930">
        <v>7.01</v>
      </c>
      <c r="M930">
        <v>8910</v>
      </c>
      <c r="N930" t="s">
        <v>79</v>
      </c>
      <c r="O930">
        <v>2</v>
      </c>
      <c r="P930" t="s">
        <v>4426</v>
      </c>
      <c r="Q930" t="s">
        <v>4427</v>
      </c>
      <c r="R930" t="s">
        <v>2199</v>
      </c>
      <c r="S930">
        <v>910</v>
      </c>
      <c r="T930">
        <v>966</v>
      </c>
      <c r="U930">
        <v>813</v>
      </c>
      <c r="V930" t="s">
        <v>4479</v>
      </c>
      <c r="W930" t="s">
        <v>4480</v>
      </c>
      <c r="X930" t="s">
        <v>125</v>
      </c>
    </row>
    <row r="931" spans="1:24">
      <c r="A931">
        <v>81320</v>
      </c>
      <c r="B931" t="s">
        <v>4481</v>
      </c>
      <c r="C931" t="s">
        <v>4460</v>
      </c>
      <c r="F931" t="s">
        <v>4460</v>
      </c>
      <c r="G931">
        <v>2100</v>
      </c>
      <c r="H931">
        <v>100000</v>
      </c>
      <c r="I931" t="s">
        <v>4482</v>
      </c>
      <c r="J931" t="s">
        <v>4460</v>
      </c>
      <c r="K931">
        <v>181.8</v>
      </c>
      <c r="L931">
        <v>21.88</v>
      </c>
      <c r="M931">
        <v>8131</v>
      </c>
      <c r="N931" t="s">
        <v>79</v>
      </c>
      <c r="O931">
        <v>2</v>
      </c>
      <c r="P931" t="s">
        <v>4426</v>
      </c>
      <c r="Q931" t="s">
        <v>4427</v>
      </c>
      <c r="R931" t="s">
        <v>159</v>
      </c>
      <c r="S931">
        <v>959</v>
      </c>
      <c r="T931">
        <v>962</v>
      </c>
      <c r="U931">
        <v>813</v>
      </c>
      <c r="V931" t="s">
        <v>4479</v>
      </c>
      <c r="W931" t="s">
        <v>4483</v>
      </c>
      <c r="X931" t="s">
        <v>125</v>
      </c>
    </row>
    <row r="932" spans="1:24">
      <c r="A932">
        <v>81330</v>
      </c>
      <c r="B932" t="s">
        <v>4484</v>
      </c>
      <c r="C932" t="s">
        <v>4460</v>
      </c>
      <c r="E932" t="s">
        <v>2162</v>
      </c>
      <c r="F932" t="s">
        <v>4460</v>
      </c>
      <c r="G932">
        <v>13000</v>
      </c>
      <c r="H932">
        <v>320000</v>
      </c>
      <c r="I932" t="s">
        <v>4485</v>
      </c>
      <c r="J932" t="s">
        <v>4460</v>
      </c>
      <c r="K932">
        <v>806.99</v>
      </c>
      <c r="L932">
        <v>0.85</v>
      </c>
      <c r="M932">
        <v>8132</v>
      </c>
      <c r="N932" t="s">
        <v>79</v>
      </c>
      <c r="O932">
        <v>2</v>
      </c>
      <c r="P932" t="s">
        <v>4426</v>
      </c>
      <c r="Q932" t="s">
        <v>4427</v>
      </c>
      <c r="R932" t="s">
        <v>159</v>
      </c>
      <c r="S932">
        <v>817</v>
      </c>
      <c r="T932">
        <v>820</v>
      </c>
      <c r="U932">
        <v>813</v>
      </c>
      <c r="V932" t="s">
        <v>4479</v>
      </c>
      <c r="W932" t="s">
        <v>4486</v>
      </c>
      <c r="X932" t="s">
        <v>125</v>
      </c>
    </row>
    <row r="933" spans="1:24">
      <c r="A933">
        <v>81340</v>
      </c>
      <c r="B933" t="s">
        <v>4487</v>
      </c>
      <c r="C933" t="s">
        <v>2162</v>
      </c>
      <c r="F933" t="s">
        <v>2162</v>
      </c>
      <c r="G933">
        <v>1</v>
      </c>
      <c r="H933">
        <v>4</v>
      </c>
      <c r="I933" t="s">
        <v>4487</v>
      </c>
      <c r="J933" t="s">
        <v>2162</v>
      </c>
      <c r="K933">
        <v>3662.16</v>
      </c>
      <c r="L933">
        <v>1311.35</v>
      </c>
      <c r="M933">
        <v>8134</v>
      </c>
      <c r="N933" t="s">
        <v>79</v>
      </c>
      <c r="P933" t="s">
        <v>2153</v>
      </c>
      <c r="Q933" t="s">
        <v>2154</v>
      </c>
      <c r="R933" t="s">
        <v>159</v>
      </c>
      <c r="S933">
        <v>116</v>
      </c>
      <c r="T933">
        <v>117</v>
      </c>
      <c r="U933">
        <v>813</v>
      </c>
      <c r="V933" t="s">
        <v>4479</v>
      </c>
      <c r="W933" t="s">
        <v>4488</v>
      </c>
      <c r="X933" t="s">
        <v>79</v>
      </c>
    </row>
    <row r="934" spans="1:24">
      <c r="A934">
        <v>82109</v>
      </c>
      <c r="B934" t="s">
        <v>4489</v>
      </c>
      <c r="C934" t="s">
        <v>10</v>
      </c>
      <c r="D934" t="s">
        <v>10</v>
      </c>
      <c r="G934">
        <v>1300</v>
      </c>
      <c r="H934">
        <v>150000</v>
      </c>
      <c r="I934" t="s">
        <v>4425</v>
      </c>
      <c r="J934" t="s">
        <v>10</v>
      </c>
      <c r="K934">
        <v>265.08</v>
      </c>
      <c r="L934">
        <v>7.01</v>
      </c>
      <c r="M934">
        <v>8910</v>
      </c>
      <c r="N934" t="s">
        <v>79</v>
      </c>
      <c r="O934">
        <v>2</v>
      </c>
      <c r="P934" t="s">
        <v>4490</v>
      </c>
      <c r="Q934" t="s">
        <v>4427</v>
      </c>
      <c r="R934" t="s">
        <v>2199</v>
      </c>
      <c r="S934">
        <v>283</v>
      </c>
      <c r="T934">
        <v>330</v>
      </c>
      <c r="U934">
        <v>821</v>
      </c>
      <c r="V934" t="s">
        <v>4491</v>
      </c>
      <c r="W934" t="s">
        <v>4492</v>
      </c>
      <c r="X934" t="s">
        <v>125</v>
      </c>
    </row>
    <row r="935" spans="1:24">
      <c r="A935">
        <v>82112</v>
      </c>
      <c r="B935" t="s">
        <v>4493</v>
      </c>
      <c r="C935" t="s">
        <v>4494</v>
      </c>
      <c r="F935" t="s">
        <v>4494</v>
      </c>
      <c r="G935">
        <v>50000000</v>
      </c>
      <c r="H935">
        <v>520000000</v>
      </c>
      <c r="I935" t="s">
        <v>4495</v>
      </c>
      <c r="J935" t="s">
        <v>4494</v>
      </c>
      <c r="K935">
        <v>2.3599999999999999E-2</v>
      </c>
      <c r="L935">
        <v>2.8E-3</v>
      </c>
      <c r="M935">
        <v>8211</v>
      </c>
      <c r="N935" t="s">
        <v>79</v>
      </c>
      <c r="O935">
        <v>2</v>
      </c>
      <c r="P935" t="s">
        <v>4490</v>
      </c>
      <c r="Q935" t="s">
        <v>4427</v>
      </c>
      <c r="R935" t="s">
        <v>159</v>
      </c>
      <c r="S935">
        <v>184</v>
      </c>
      <c r="T935">
        <v>185</v>
      </c>
      <c r="U935">
        <v>821</v>
      </c>
      <c r="V935" t="s">
        <v>4491</v>
      </c>
      <c r="W935" t="s">
        <v>4496</v>
      </c>
      <c r="X935" t="s">
        <v>125</v>
      </c>
    </row>
    <row r="936" spans="1:24">
      <c r="A936">
        <v>82122</v>
      </c>
      <c r="B936" t="s">
        <v>4497</v>
      </c>
      <c r="C936" t="s">
        <v>4494</v>
      </c>
      <c r="F936" t="s">
        <v>4494</v>
      </c>
      <c r="G936">
        <v>50000000</v>
      </c>
      <c r="H936">
        <v>520000000</v>
      </c>
      <c r="I936" t="s">
        <v>4495</v>
      </c>
      <c r="J936" t="s">
        <v>4494</v>
      </c>
      <c r="K936">
        <v>2.3599999999999999E-2</v>
      </c>
      <c r="L936">
        <v>2.8E-3</v>
      </c>
      <c r="M936">
        <v>8211</v>
      </c>
      <c r="N936" t="s">
        <v>79</v>
      </c>
      <c r="O936">
        <v>2</v>
      </c>
      <c r="P936" t="s">
        <v>4490</v>
      </c>
      <c r="Q936" t="s">
        <v>4427</v>
      </c>
      <c r="R936" t="s">
        <v>159</v>
      </c>
      <c r="S936">
        <v>5</v>
      </c>
      <c r="T936">
        <v>5</v>
      </c>
      <c r="U936">
        <v>821</v>
      </c>
      <c r="V936" t="s">
        <v>4491</v>
      </c>
      <c r="W936" t="s">
        <v>4498</v>
      </c>
      <c r="X936" t="s">
        <v>125</v>
      </c>
    </row>
    <row r="937" spans="1:24">
      <c r="A937">
        <v>82130</v>
      </c>
      <c r="B937" t="s">
        <v>4499</v>
      </c>
      <c r="C937" t="s">
        <v>4494</v>
      </c>
      <c r="F937" t="s">
        <v>4494</v>
      </c>
      <c r="G937">
        <v>50000000</v>
      </c>
      <c r="H937">
        <v>520000000</v>
      </c>
      <c r="I937" t="s">
        <v>4495</v>
      </c>
      <c r="J937" t="s">
        <v>4494</v>
      </c>
      <c r="K937">
        <v>2.3599999999999999E-2</v>
      </c>
      <c r="L937">
        <v>2.8E-3</v>
      </c>
      <c r="M937">
        <v>8211</v>
      </c>
      <c r="N937" t="s">
        <v>79</v>
      </c>
      <c r="O937">
        <v>2</v>
      </c>
      <c r="P937" t="s">
        <v>4490</v>
      </c>
      <c r="Q937" t="s">
        <v>4427</v>
      </c>
      <c r="R937" t="s">
        <v>159</v>
      </c>
      <c r="S937">
        <v>12</v>
      </c>
      <c r="T937">
        <v>13</v>
      </c>
      <c r="U937">
        <v>821</v>
      </c>
      <c r="V937" t="s">
        <v>4491</v>
      </c>
      <c r="W937" t="s">
        <v>4500</v>
      </c>
      <c r="X937" t="s">
        <v>125</v>
      </c>
    </row>
    <row r="938" spans="1:24">
      <c r="A938">
        <v>82160</v>
      </c>
      <c r="B938" t="s">
        <v>4501</v>
      </c>
      <c r="C938" t="s">
        <v>2176</v>
      </c>
      <c r="F938" t="s">
        <v>2176</v>
      </c>
      <c r="G938">
        <v>7800</v>
      </c>
      <c r="H938">
        <v>430000</v>
      </c>
      <c r="I938" t="s">
        <v>2230</v>
      </c>
      <c r="J938" t="s">
        <v>2176</v>
      </c>
      <c r="K938">
        <v>10.58</v>
      </c>
      <c r="L938">
        <v>2.5099999999999998</v>
      </c>
      <c r="M938">
        <v>1244</v>
      </c>
      <c r="N938" t="s">
        <v>79</v>
      </c>
      <c r="O938">
        <v>2</v>
      </c>
      <c r="P938" t="s">
        <v>4490</v>
      </c>
      <c r="Q938" t="s">
        <v>4427</v>
      </c>
      <c r="R938" t="s">
        <v>159</v>
      </c>
      <c r="S938">
        <v>359</v>
      </c>
      <c r="T938">
        <v>369</v>
      </c>
      <c r="U938">
        <v>821</v>
      </c>
      <c r="V938" t="s">
        <v>4491</v>
      </c>
      <c r="W938" t="s">
        <v>4502</v>
      </c>
      <c r="X938" t="s">
        <v>125</v>
      </c>
    </row>
    <row r="939" spans="1:24">
      <c r="A939">
        <v>82161</v>
      </c>
      <c r="B939" t="s">
        <v>4503</v>
      </c>
      <c r="C939" t="s">
        <v>2176</v>
      </c>
      <c r="F939" t="s">
        <v>2176</v>
      </c>
      <c r="G939">
        <v>7800</v>
      </c>
      <c r="H939">
        <v>430000</v>
      </c>
      <c r="I939" t="s">
        <v>2230</v>
      </c>
      <c r="J939" t="s">
        <v>2176</v>
      </c>
      <c r="K939">
        <v>10.58</v>
      </c>
      <c r="L939">
        <v>2.5099999999999998</v>
      </c>
      <c r="M939">
        <v>1244</v>
      </c>
      <c r="N939" t="s">
        <v>79</v>
      </c>
      <c r="O939">
        <v>2</v>
      </c>
      <c r="P939" t="s">
        <v>4490</v>
      </c>
      <c r="Q939" t="s">
        <v>4427</v>
      </c>
      <c r="R939" t="s">
        <v>159</v>
      </c>
      <c r="S939">
        <v>44</v>
      </c>
      <c r="T939">
        <v>44</v>
      </c>
      <c r="U939">
        <v>821</v>
      </c>
      <c r="V939" t="s">
        <v>4491</v>
      </c>
      <c r="W939" t="s">
        <v>4504</v>
      </c>
      <c r="X939" t="s">
        <v>125</v>
      </c>
    </row>
    <row r="940" spans="1:24">
      <c r="A940">
        <v>82209</v>
      </c>
      <c r="B940" t="s">
        <v>4505</v>
      </c>
      <c r="C940" t="s">
        <v>10</v>
      </c>
      <c r="D940" t="s">
        <v>10</v>
      </c>
      <c r="G940">
        <v>1300</v>
      </c>
      <c r="H940">
        <v>150000</v>
      </c>
      <c r="I940" t="s">
        <v>4425</v>
      </c>
      <c r="J940" t="s">
        <v>10</v>
      </c>
      <c r="K940">
        <v>265.08</v>
      </c>
      <c r="L940">
        <v>7.01</v>
      </c>
      <c r="M940">
        <v>8910</v>
      </c>
      <c r="N940" t="s">
        <v>79</v>
      </c>
      <c r="O940">
        <v>4</v>
      </c>
      <c r="P940" t="s">
        <v>4490</v>
      </c>
      <c r="Q940" t="s">
        <v>4427</v>
      </c>
      <c r="R940" t="s">
        <v>2199</v>
      </c>
      <c r="S940">
        <v>290</v>
      </c>
      <c r="T940">
        <v>297</v>
      </c>
      <c r="U940">
        <v>822</v>
      </c>
      <c r="V940" t="s">
        <v>4506</v>
      </c>
      <c r="W940" t="s">
        <v>4507</v>
      </c>
      <c r="X940" t="s">
        <v>125</v>
      </c>
    </row>
    <row r="941" spans="1:24">
      <c r="A941">
        <v>82210</v>
      </c>
      <c r="B941" t="s">
        <v>4508</v>
      </c>
      <c r="C941" t="s">
        <v>2162</v>
      </c>
      <c r="F941" t="s">
        <v>2162</v>
      </c>
      <c r="G941">
        <v>1</v>
      </c>
      <c r="H941">
        <v>1</v>
      </c>
      <c r="I941" t="s">
        <v>4509</v>
      </c>
      <c r="J941" t="s">
        <v>2162</v>
      </c>
      <c r="K941">
        <v>15600.1</v>
      </c>
      <c r="L941">
        <v>950.51</v>
      </c>
      <c r="M941">
        <v>8924</v>
      </c>
      <c r="N941" t="s">
        <v>79</v>
      </c>
      <c r="O941">
        <v>2</v>
      </c>
      <c r="P941" t="s">
        <v>4490</v>
      </c>
      <c r="Q941" t="s">
        <v>4427</v>
      </c>
      <c r="R941" t="s">
        <v>159</v>
      </c>
      <c r="S941">
        <v>180</v>
      </c>
      <c r="T941">
        <v>180</v>
      </c>
      <c r="U941">
        <v>822</v>
      </c>
      <c r="V941" t="s">
        <v>4506</v>
      </c>
      <c r="W941" t="s">
        <v>4510</v>
      </c>
      <c r="X941" t="s">
        <v>125</v>
      </c>
    </row>
    <row r="942" spans="1:24">
      <c r="A942">
        <v>82212</v>
      </c>
      <c r="B942" t="s">
        <v>4511</v>
      </c>
      <c r="C942" t="s">
        <v>2098</v>
      </c>
      <c r="F942" t="s">
        <v>2098</v>
      </c>
      <c r="G942">
        <v>8400</v>
      </c>
      <c r="H942">
        <v>190000</v>
      </c>
      <c r="I942" t="s">
        <v>4512</v>
      </c>
      <c r="J942" t="s">
        <v>2098</v>
      </c>
      <c r="K942">
        <v>1087.74</v>
      </c>
      <c r="L942">
        <v>4.03</v>
      </c>
      <c r="M942">
        <v>8221</v>
      </c>
      <c r="N942" t="s">
        <v>79</v>
      </c>
      <c r="O942">
        <v>4</v>
      </c>
      <c r="P942" t="s">
        <v>4490</v>
      </c>
      <c r="Q942" t="s">
        <v>4427</v>
      </c>
      <c r="R942" t="s">
        <v>2102</v>
      </c>
      <c r="S942">
        <v>271</v>
      </c>
      <c r="T942">
        <v>276</v>
      </c>
      <c r="U942">
        <v>822</v>
      </c>
      <c r="V942" t="s">
        <v>4506</v>
      </c>
      <c r="W942" t="s">
        <v>4513</v>
      </c>
      <c r="X942" t="s">
        <v>125</v>
      </c>
    </row>
    <row r="943" spans="1:24">
      <c r="A943">
        <v>82214</v>
      </c>
      <c r="B943" t="s">
        <v>4514</v>
      </c>
      <c r="C943" t="s">
        <v>2098</v>
      </c>
      <c r="F943" t="s">
        <v>2098</v>
      </c>
      <c r="G943">
        <v>8400</v>
      </c>
      <c r="H943">
        <v>190000</v>
      </c>
      <c r="I943" t="s">
        <v>4512</v>
      </c>
      <c r="J943" t="s">
        <v>2098</v>
      </c>
      <c r="K943">
        <v>1087.74</v>
      </c>
      <c r="L943">
        <v>4.03</v>
      </c>
      <c r="M943">
        <v>8221</v>
      </c>
      <c r="N943" t="s">
        <v>79</v>
      </c>
      <c r="O943">
        <v>4</v>
      </c>
      <c r="P943" t="s">
        <v>4490</v>
      </c>
      <c r="Q943" t="s">
        <v>4427</v>
      </c>
      <c r="R943" t="s">
        <v>2102</v>
      </c>
      <c r="S943">
        <v>176</v>
      </c>
      <c r="T943">
        <v>184</v>
      </c>
      <c r="U943">
        <v>822</v>
      </c>
      <c r="V943" t="s">
        <v>4506</v>
      </c>
      <c r="W943" t="s">
        <v>4515</v>
      </c>
      <c r="X943" t="s">
        <v>125</v>
      </c>
    </row>
    <row r="944" spans="1:24">
      <c r="A944">
        <v>82216</v>
      </c>
      <c r="B944" t="s">
        <v>4516</v>
      </c>
      <c r="C944" t="s">
        <v>2098</v>
      </c>
      <c r="F944" t="s">
        <v>2098</v>
      </c>
      <c r="G944">
        <v>8400</v>
      </c>
      <c r="H944">
        <v>190000</v>
      </c>
      <c r="I944" t="s">
        <v>4512</v>
      </c>
      <c r="J944" t="s">
        <v>2098</v>
      </c>
      <c r="K944">
        <v>1087.74</v>
      </c>
      <c r="L944">
        <v>4.03</v>
      </c>
      <c r="M944">
        <v>8221</v>
      </c>
      <c r="N944" t="s">
        <v>79</v>
      </c>
      <c r="O944">
        <v>4</v>
      </c>
      <c r="P944" t="s">
        <v>4490</v>
      </c>
      <c r="Q944" t="s">
        <v>4427</v>
      </c>
      <c r="R944" t="s">
        <v>2102</v>
      </c>
      <c r="S944">
        <v>43</v>
      </c>
      <c r="T944">
        <v>43</v>
      </c>
      <c r="U944">
        <v>822</v>
      </c>
      <c r="V944" t="s">
        <v>4506</v>
      </c>
      <c r="W944" t="s">
        <v>4517</v>
      </c>
      <c r="X944" t="s">
        <v>125</v>
      </c>
    </row>
    <row r="945" spans="1:24">
      <c r="A945">
        <v>82226</v>
      </c>
      <c r="B945" t="s">
        <v>4518</v>
      </c>
      <c r="C945" t="s">
        <v>2098</v>
      </c>
      <c r="F945" t="s">
        <v>2098</v>
      </c>
      <c r="G945">
        <v>8400</v>
      </c>
      <c r="H945">
        <v>190000</v>
      </c>
      <c r="I945" t="s">
        <v>4512</v>
      </c>
      <c r="J945" t="s">
        <v>2098</v>
      </c>
      <c r="K945">
        <v>1087.74</v>
      </c>
      <c r="L945">
        <v>4.03</v>
      </c>
      <c r="M945">
        <v>8221</v>
      </c>
      <c r="N945" t="s">
        <v>79</v>
      </c>
      <c r="O945">
        <v>4</v>
      </c>
      <c r="P945" t="s">
        <v>4490</v>
      </c>
      <c r="Q945" t="s">
        <v>4427</v>
      </c>
      <c r="R945" t="s">
        <v>2102</v>
      </c>
      <c r="S945">
        <v>21</v>
      </c>
      <c r="T945">
        <v>25</v>
      </c>
      <c r="U945">
        <v>822</v>
      </c>
      <c r="V945" t="s">
        <v>4506</v>
      </c>
      <c r="W945" t="s">
        <v>4519</v>
      </c>
      <c r="X945" t="s">
        <v>125</v>
      </c>
    </row>
    <row r="946" spans="1:24">
      <c r="A946">
        <v>82309</v>
      </c>
      <c r="B946" t="s">
        <v>4520</v>
      </c>
      <c r="C946" t="s">
        <v>10</v>
      </c>
      <c r="D946" t="s">
        <v>10</v>
      </c>
      <c r="G946">
        <v>1300</v>
      </c>
      <c r="H946">
        <v>150000</v>
      </c>
      <c r="I946" t="s">
        <v>4425</v>
      </c>
      <c r="J946" t="s">
        <v>10</v>
      </c>
      <c r="K946">
        <v>265.08</v>
      </c>
      <c r="L946">
        <v>7.01</v>
      </c>
      <c r="M946">
        <v>8910</v>
      </c>
      <c r="N946" t="s">
        <v>79</v>
      </c>
      <c r="O946">
        <v>2</v>
      </c>
      <c r="P946" t="s">
        <v>4521</v>
      </c>
      <c r="Q946" t="s">
        <v>4427</v>
      </c>
      <c r="R946" t="s">
        <v>2199</v>
      </c>
      <c r="S946">
        <v>2</v>
      </c>
      <c r="T946">
        <v>2</v>
      </c>
      <c r="U946">
        <v>823</v>
      </c>
      <c r="V946" t="s">
        <v>4522</v>
      </c>
      <c r="W946" t="s">
        <v>4523</v>
      </c>
      <c r="X946" t="s">
        <v>125</v>
      </c>
    </row>
    <row r="947" spans="1:24">
      <c r="A947">
        <v>82310</v>
      </c>
      <c r="B947" t="s">
        <v>4524</v>
      </c>
      <c r="C947" t="s">
        <v>4494</v>
      </c>
      <c r="E947" t="s">
        <v>4525</v>
      </c>
      <c r="F947" t="s">
        <v>4494</v>
      </c>
      <c r="G947">
        <v>62000000</v>
      </c>
      <c r="H947">
        <v>150000000</v>
      </c>
      <c r="I947" t="s">
        <v>4526</v>
      </c>
      <c r="J947" t="s">
        <v>4494</v>
      </c>
      <c r="K947">
        <v>8.2000000000000007E-3</v>
      </c>
      <c r="L947">
        <v>8.0000000000000007E-5</v>
      </c>
      <c r="M947">
        <v>8231</v>
      </c>
      <c r="N947" t="s">
        <v>79</v>
      </c>
      <c r="O947">
        <v>2</v>
      </c>
      <c r="P947" t="s">
        <v>4521</v>
      </c>
      <c r="Q947" t="s">
        <v>4427</v>
      </c>
      <c r="R947" t="s">
        <v>159</v>
      </c>
      <c r="S947">
        <v>2</v>
      </c>
      <c r="T947">
        <v>2</v>
      </c>
      <c r="U947">
        <v>823</v>
      </c>
      <c r="V947" t="s">
        <v>4522</v>
      </c>
      <c r="W947" t="s">
        <v>4527</v>
      </c>
      <c r="X947" t="s">
        <v>125</v>
      </c>
    </row>
    <row r="948" spans="1:24">
      <c r="A948">
        <v>82315</v>
      </c>
      <c r="B948" t="s">
        <v>4528</v>
      </c>
      <c r="C948" t="s">
        <v>10</v>
      </c>
      <c r="D948" t="s">
        <v>10</v>
      </c>
      <c r="G948">
        <v>1300</v>
      </c>
      <c r="H948">
        <v>150000</v>
      </c>
      <c r="I948" t="s">
        <v>4425</v>
      </c>
      <c r="J948" t="s">
        <v>10</v>
      </c>
      <c r="K948">
        <v>265.08</v>
      </c>
      <c r="L948">
        <v>7.01</v>
      </c>
      <c r="M948">
        <v>8910</v>
      </c>
      <c r="N948" t="s">
        <v>79</v>
      </c>
      <c r="O948">
        <v>2</v>
      </c>
      <c r="P948" t="s">
        <v>4521</v>
      </c>
      <c r="Q948" t="s">
        <v>4427</v>
      </c>
      <c r="R948" t="s">
        <v>2199</v>
      </c>
      <c r="S948">
        <v>24</v>
      </c>
      <c r="T948">
        <v>24</v>
      </c>
      <c r="U948">
        <v>823</v>
      </c>
      <c r="V948" t="s">
        <v>4522</v>
      </c>
      <c r="W948" t="s">
        <v>4529</v>
      </c>
      <c r="X948" t="s">
        <v>125</v>
      </c>
    </row>
    <row r="949" spans="1:24">
      <c r="A949">
        <v>82320</v>
      </c>
      <c r="B949" t="s">
        <v>4530</v>
      </c>
      <c r="C949" t="s">
        <v>4229</v>
      </c>
      <c r="E949" t="s">
        <v>4229</v>
      </c>
      <c r="F949" t="s">
        <v>2162</v>
      </c>
      <c r="G949">
        <v>1</v>
      </c>
      <c r="H949">
        <v>1</v>
      </c>
      <c r="I949" t="s">
        <v>4531</v>
      </c>
      <c r="J949" t="s">
        <v>2162</v>
      </c>
      <c r="K949">
        <v>139766.69</v>
      </c>
      <c r="L949">
        <v>556.47</v>
      </c>
      <c r="M949">
        <v>8232</v>
      </c>
      <c r="N949" t="s">
        <v>79</v>
      </c>
      <c r="O949">
        <v>2</v>
      </c>
      <c r="P949" t="s">
        <v>4521</v>
      </c>
      <c r="Q949" t="s">
        <v>4427</v>
      </c>
      <c r="R949" t="s">
        <v>159</v>
      </c>
      <c r="S949">
        <v>131</v>
      </c>
      <c r="T949">
        <v>131</v>
      </c>
      <c r="U949">
        <v>823</v>
      </c>
      <c r="V949" t="s">
        <v>4522</v>
      </c>
      <c r="W949" t="s">
        <v>4532</v>
      </c>
      <c r="X949" t="s">
        <v>125</v>
      </c>
    </row>
    <row r="950" spans="1:24">
      <c r="A950">
        <v>82410</v>
      </c>
      <c r="B950" t="s">
        <v>4533</v>
      </c>
      <c r="C950" t="s">
        <v>2098</v>
      </c>
      <c r="F950" t="s">
        <v>2098</v>
      </c>
      <c r="G950">
        <v>3700</v>
      </c>
      <c r="H950">
        <v>320000</v>
      </c>
      <c r="I950" t="s">
        <v>4534</v>
      </c>
      <c r="J950" t="s">
        <v>2098</v>
      </c>
      <c r="K950">
        <v>78.28</v>
      </c>
      <c r="L950">
        <v>0.51</v>
      </c>
      <c r="M950">
        <v>8241</v>
      </c>
      <c r="N950" t="s">
        <v>79</v>
      </c>
      <c r="O950">
        <v>4</v>
      </c>
      <c r="P950" t="s">
        <v>4521</v>
      </c>
      <c r="Q950" t="s">
        <v>4427</v>
      </c>
      <c r="R950" t="s">
        <v>2102</v>
      </c>
      <c r="S950">
        <v>530</v>
      </c>
      <c r="T950">
        <v>531</v>
      </c>
      <c r="U950">
        <v>824</v>
      </c>
      <c r="V950" t="s">
        <v>4535</v>
      </c>
      <c r="W950" t="s">
        <v>4536</v>
      </c>
      <c r="X950" t="s">
        <v>125</v>
      </c>
    </row>
    <row r="951" spans="1:24">
      <c r="A951">
        <v>82610</v>
      </c>
      <c r="B951" t="s">
        <v>4537</v>
      </c>
      <c r="C951" t="s">
        <v>10</v>
      </c>
      <c r="D951" t="s">
        <v>10</v>
      </c>
      <c r="F951" t="s">
        <v>3245</v>
      </c>
      <c r="G951">
        <v>1300</v>
      </c>
      <c r="H951">
        <v>150000</v>
      </c>
      <c r="I951" t="s">
        <v>4425</v>
      </c>
      <c r="J951" t="s">
        <v>10</v>
      </c>
      <c r="K951">
        <v>265.08</v>
      </c>
      <c r="L951">
        <v>7.01</v>
      </c>
      <c r="M951">
        <v>8910</v>
      </c>
      <c r="N951" t="s">
        <v>79</v>
      </c>
      <c r="O951">
        <v>3</v>
      </c>
      <c r="P951" t="s">
        <v>4538</v>
      </c>
      <c r="Q951" t="s">
        <v>4427</v>
      </c>
      <c r="R951" t="s">
        <v>2199</v>
      </c>
      <c r="S951">
        <v>97</v>
      </c>
      <c r="T951">
        <v>107</v>
      </c>
      <c r="U951">
        <v>826</v>
      </c>
      <c r="V951" t="s">
        <v>4539</v>
      </c>
      <c r="W951" t="s">
        <v>4540</v>
      </c>
      <c r="X951" t="s">
        <v>125</v>
      </c>
    </row>
    <row r="952" spans="1:24">
      <c r="A952">
        <v>82620</v>
      </c>
      <c r="B952" t="s">
        <v>4541</v>
      </c>
      <c r="C952" t="s">
        <v>4542</v>
      </c>
      <c r="F952" t="s">
        <v>4542</v>
      </c>
      <c r="G952">
        <v>260</v>
      </c>
      <c r="H952">
        <v>4600</v>
      </c>
      <c r="I952" t="s">
        <v>4543</v>
      </c>
      <c r="J952" t="s">
        <v>4542</v>
      </c>
      <c r="K952">
        <v>7224.7</v>
      </c>
      <c r="L952">
        <v>77.34</v>
      </c>
      <c r="M952">
        <v>8261</v>
      </c>
      <c r="N952" t="s">
        <v>79</v>
      </c>
      <c r="O952">
        <v>3</v>
      </c>
      <c r="P952" t="s">
        <v>4538</v>
      </c>
      <c r="Q952" t="s">
        <v>4427</v>
      </c>
      <c r="R952" t="s">
        <v>159</v>
      </c>
      <c r="S952">
        <v>161</v>
      </c>
      <c r="T952">
        <v>169</v>
      </c>
      <c r="U952">
        <v>826</v>
      </c>
      <c r="V952" t="s">
        <v>4539</v>
      </c>
      <c r="W952" t="s">
        <v>4544</v>
      </c>
      <c r="X952" t="s">
        <v>125</v>
      </c>
    </row>
    <row r="953" spans="1:24">
      <c r="A953">
        <v>82710</v>
      </c>
      <c r="B953" t="s">
        <v>4545</v>
      </c>
      <c r="C953" t="s">
        <v>10</v>
      </c>
      <c r="D953" t="s">
        <v>10</v>
      </c>
      <c r="G953">
        <v>1300</v>
      </c>
      <c r="H953">
        <v>150000</v>
      </c>
      <c r="I953" t="s">
        <v>4425</v>
      </c>
      <c r="J953" t="s">
        <v>10</v>
      </c>
      <c r="K953">
        <v>265.08</v>
      </c>
      <c r="L953">
        <v>7.01</v>
      </c>
      <c r="M953">
        <v>8910</v>
      </c>
      <c r="N953" t="s">
        <v>79</v>
      </c>
      <c r="O953">
        <v>2</v>
      </c>
      <c r="P953" t="s">
        <v>4538</v>
      </c>
      <c r="Q953" t="s">
        <v>4427</v>
      </c>
      <c r="R953" t="s">
        <v>2199</v>
      </c>
      <c r="S953">
        <v>45</v>
      </c>
      <c r="T953">
        <v>46</v>
      </c>
      <c r="U953">
        <v>827</v>
      </c>
      <c r="V953" t="s">
        <v>4546</v>
      </c>
      <c r="W953" t="s">
        <v>4547</v>
      </c>
      <c r="X953" t="s">
        <v>125</v>
      </c>
    </row>
    <row r="954" spans="1:24">
      <c r="A954">
        <v>82720</v>
      </c>
      <c r="B954" t="s">
        <v>4548</v>
      </c>
      <c r="C954" t="s">
        <v>2098</v>
      </c>
      <c r="F954" t="s">
        <v>2098</v>
      </c>
      <c r="G954">
        <v>1700</v>
      </c>
      <c r="H954">
        <v>18000</v>
      </c>
      <c r="I954" t="s">
        <v>4549</v>
      </c>
      <c r="J954" t="s">
        <v>2098</v>
      </c>
      <c r="K954">
        <v>168.66</v>
      </c>
      <c r="L954">
        <v>3.56</v>
      </c>
      <c r="M954">
        <v>8271</v>
      </c>
      <c r="N954" t="s">
        <v>79</v>
      </c>
      <c r="O954">
        <v>2</v>
      </c>
      <c r="P954" t="s">
        <v>4538</v>
      </c>
      <c r="Q954" t="s">
        <v>4427</v>
      </c>
      <c r="R954" t="s">
        <v>2102</v>
      </c>
      <c r="S954">
        <v>89</v>
      </c>
      <c r="T954">
        <v>90</v>
      </c>
      <c r="U954">
        <v>827</v>
      </c>
      <c r="V954" t="s">
        <v>4546</v>
      </c>
      <c r="W954" t="s">
        <v>4550</v>
      </c>
      <c r="X954" t="s">
        <v>125</v>
      </c>
    </row>
    <row r="955" spans="1:24">
      <c r="A955">
        <v>83109</v>
      </c>
      <c r="B955" t="s">
        <v>4551</v>
      </c>
      <c r="C955" t="s">
        <v>10</v>
      </c>
      <c r="D955" t="s">
        <v>10</v>
      </c>
      <c r="G955">
        <v>1300</v>
      </c>
      <c r="H955">
        <v>150000</v>
      </c>
      <c r="I955" t="s">
        <v>4425</v>
      </c>
      <c r="J955" t="s">
        <v>10</v>
      </c>
      <c r="K955">
        <v>265.08</v>
      </c>
      <c r="L955">
        <v>7.01</v>
      </c>
      <c r="M955">
        <v>8910</v>
      </c>
      <c r="N955" t="s">
        <v>79</v>
      </c>
      <c r="O955">
        <v>2</v>
      </c>
      <c r="P955" t="s">
        <v>4552</v>
      </c>
      <c r="Q955" t="s">
        <v>4427</v>
      </c>
      <c r="R955" t="s">
        <v>2199</v>
      </c>
      <c r="S955">
        <v>238</v>
      </c>
      <c r="T955">
        <v>243</v>
      </c>
      <c r="U955">
        <v>831</v>
      </c>
      <c r="V955" t="s">
        <v>4553</v>
      </c>
      <c r="W955" t="s">
        <v>4554</v>
      </c>
      <c r="X955" t="s">
        <v>125</v>
      </c>
    </row>
    <row r="956" spans="1:24">
      <c r="A956">
        <v>83110</v>
      </c>
      <c r="B956" t="s">
        <v>4555</v>
      </c>
      <c r="C956" t="s">
        <v>4556</v>
      </c>
      <c r="F956" t="s">
        <v>4556</v>
      </c>
      <c r="G956">
        <v>860</v>
      </c>
      <c r="H956">
        <v>15000</v>
      </c>
      <c r="I956" t="s">
        <v>4557</v>
      </c>
      <c r="J956" t="s">
        <v>4556</v>
      </c>
      <c r="K956">
        <v>10938.24</v>
      </c>
      <c r="L956">
        <v>186.27</v>
      </c>
      <c r="M956">
        <v>8311</v>
      </c>
      <c r="N956" t="s">
        <v>79</v>
      </c>
      <c r="O956">
        <v>2</v>
      </c>
      <c r="P956" t="s">
        <v>4552</v>
      </c>
      <c r="Q956" t="s">
        <v>4427</v>
      </c>
      <c r="R956" t="s">
        <v>159</v>
      </c>
      <c r="S956">
        <v>123</v>
      </c>
      <c r="T956">
        <v>124</v>
      </c>
      <c r="U956">
        <v>831</v>
      </c>
      <c r="V956" t="s">
        <v>4553</v>
      </c>
      <c r="W956" t="s">
        <v>4558</v>
      </c>
      <c r="X956" t="s">
        <v>125</v>
      </c>
    </row>
    <row r="957" spans="1:24">
      <c r="A957">
        <v>83111</v>
      </c>
      <c r="B957" t="s">
        <v>4559</v>
      </c>
      <c r="C957" t="s">
        <v>4556</v>
      </c>
      <c r="F957" t="s">
        <v>4556</v>
      </c>
      <c r="G957">
        <v>220</v>
      </c>
      <c r="H957">
        <v>10400</v>
      </c>
      <c r="I957" t="s">
        <v>4560</v>
      </c>
      <c r="J957" t="s">
        <v>4556</v>
      </c>
      <c r="K957">
        <v>57.44</v>
      </c>
      <c r="L957">
        <v>3.97</v>
      </c>
      <c r="M957">
        <v>8313</v>
      </c>
      <c r="N957" t="s">
        <v>79</v>
      </c>
      <c r="O957">
        <v>3</v>
      </c>
      <c r="P957" t="s">
        <v>4552</v>
      </c>
      <c r="Q957" t="s">
        <v>4427</v>
      </c>
      <c r="R957" t="s">
        <v>159</v>
      </c>
      <c r="S957">
        <v>4</v>
      </c>
      <c r="T957">
        <v>4</v>
      </c>
      <c r="U957">
        <v>831</v>
      </c>
      <c r="V957" t="s">
        <v>4553</v>
      </c>
      <c r="W957" t="s">
        <v>4561</v>
      </c>
      <c r="X957" t="s">
        <v>125</v>
      </c>
    </row>
    <row r="958" spans="1:24">
      <c r="A958">
        <v>83114</v>
      </c>
      <c r="B958" t="s">
        <v>4562</v>
      </c>
      <c r="C958" t="s">
        <v>10</v>
      </c>
      <c r="D958" t="s">
        <v>10</v>
      </c>
      <c r="G958">
        <v>1300</v>
      </c>
      <c r="H958">
        <v>150000</v>
      </c>
      <c r="I958" t="s">
        <v>4425</v>
      </c>
      <c r="J958" t="s">
        <v>10</v>
      </c>
      <c r="K958">
        <v>265.08</v>
      </c>
      <c r="L958">
        <v>7.01</v>
      </c>
      <c r="M958">
        <v>8910</v>
      </c>
      <c r="N958" t="s">
        <v>79</v>
      </c>
      <c r="O958">
        <v>3</v>
      </c>
      <c r="P958" t="s">
        <v>4552</v>
      </c>
      <c r="Q958" t="s">
        <v>4427</v>
      </c>
      <c r="R958" t="s">
        <v>2199</v>
      </c>
      <c r="S958">
        <v>92</v>
      </c>
      <c r="T958">
        <v>94</v>
      </c>
      <c r="U958">
        <v>831</v>
      </c>
      <c r="V958" t="s">
        <v>4553</v>
      </c>
      <c r="W958" t="s">
        <v>4563</v>
      </c>
      <c r="X958" t="s">
        <v>125</v>
      </c>
    </row>
    <row r="959" spans="1:24">
      <c r="A959">
        <v>83115</v>
      </c>
      <c r="B959" t="s">
        <v>4564</v>
      </c>
      <c r="C959" t="s">
        <v>4556</v>
      </c>
      <c r="F959" t="s">
        <v>4556</v>
      </c>
      <c r="G959">
        <v>300</v>
      </c>
      <c r="H959">
        <v>3000</v>
      </c>
      <c r="I959" t="s">
        <v>4565</v>
      </c>
      <c r="J959" t="s">
        <v>4556</v>
      </c>
      <c r="K959">
        <v>16087.68</v>
      </c>
      <c r="L959">
        <v>184.03</v>
      </c>
      <c r="M959">
        <v>8312</v>
      </c>
      <c r="N959" t="s">
        <v>79</v>
      </c>
      <c r="O959">
        <v>3</v>
      </c>
      <c r="P959" t="s">
        <v>4552</v>
      </c>
      <c r="Q959" t="s">
        <v>4427</v>
      </c>
      <c r="R959" t="s">
        <v>159</v>
      </c>
      <c r="S959">
        <v>49</v>
      </c>
      <c r="T959">
        <v>50</v>
      </c>
      <c r="U959">
        <v>831</v>
      </c>
      <c r="V959" t="s">
        <v>4553</v>
      </c>
      <c r="W959" t="s">
        <v>4566</v>
      </c>
      <c r="X959" t="s">
        <v>125</v>
      </c>
    </row>
    <row r="960" spans="1:24">
      <c r="A960">
        <v>83116</v>
      </c>
      <c r="B960" t="s">
        <v>4567</v>
      </c>
      <c r="C960" t="s">
        <v>4556</v>
      </c>
      <c r="E960" t="s">
        <v>4556</v>
      </c>
      <c r="G960">
        <v>220</v>
      </c>
      <c r="H960">
        <v>10400</v>
      </c>
      <c r="I960" t="s">
        <v>4560</v>
      </c>
      <c r="J960" t="s">
        <v>4556</v>
      </c>
      <c r="K960">
        <v>57.44</v>
      </c>
      <c r="L960">
        <v>3.97</v>
      </c>
      <c r="M960">
        <v>8313</v>
      </c>
      <c r="N960" t="s">
        <v>79</v>
      </c>
      <c r="O960">
        <v>3</v>
      </c>
      <c r="P960" t="s">
        <v>4552</v>
      </c>
      <c r="Q960" t="s">
        <v>4427</v>
      </c>
      <c r="R960" t="s">
        <v>159</v>
      </c>
      <c r="S960">
        <v>178</v>
      </c>
      <c r="T960">
        <v>178</v>
      </c>
      <c r="U960">
        <v>831</v>
      </c>
      <c r="V960" t="s">
        <v>4553</v>
      </c>
      <c r="W960" t="s">
        <v>4568</v>
      </c>
      <c r="X960" t="s">
        <v>125</v>
      </c>
    </row>
    <row r="961" spans="1:24">
      <c r="A961">
        <v>83120</v>
      </c>
      <c r="B961" t="s">
        <v>4569</v>
      </c>
      <c r="C961" t="s">
        <v>4556</v>
      </c>
      <c r="E961" t="s">
        <v>2098</v>
      </c>
      <c r="F961" t="s">
        <v>4556</v>
      </c>
      <c r="G961">
        <v>4000</v>
      </c>
      <c r="H961">
        <v>500000</v>
      </c>
      <c r="I961" t="s">
        <v>4570</v>
      </c>
      <c r="J961" t="s">
        <v>2098</v>
      </c>
      <c r="K961">
        <v>176.9</v>
      </c>
      <c r="L961">
        <v>1.1200000000000001</v>
      </c>
      <c r="M961">
        <v>8321</v>
      </c>
      <c r="N961" t="s">
        <v>79</v>
      </c>
      <c r="O961">
        <v>3</v>
      </c>
      <c r="P961" t="s">
        <v>4552</v>
      </c>
      <c r="Q961" t="s">
        <v>4427</v>
      </c>
      <c r="R961" t="s">
        <v>2102</v>
      </c>
      <c r="S961">
        <v>66</v>
      </c>
      <c r="T961">
        <v>66</v>
      </c>
      <c r="U961">
        <v>831</v>
      </c>
      <c r="V961" t="s">
        <v>4553</v>
      </c>
      <c r="W961" t="s">
        <v>4571</v>
      </c>
      <c r="X961" t="s">
        <v>125</v>
      </c>
    </row>
    <row r="962" spans="1:24">
      <c r="A962">
        <v>83130</v>
      </c>
      <c r="B962" t="s">
        <v>4572</v>
      </c>
      <c r="C962" t="s">
        <v>2176</v>
      </c>
      <c r="E962" t="s">
        <v>2176</v>
      </c>
      <c r="G962">
        <v>19000</v>
      </c>
      <c r="H962">
        <v>750000</v>
      </c>
      <c r="I962" t="s">
        <v>4572</v>
      </c>
      <c r="J962" t="s">
        <v>2176</v>
      </c>
      <c r="K962">
        <v>7.03</v>
      </c>
      <c r="L962">
        <v>0.13</v>
      </c>
      <c r="M962">
        <v>8314</v>
      </c>
      <c r="N962" t="s">
        <v>79</v>
      </c>
      <c r="O962">
        <v>3</v>
      </c>
      <c r="P962" t="s">
        <v>2205</v>
      </c>
      <c r="Q962" t="s">
        <v>2206</v>
      </c>
      <c r="R962" t="s">
        <v>159</v>
      </c>
      <c r="S962">
        <v>495</v>
      </c>
      <c r="T962">
        <v>495</v>
      </c>
      <c r="U962">
        <v>831</v>
      </c>
      <c r="V962" t="s">
        <v>4553</v>
      </c>
      <c r="W962" t="s">
        <v>4573</v>
      </c>
      <c r="X962" t="s">
        <v>79</v>
      </c>
    </row>
    <row r="963" spans="1:24">
      <c r="A963">
        <v>83131</v>
      </c>
      <c r="B963" t="s">
        <v>4574</v>
      </c>
      <c r="C963" t="s">
        <v>4556</v>
      </c>
      <c r="E963" t="s">
        <v>4556</v>
      </c>
      <c r="F963" t="s">
        <v>2176</v>
      </c>
      <c r="G963">
        <v>540000</v>
      </c>
      <c r="H963">
        <v>1300000</v>
      </c>
      <c r="I963" t="s">
        <v>4575</v>
      </c>
      <c r="J963" t="s">
        <v>2176</v>
      </c>
      <c r="K963">
        <v>0.53</v>
      </c>
      <c r="L963">
        <v>4.1000000000000003E-3</v>
      </c>
      <c r="M963">
        <v>8315</v>
      </c>
      <c r="N963" t="s">
        <v>79</v>
      </c>
      <c r="O963">
        <v>4</v>
      </c>
      <c r="P963" t="s">
        <v>4552</v>
      </c>
      <c r="Q963" t="s">
        <v>4427</v>
      </c>
      <c r="R963" t="s">
        <v>159</v>
      </c>
      <c r="S963">
        <v>29</v>
      </c>
      <c r="T963">
        <v>29</v>
      </c>
      <c r="U963">
        <v>831</v>
      </c>
      <c r="V963" t="s">
        <v>4553</v>
      </c>
      <c r="W963" t="s">
        <v>4576</v>
      </c>
      <c r="X963" t="s">
        <v>125</v>
      </c>
    </row>
    <row r="964" spans="1:24">
      <c r="A964">
        <v>83139</v>
      </c>
      <c r="B964" t="s">
        <v>4577</v>
      </c>
      <c r="C964" t="s">
        <v>10</v>
      </c>
      <c r="D964" t="s">
        <v>10</v>
      </c>
      <c r="G964">
        <v>1300</v>
      </c>
      <c r="H964">
        <v>150000</v>
      </c>
      <c r="I964" t="s">
        <v>4425</v>
      </c>
      <c r="J964" t="s">
        <v>10</v>
      </c>
      <c r="K964">
        <v>265.08</v>
      </c>
      <c r="L964">
        <v>7.01</v>
      </c>
      <c r="M964">
        <v>8910</v>
      </c>
      <c r="N964" t="s">
        <v>79</v>
      </c>
      <c r="O964">
        <v>3</v>
      </c>
      <c r="P964" t="s">
        <v>4178</v>
      </c>
      <c r="Q964" t="s">
        <v>2206</v>
      </c>
      <c r="R964" t="s">
        <v>2199</v>
      </c>
      <c r="S964">
        <v>8</v>
      </c>
      <c r="T964">
        <v>9</v>
      </c>
      <c r="U964">
        <v>831</v>
      </c>
      <c r="V964" t="s">
        <v>4553</v>
      </c>
      <c r="W964" t="s">
        <v>4578</v>
      </c>
      <c r="X964" t="s">
        <v>79</v>
      </c>
    </row>
    <row r="965" spans="1:24">
      <c r="A965">
        <v>83140</v>
      </c>
      <c r="B965" t="s">
        <v>4579</v>
      </c>
      <c r="C965" t="s">
        <v>2162</v>
      </c>
      <c r="F965" t="s">
        <v>2162</v>
      </c>
      <c r="G965">
        <v>1</v>
      </c>
      <c r="H965">
        <v>1</v>
      </c>
      <c r="I965" t="s">
        <v>4580</v>
      </c>
      <c r="J965" t="s">
        <v>2162</v>
      </c>
      <c r="K965">
        <v>2426698.8199999998</v>
      </c>
      <c r="L965">
        <v>5108.05</v>
      </c>
      <c r="M965">
        <v>8926</v>
      </c>
      <c r="N965" t="s">
        <v>79</v>
      </c>
      <c r="O965">
        <v>3</v>
      </c>
      <c r="P965" t="s">
        <v>4178</v>
      </c>
      <c r="Q965" t="s">
        <v>2206</v>
      </c>
      <c r="R965" t="s">
        <v>159</v>
      </c>
      <c r="S965">
        <v>0</v>
      </c>
      <c r="T965">
        <v>0</v>
      </c>
      <c r="U965">
        <v>831</v>
      </c>
      <c r="V965" t="s">
        <v>4553</v>
      </c>
      <c r="W965" t="s">
        <v>4581</v>
      </c>
      <c r="X965" t="s">
        <v>79</v>
      </c>
    </row>
    <row r="966" spans="1:24">
      <c r="A966">
        <v>83141</v>
      </c>
      <c r="B966" t="s">
        <v>4582</v>
      </c>
      <c r="C966" t="s">
        <v>10</v>
      </c>
      <c r="D966" t="s">
        <v>10</v>
      </c>
      <c r="E966" t="s">
        <v>2162</v>
      </c>
      <c r="G966">
        <v>1</v>
      </c>
      <c r="H966">
        <v>1</v>
      </c>
      <c r="I966" t="s">
        <v>4580</v>
      </c>
      <c r="J966" t="s">
        <v>2162</v>
      </c>
      <c r="K966">
        <v>2426698.8199999998</v>
      </c>
      <c r="L966">
        <v>5108.05</v>
      </c>
      <c r="M966">
        <v>8926</v>
      </c>
      <c r="N966" t="s">
        <v>79</v>
      </c>
      <c r="O966">
        <v>2</v>
      </c>
      <c r="P966" t="s">
        <v>4178</v>
      </c>
      <c r="Q966" t="s">
        <v>2206</v>
      </c>
      <c r="R966" t="s">
        <v>159</v>
      </c>
      <c r="S966">
        <v>469</v>
      </c>
      <c r="T966">
        <v>483</v>
      </c>
      <c r="U966">
        <v>831</v>
      </c>
      <c r="V966" t="s">
        <v>4553</v>
      </c>
      <c r="W966" t="s">
        <v>4583</v>
      </c>
      <c r="X966" t="s">
        <v>79</v>
      </c>
    </row>
    <row r="967" spans="1:24">
      <c r="A967">
        <v>83142</v>
      </c>
      <c r="B967" t="s">
        <v>4584</v>
      </c>
      <c r="C967" t="s">
        <v>2097</v>
      </c>
      <c r="D967" t="s">
        <v>2097</v>
      </c>
      <c r="E967" t="s">
        <v>2162</v>
      </c>
      <c r="G967">
        <v>530</v>
      </c>
      <c r="H967">
        <v>160000</v>
      </c>
      <c r="I967" t="s">
        <v>2583</v>
      </c>
      <c r="J967" t="s">
        <v>2097</v>
      </c>
      <c r="K967">
        <v>76.33</v>
      </c>
      <c r="L967">
        <v>1.8</v>
      </c>
      <c r="M967">
        <v>8526</v>
      </c>
      <c r="N967" t="s">
        <v>79</v>
      </c>
      <c r="O967">
        <v>2</v>
      </c>
      <c r="P967" t="s">
        <v>4178</v>
      </c>
      <c r="Q967" t="s">
        <v>2206</v>
      </c>
      <c r="R967" t="s">
        <v>2102</v>
      </c>
      <c r="S967">
        <v>171</v>
      </c>
      <c r="T967">
        <v>175</v>
      </c>
      <c r="U967">
        <v>831</v>
      </c>
      <c r="V967" t="s">
        <v>4553</v>
      </c>
      <c r="W967" t="s">
        <v>4585</v>
      </c>
      <c r="X967" t="s">
        <v>79</v>
      </c>
    </row>
    <row r="968" spans="1:24">
      <c r="A968">
        <v>83143</v>
      </c>
      <c r="B968" t="s">
        <v>4586</v>
      </c>
      <c r="C968" t="s">
        <v>10</v>
      </c>
      <c r="D968" t="s">
        <v>10</v>
      </c>
      <c r="G968">
        <v>1900</v>
      </c>
      <c r="H968">
        <v>190000</v>
      </c>
      <c r="I968" t="s">
        <v>3881</v>
      </c>
      <c r="J968" t="s">
        <v>10</v>
      </c>
      <c r="K968">
        <v>693.84</v>
      </c>
      <c r="L968">
        <v>6.07</v>
      </c>
      <c r="M968">
        <v>4423</v>
      </c>
      <c r="N968" t="s">
        <v>125</v>
      </c>
      <c r="O968">
        <v>1</v>
      </c>
      <c r="P968" t="s">
        <v>4178</v>
      </c>
      <c r="Q968" t="s">
        <v>2206</v>
      </c>
      <c r="R968" t="s">
        <v>2199</v>
      </c>
      <c r="S968">
        <v>94</v>
      </c>
      <c r="T968">
        <v>102</v>
      </c>
      <c r="U968">
        <v>831</v>
      </c>
      <c r="V968" t="s">
        <v>4553</v>
      </c>
      <c r="W968" t="s">
        <v>4587</v>
      </c>
      <c r="X968" t="s">
        <v>79</v>
      </c>
    </row>
    <row r="969" spans="1:24">
      <c r="A969">
        <v>83210</v>
      </c>
      <c r="B969" t="s">
        <v>4588</v>
      </c>
      <c r="C969" t="s">
        <v>2098</v>
      </c>
      <c r="F969" t="s">
        <v>2098</v>
      </c>
      <c r="G969">
        <v>4000</v>
      </c>
      <c r="H969">
        <v>500000</v>
      </c>
      <c r="I969" t="s">
        <v>4570</v>
      </c>
      <c r="J969" t="s">
        <v>2098</v>
      </c>
      <c r="K969">
        <v>176.9</v>
      </c>
      <c r="L969">
        <v>1.1200000000000001</v>
      </c>
      <c r="M969">
        <v>8321</v>
      </c>
      <c r="N969" t="s">
        <v>79</v>
      </c>
      <c r="O969">
        <v>3</v>
      </c>
      <c r="P969" t="s">
        <v>4552</v>
      </c>
      <c r="Q969" t="s">
        <v>4427</v>
      </c>
      <c r="R969" t="s">
        <v>2102</v>
      </c>
      <c r="S969">
        <v>1333</v>
      </c>
      <c r="T969">
        <v>1339</v>
      </c>
      <c r="U969">
        <v>832</v>
      </c>
      <c r="V969" t="s">
        <v>4589</v>
      </c>
      <c r="W969" t="s">
        <v>4590</v>
      </c>
      <c r="X969" t="s">
        <v>125</v>
      </c>
    </row>
    <row r="970" spans="1:24">
      <c r="A970">
        <v>83220</v>
      </c>
      <c r="B970" t="s">
        <v>4591</v>
      </c>
      <c r="C970" t="s">
        <v>2098</v>
      </c>
      <c r="F970" t="s">
        <v>2098</v>
      </c>
      <c r="G970">
        <v>4000</v>
      </c>
      <c r="H970">
        <v>500000</v>
      </c>
      <c r="I970" t="s">
        <v>4570</v>
      </c>
      <c r="J970" t="s">
        <v>2098</v>
      </c>
      <c r="K970">
        <v>176.9</v>
      </c>
      <c r="L970">
        <v>1.1200000000000001</v>
      </c>
      <c r="M970">
        <v>8321</v>
      </c>
      <c r="N970" t="s">
        <v>79</v>
      </c>
      <c r="O970">
        <v>3</v>
      </c>
      <c r="P970" t="s">
        <v>4552</v>
      </c>
      <c r="Q970" t="s">
        <v>4427</v>
      </c>
      <c r="R970" t="s">
        <v>2102</v>
      </c>
      <c r="S970">
        <v>11</v>
      </c>
      <c r="T970">
        <v>12</v>
      </c>
      <c r="U970">
        <v>832</v>
      </c>
      <c r="V970" t="s">
        <v>4589</v>
      </c>
      <c r="W970" t="s">
        <v>4592</v>
      </c>
      <c r="X970" t="s">
        <v>125</v>
      </c>
    </row>
    <row r="971" spans="1:24">
      <c r="A971">
        <v>83229</v>
      </c>
      <c r="B971" t="s">
        <v>4593</v>
      </c>
      <c r="C971" t="s">
        <v>10</v>
      </c>
      <c r="D971" t="s">
        <v>10</v>
      </c>
      <c r="G971">
        <v>1300</v>
      </c>
      <c r="H971">
        <v>150000</v>
      </c>
      <c r="I971" t="s">
        <v>4425</v>
      </c>
      <c r="J971" t="s">
        <v>10</v>
      </c>
      <c r="K971">
        <v>265.08</v>
      </c>
      <c r="L971">
        <v>7.01</v>
      </c>
      <c r="M971">
        <v>8910</v>
      </c>
      <c r="N971" t="s">
        <v>79</v>
      </c>
      <c r="O971">
        <v>3</v>
      </c>
      <c r="P971" t="s">
        <v>4552</v>
      </c>
      <c r="Q971" t="s">
        <v>4427</v>
      </c>
      <c r="R971" t="s">
        <v>2199</v>
      </c>
      <c r="S971">
        <v>351</v>
      </c>
      <c r="T971">
        <v>354</v>
      </c>
      <c r="U971">
        <v>832</v>
      </c>
      <c r="V971" t="s">
        <v>4589</v>
      </c>
      <c r="W971" t="s">
        <v>4594</v>
      </c>
      <c r="X971" t="s">
        <v>125</v>
      </c>
    </row>
    <row r="972" spans="1:24">
      <c r="A972">
        <v>83230</v>
      </c>
      <c r="B972" t="s">
        <v>4595</v>
      </c>
      <c r="C972" t="s">
        <v>4556</v>
      </c>
      <c r="F972" t="s">
        <v>4556</v>
      </c>
      <c r="G972">
        <v>6000</v>
      </c>
      <c r="H972">
        <v>28800</v>
      </c>
      <c r="I972" t="s">
        <v>4596</v>
      </c>
      <c r="J972" t="s">
        <v>4556</v>
      </c>
      <c r="K972">
        <v>3314.52</v>
      </c>
      <c r="L972">
        <v>11.58</v>
      </c>
      <c r="M972">
        <v>8316</v>
      </c>
      <c r="N972" t="s">
        <v>79</v>
      </c>
      <c r="O972">
        <v>3</v>
      </c>
      <c r="P972" t="s">
        <v>4552</v>
      </c>
      <c r="Q972" t="s">
        <v>4427</v>
      </c>
      <c r="R972" t="s">
        <v>159</v>
      </c>
      <c r="S972">
        <v>1993</v>
      </c>
      <c r="T972">
        <v>2001</v>
      </c>
      <c r="U972">
        <v>832</v>
      </c>
      <c r="V972" t="s">
        <v>4589</v>
      </c>
      <c r="W972" t="s">
        <v>4597</v>
      </c>
      <c r="X972" t="s">
        <v>125</v>
      </c>
    </row>
    <row r="973" spans="1:24">
      <c r="A973">
        <v>83240</v>
      </c>
      <c r="B973" t="s">
        <v>4598</v>
      </c>
      <c r="C973" t="s">
        <v>2098</v>
      </c>
      <c r="F973" t="s">
        <v>2098</v>
      </c>
      <c r="G973">
        <v>4000</v>
      </c>
      <c r="H973">
        <v>500000</v>
      </c>
      <c r="I973" t="s">
        <v>4570</v>
      </c>
      <c r="J973" t="s">
        <v>2098</v>
      </c>
      <c r="K973">
        <v>176.9</v>
      </c>
      <c r="L973">
        <v>1.1200000000000001</v>
      </c>
      <c r="M973">
        <v>8321</v>
      </c>
      <c r="N973" t="s">
        <v>79</v>
      </c>
      <c r="O973">
        <v>3</v>
      </c>
      <c r="P973" t="s">
        <v>4552</v>
      </c>
      <c r="Q973" t="s">
        <v>4427</v>
      </c>
      <c r="R973" t="s">
        <v>2102</v>
      </c>
      <c r="S973">
        <v>100</v>
      </c>
      <c r="T973">
        <v>101</v>
      </c>
      <c r="U973">
        <v>832</v>
      </c>
      <c r="V973" t="s">
        <v>4589</v>
      </c>
      <c r="W973" t="s">
        <v>4599</v>
      </c>
      <c r="X973" t="s">
        <v>125</v>
      </c>
    </row>
    <row r="974" spans="1:24">
      <c r="A974">
        <v>83241</v>
      </c>
      <c r="B974" t="s">
        <v>4600</v>
      </c>
      <c r="C974" t="s">
        <v>4556</v>
      </c>
      <c r="F974" t="s">
        <v>4556</v>
      </c>
      <c r="G974">
        <v>6000</v>
      </c>
      <c r="H974">
        <v>28800</v>
      </c>
      <c r="I974" t="s">
        <v>4596</v>
      </c>
      <c r="J974" t="s">
        <v>4556</v>
      </c>
      <c r="K974">
        <v>3314.52</v>
      </c>
      <c r="L974">
        <v>11.58</v>
      </c>
      <c r="M974">
        <v>8316</v>
      </c>
      <c r="N974" t="s">
        <v>79</v>
      </c>
      <c r="O974">
        <v>1</v>
      </c>
      <c r="P974" t="s">
        <v>4178</v>
      </c>
      <c r="Q974" t="s">
        <v>2206</v>
      </c>
      <c r="R974" t="s">
        <v>159</v>
      </c>
      <c r="S974">
        <v>53</v>
      </c>
      <c r="T974">
        <v>53</v>
      </c>
      <c r="U974">
        <v>832</v>
      </c>
      <c r="V974" t="s">
        <v>4589</v>
      </c>
      <c r="W974" t="s">
        <v>4601</v>
      </c>
      <c r="X974" t="s">
        <v>79</v>
      </c>
    </row>
    <row r="975" spans="1:24">
      <c r="A975">
        <v>83309</v>
      </c>
      <c r="B975" t="s">
        <v>4602</v>
      </c>
      <c r="C975" t="s">
        <v>3568</v>
      </c>
      <c r="D975" t="s">
        <v>10</v>
      </c>
      <c r="F975" t="s">
        <v>3568</v>
      </c>
      <c r="G975">
        <v>7</v>
      </c>
      <c r="H975">
        <v>33</v>
      </c>
      <c r="I975" t="s">
        <v>4603</v>
      </c>
      <c r="J975" t="s">
        <v>3568</v>
      </c>
      <c r="K975">
        <v>379131.71</v>
      </c>
      <c r="L975">
        <v>1448.53</v>
      </c>
      <c r="M975">
        <v>8332</v>
      </c>
      <c r="N975" t="s">
        <v>79</v>
      </c>
      <c r="O975">
        <v>1</v>
      </c>
      <c r="P975" t="s">
        <v>4178</v>
      </c>
      <c r="Q975" t="s">
        <v>2206</v>
      </c>
      <c r="R975" t="s">
        <v>159</v>
      </c>
      <c r="S975">
        <v>10</v>
      </c>
      <c r="T975">
        <v>11</v>
      </c>
      <c r="U975">
        <v>833</v>
      </c>
      <c r="V975" t="s">
        <v>4604</v>
      </c>
      <c r="W975" t="s">
        <v>4605</v>
      </c>
      <c r="X975" t="s">
        <v>79</v>
      </c>
    </row>
    <row r="976" spans="1:24">
      <c r="A976">
        <v>83310</v>
      </c>
      <c r="B976" t="s">
        <v>4606</v>
      </c>
      <c r="C976" t="s">
        <v>3568</v>
      </c>
      <c r="F976" t="s">
        <v>3568</v>
      </c>
      <c r="G976">
        <v>7</v>
      </c>
      <c r="H976">
        <v>33</v>
      </c>
      <c r="I976" t="s">
        <v>4603</v>
      </c>
      <c r="J976" t="s">
        <v>3568</v>
      </c>
      <c r="K976">
        <v>379131.71</v>
      </c>
      <c r="L976">
        <v>1448.53</v>
      </c>
      <c r="M976">
        <v>8332</v>
      </c>
      <c r="N976" t="s">
        <v>79</v>
      </c>
      <c r="O976">
        <v>1</v>
      </c>
      <c r="P976" t="s">
        <v>4178</v>
      </c>
      <c r="Q976" t="s">
        <v>2206</v>
      </c>
      <c r="R976" t="s">
        <v>159</v>
      </c>
      <c r="S976">
        <v>6</v>
      </c>
      <c r="T976">
        <v>8</v>
      </c>
      <c r="U976">
        <v>833</v>
      </c>
      <c r="V976" t="s">
        <v>4604</v>
      </c>
      <c r="W976" t="s">
        <v>4607</v>
      </c>
      <c r="X976" t="s">
        <v>79</v>
      </c>
    </row>
    <row r="977" spans="1:24">
      <c r="A977">
        <v>83312</v>
      </c>
      <c r="B977" t="s">
        <v>4608</v>
      </c>
      <c r="C977" t="s">
        <v>2162</v>
      </c>
      <c r="D977" t="s">
        <v>10</v>
      </c>
      <c r="F977" t="s">
        <v>2162</v>
      </c>
      <c r="G977">
        <v>5500</v>
      </c>
      <c r="H977">
        <v>75000</v>
      </c>
      <c r="I977" t="s">
        <v>4177</v>
      </c>
      <c r="J977" t="s">
        <v>10</v>
      </c>
      <c r="K977">
        <v>104.35</v>
      </c>
      <c r="L977">
        <v>2.63</v>
      </c>
      <c r="M977">
        <v>8331</v>
      </c>
      <c r="N977" t="s">
        <v>125</v>
      </c>
      <c r="O977">
        <v>3</v>
      </c>
      <c r="P977" t="s">
        <v>4178</v>
      </c>
      <c r="Q977" t="s">
        <v>2206</v>
      </c>
      <c r="R977" t="s">
        <v>159</v>
      </c>
      <c r="S977">
        <v>3</v>
      </c>
      <c r="T977">
        <v>3</v>
      </c>
      <c r="U977">
        <v>833</v>
      </c>
      <c r="V977" t="s">
        <v>4604</v>
      </c>
      <c r="W977" t="s">
        <v>4609</v>
      </c>
      <c r="X977" t="s">
        <v>79</v>
      </c>
    </row>
    <row r="978" spans="1:24">
      <c r="A978">
        <v>83315</v>
      </c>
      <c r="B978" t="s">
        <v>4610</v>
      </c>
      <c r="C978" t="s">
        <v>2162</v>
      </c>
      <c r="D978" t="s">
        <v>2802</v>
      </c>
      <c r="F978" t="s">
        <v>2162</v>
      </c>
      <c r="G978">
        <v>20</v>
      </c>
      <c r="H978">
        <v>400</v>
      </c>
      <c r="I978" t="s">
        <v>4611</v>
      </c>
      <c r="J978" t="s">
        <v>2802</v>
      </c>
      <c r="K978">
        <v>992706.18</v>
      </c>
      <c r="L978">
        <v>6526.82</v>
      </c>
      <c r="M978">
        <v>8333</v>
      </c>
      <c r="N978" t="s">
        <v>79</v>
      </c>
      <c r="O978">
        <v>3</v>
      </c>
      <c r="P978" t="s">
        <v>4178</v>
      </c>
      <c r="Q978" t="s">
        <v>2206</v>
      </c>
      <c r="R978" t="s">
        <v>159</v>
      </c>
      <c r="S978">
        <v>34</v>
      </c>
      <c r="T978">
        <v>35</v>
      </c>
      <c r="U978">
        <v>833</v>
      </c>
      <c r="V978" t="s">
        <v>4604</v>
      </c>
      <c r="W978" t="s">
        <v>4612</v>
      </c>
      <c r="X978" t="s">
        <v>79</v>
      </c>
    </row>
    <row r="979" spans="1:24">
      <c r="A979">
        <v>83320</v>
      </c>
      <c r="B979" t="s">
        <v>4613</v>
      </c>
      <c r="C979" t="s">
        <v>3245</v>
      </c>
      <c r="D979" t="s">
        <v>10</v>
      </c>
      <c r="E979" t="s">
        <v>2162</v>
      </c>
      <c r="F979" t="s">
        <v>3245</v>
      </c>
      <c r="G979">
        <v>1300</v>
      </c>
      <c r="H979">
        <v>150000</v>
      </c>
      <c r="I979" t="s">
        <v>4425</v>
      </c>
      <c r="J979" t="s">
        <v>10</v>
      </c>
      <c r="K979">
        <v>265.08</v>
      </c>
      <c r="L979">
        <v>7.01</v>
      </c>
      <c r="M979">
        <v>8910</v>
      </c>
      <c r="N979" t="s">
        <v>79</v>
      </c>
      <c r="O979">
        <v>3</v>
      </c>
      <c r="P979" t="s">
        <v>4178</v>
      </c>
      <c r="Q979" t="s">
        <v>2206</v>
      </c>
      <c r="R979" t="s">
        <v>2199</v>
      </c>
      <c r="S979">
        <v>6</v>
      </c>
      <c r="T979">
        <v>6</v>
      </c>
      <c r="U979">
        <v>833</v>
      </c>
      <c r="V979" t="s">
        <v>4604</v>
      </c>
      <c r="W979" t="s">
        <v>4614</v>
      </c>
      <c r="X979" t="s">
        <v>79</v>
      </c>
    </row>
    <row r="980" spans="1:24">
      <c r="A980">
        <v>83321</v>
      </c>
      <c r="B980" t="s">
        <v>4615</v>
      </c>
      <c r="C980" t="s">
        <v>10</v>
      </c>
      <c r="D980" t="s">
        <v>10</v>
      </c>
      <c r="E980" t="s">
        <v>2162</v>
      </c>
      <c r="F980" t="s">
        <v>3245</v>
      </c>
      <c r="G980">
        <v>5500</v>
      </c>
      <c r="H980">
        <v>75000</v>
      </c>
      <c r="I980" t="s">
        <v>4177</v>
      </c>
      <c r="J980" t="s">
        <v>10</v>
      </c>
      <c r="K980">
        <v>104.35</v>
      </c>
      <c r="L980">
        <v>2.63</v>
      </c>
      <c r="M980">
        <v>8331</v>
      </c>
      <c r="N980" t="s">
        <v>79</v>
      </c>
      <c r="O980">
        <v>3</v>
      </c>
      <c r="P980" t="s">
        <v>4178</v>
      </c>
      <c r="Q980" t="s">
        <v>2206</v>
      </c>
      <c r="R980" t="s">
        <v>159</v>
      </c>
      <c r="S980">
        <v>7</v>
      </c>
      <c r="T980">
        <v>7</v>
      </c>
      <c r="U980">
        <v>833</v>
      </c>
      <c r="V980" t="s">
        <v>4604</v>
      </c>
      <c r="W980" t="s">
        <v>4616</v>
      </c>
      <c r="X980" t="s">
        <v>79</v>
      </c>
    </row>
    <row r="981" spans="1:24">
      <c r="A981">
        <v>83330</v>
      </c>
      <c r="B981" t="s">
        <v>4617</v>
      </c>
      <c r="C981" t="s">
        <v>2162</v>
      </c>
      <c r="D981" t="s">
        <v>2097</v>
      </c>
      <c r="F981" t="s">
        <v>2162</v>
      </c>
      <c r="G981">
        <v>530</v>
      </c>
      <c r="H981">
        <v>160000</v>
      </c>
      <c r="I981" t="s">
        <v>2583</v>
      </c>
      <c r="J981" t="s">
        <v>2097</v>
      </c>
      <c r="K981">
        <v>76.33</v>
      </c>
      <c r="L981">
        <v>1.8</v>
      </c>
      <c r="M981">
        <v>8526</v>
      </c>
      <c r="N981" t="s">
        <v>79</v>
      </c>
      <c r="O981">
        <v>3</v>
      </c>
      <c r="P981" t="s">
        <v>4178</v>
      </c>
      <c r="Q981" t="s">
        <v>2206</v>
      </c>
      <c r="R981" t="s">
        <v>2102</v>
      </c>
      <c r="S981">
        <v>1463</v>
      </c>
      <c r="T981">
        <v>1599</v>
      </c>
      <c r="U981">
        <v>833</v>
      </c>
      <c r="V981" t="s">
        <v>4604</v>
      </c>
      <c r="W981" t="s">
        <v>4618</v>
      </c>
      <c r="X981" t="s">
        <v>79</v>
      </c>
    </row>
    <row r="982" spans="1:24">
      <c r="A982">
        <v>83340</v>
      </c>
      <c r="B982" t="s">
        <v>4619</v>
      </c>
      <c r="C982" t="s">
        <v>10</v>
      </c>
      <c r="D982" t="s">
        <v>10</v>
      </c>
      <c r="G982">
        <v>1300</v>
      </c>
      <c r="H982">
        <v>150000</v>
      </c>
      <c r="I982" t="s">
        <v>4425</v>
      </c>
      <c r="J982" t="s">
        <v>10</v>
      </c>
      <c r="K982">
        <v>265.08</v>
      </c>
      <c r="L982">
        <v>7.01</v>
      </c>
      <c r="M982">
        <v>8910</v>
      </c>
      <c r="N982" t="s">
        <v>79</v>
      </c>
      <c r="O982">
        <v>3</v>
      </c>
      <c r="P982" t="s">
        <v>4178</v>
      </c>
      <c r="Q982" t="s">
        <v>2206</v>
      </c>
      <c r="R982" t="s">
        <v>2199</v>
      </c>
      <c r="S982">
        <v>144</v>
      </c>
      <c r="T982">
        <v>149</v>
      </c>
      <c r="U982">
        <v>833</v>
      </c>
      <c r="V982" t="s">
        <v>4604</v>
      </c>
      <c r="W982" t="s">
        <v>4620</v>
      </c>
      <c r="X982" t="s">
        <v>79</v>
      </c>
    </row>
    <row r="983" spans="1:24">
      <c r="A983">
        <v>84109</v>
      </c>
      <c r="B983" t="s">
        <v>4621</v>
      </c>
      <c r="C983" t="s">
        <v>10</v>
      </c>
      <c r="D983" t="s">
        <v>10</v>
      </c>
      <c r="G983">
        <v>1300</v>
      </c>
      <c r="H983">
        <v>150000</v>
      </c>
      <c r="I983" t="s">
        <v>4425</v>
      </c>
      <c r="J983" t="s">
        <v>10</v>
      </c>
      <c r="K983">
        <v>265.08</v>
      </c>
      <c r="L983">
        <v>7.01</v>
      </c>
      <c r="M983">
        <v>8910</v>
      </c>
      <c r="N983" t="s">
        <v>79</v>
      </c>
      <c r="O983">
        <v>3</v>
      </c>
      <c r="P983" t="s">
        <v>4622</v>
      </c>
      <c r="Q983" t="s">
        <v>4427</v>
      </c>
      <c r="R983" t="s">
        <v>2199</v>
      </c>
      <c r="S983">
        <v>396</v>
      </c>
      <c r="T983">
        <v>405</v>
      </c>
      <c r="U983">
        <v>841</v>
      </c>
      <c r="V983" t="s">
        <v>4623</v>
      </c>
      <c r="W983" t="s">
        <v>4624</v>
      </c>
      <c r="X983" t="s">
        <v>125</v>
      </c>
    </row>
    <row r="984" spans="1:24">
      <c r="A984">
        <v>84110</v>
      </c>
      <c r="B984" t="s">
        <v>4625</v>
      </c>
      <c r="C984" t="s">
        <v>4556</v>
      </c>
      <c r="F984" t="s">
        <v>4556</v>
      </c>
      <c r="G984">
        <v>670</v>
      </c>
      <c r="H984">
        <v>13000</v>
      </c>
      <c r="I984" t="s">
        <v>4626</v>
      </c>
      <c r="J984" t="s">
        <v>4556</v>
      </c>
      <c r="K984">
        <v>8648.64</v>
      </c>
      <c r="L984">
        <v>43.38</v>
      </c>
      <c r="M984">
        <v>8412</v>
      </c>
      <c r="N984" t="s">
        <v>79</v>
      </c>
      <c r="O984">
        <v>3</v>
      </c>
      <c r="P984" t="s">
        <v>4622</v>
      </c>
      <c r="Q984" t="s">
        <v>4427</v>
      </c>
      <c r="R984" t="s">
        <v>159</v>
      </c>
      <c r="S984">
        <v>96</v>
      </c>
      <c r="T984">
        <v>100</v>
      </c>
      <c r="U984">
        <v>841</v>
      </c>
      <c r="V984" t="s">
        <v>4623</v>
      </c>
      <c r="W984" t="s">
        <v>4627</v>
      </c>
      <c r="X984" t="s">
        <v>125</v>
      </c>
    </row>
    <row r="985" spans="1:24">
      <c r="A985">
        <v>84115</v>
      </c>
      <c r="B985" t="s">
        <v>4628</v>
      </c>
      <c r="C985" t="s">
        <v>4556</v>
      </c>
      <c r="F985" t="s">
        <v>4556</v>
      </c>
      <c r="G985">
        <v>670</v>
      </c>
      <c r="H985">
        <v>13000</v>
      </c>
      <c r="I985" t="s">
        <v>4626</v>
      </c>
      <c r="J985" t="s">
        <v>4556</v>
      </c>
      <c r="K985">
        <v>8648.64</v>
      </c>
      <c r="L985">
        <v>43.38</v>
      </c>
      <c r="M985">
        <v>8412</v>
      </c>
      <c r="N985" t="s">
        <v>79</v>
      </c>
      <c r="O985">
        <v>3</v>
      </c>
      <c r="P985" t="s">
        <v>2479</v>
      </c>
      <c r="Q985" t="s">
        <v>2460</v>
      </c>
      <c r="R985" t="s">
        <v>159</v>
      </c>
      <c r="S985">
        <v>3</v>
      </c>
      <c r="T985">
        <v>3</v>
      </c>
      <c r="U985">
        <v>841</v>
      </c>
      <c r="V985" t="s">
        <v>4623</v>
      </c>
      <c r="W985" t="s">
        <v>4629</v>
      </c>
      <c r="X985" t="s">
        <v>79</v>
      </c>
    </row>
    <row r="986" spans="1:24">
      <c r="A986">
        <v>84120</v>
      </c>
      <c r="B986" t="s">
        <v>4630</v>
      </c>
      <c r="C986" t="s">
        <v>2098</v>
      </c>
      <c r="E986" t="s">
        <v>2165</v>
      </c>
      <c r="F986" t="s">
        <v>2098</v>
      </c>
      <c r="G986">
        <v>6700</v>
      </c>
      <c r="H986">
        <v>440000</v>
      </c>
      <c r="I986" t="s">
        <v>4631</v>
      </c>
      <c r="J986" t="s">
        <v>2098</v>
      </c>
      <c r="K986">
        <v>205.77</v>
      </c>
      <c r="L986">
        <v>0.98</v>
      </c>
      <c r="M986">
        <v>8421</v>
      </c>
      <c r="N986" t="s">
        <v>79</v>
      </c>
      <c r="O986">
        <v>2</v>
      </c>
      <c r="P986" t="s">
        <v>4622</v>
      </c>
      <c r="Q986" t="s">
        <v>4427</v>
      </c>
      <c r="R986" t="s">
        <v>2102</v>
      </c>
      <c r="S986">
        <v>68</v>
      </c>
      <c r="T986">
        <v>69</v>
      </c>
      <c r="U986">
        <v>841</v>
      </c>
      <c r="V986" t="s">
        <v>4623</v>
      </c>
      <c r="W986" t="s">
        <v>4632</v>
      </c>
      <c r="X986" t="s">
        <v>125</v>
      </c>
    </row>
    <row r="987" spans="1:24">
      <c r="A987">
        <v>84125</v>
      </c>
      <c r="B987" t="s">
        <v>4633</v>
      </c>
      <c r="C987" t="s">
        <v>4556</v>
      </c>
      <c r="F987" t="s">
        <v>4556</v>
      </c>
      <c r="G987">
        <v>420</v>
      </c>
      <c r="H987">
        <v>1600</v>
      </c>
      <c r="I987" t="s">
        <v>4633</v>
      </c>
      <c r="J987" t="s">
        <v>4556</v>
      </c>
      <c r="K987">
        <v>22744.62</v>
      </c>
      <c r="L987">
        <v>89.31</v>
      </c>
      <c r="M987">
        <v>8415</v>
      </c>
      <c r="N987" t="s">
        <v>79</v>
      </c>
      <c r="O987">
        <v>3</v>
      </c>
      <c r="P987" t="s">
        <v>4622</v>
      </c>
      <c r="Q987" t="s">
        <v>4427</v>
      </c>
      <c r="R987" t="s">
        <v>159</v>
      </c>
      <c r="S987">
        <v>17</v>
      </c>
      <c r="T987">
        <v>17</v>
      </c>
      <c r="U987">
        <v>841</v>
      </c>
      <c r="V987" t="s">
        <v>4623</v>
      </c>
      <c r="W987" t="s">
        <v>4634</v>
      </c>
      <c r="X987" t="s">
        <v>125</v>
      </c>
    </row>
    <row r="988" spans="1:24">
      <c r="A988">
        <v>84130</v>
      </c>
      <c r="B988" t="s">
        <v>4635</v>
      </c>
      <c r="C988" t="s">
        <v>2176</v>
      </c>
      <c r="E988" t="s">
        <v>2176</v>
      </c>
      <c r="G988">
        <v>270000</v>
      </c>
      <c r="H988">
        <v>2000000</v>
      </c>
      <c r="I988" t="s">
        <v>4636</v>
      </c>
      <c r="J988" t="s">
        <v>2176</v>
      </c>
      <c r="K988">
        <v>1.64</v>
      </c>
      <c r="L988">
        <v>4.0000000000000001E-3</v>
      </c>
      <c r="M988">
        <v>8413</v>
      </c>
      <c r="N988" t="s">
        <v>79</v>
      </c>
      <c r="O988">
        <v>1</v>
      </c>
      <c r="P988" t="s">
        <v>4622</v>
      </c>
      <c r="Q988" t="s">
        <v>4427</v>
      </c>
      <c r="R988" t="s">
        <v>159</v>
      </c>
      <c r="S988">
        <v>153</v>
      </c>
      <c r="T988">
        <v>153</v>
      </c>
      <c r="U988">
        <v>841</v>
      </c>
      <c r="V988" t="s">
        <v>4623</v>
      </c>
      <c r="W988" t="s">
        <v>4637</v>
      </c>
      <c r="X988" t="s">
        <v>125</v>
      </c>
    </row>
    <row r="989" spans="1:24">
      <c r="A989">
        <v>84140</v>
      </c>
      <c r="B989" t="s">
        <v>4638</v>
      </c>
      <c r="C989" t="s">
        <v>2176</v>
      </c>
      <c r="E989" t="s">
        <v>2176</v>
      </c>
      <c r="G989">
        <v>270000</v>
      </c>
      <c r="H989">
        <v>2000000</v>
      </c>
      <c r="I989" t="s">
        <v>4636</v>
      </c>
      <c r="J989" t="s">
        <v>2176</v>
      </c>
      <c r="K989">
        <v>1.64</v>
      </c>
      <c r="L989">
        <v>4.0000000000000001E-3</v>
      </c>
      <c r="M989">
        <v>8413</v>
      </c>
      <c r="N989" t="s">
        <v>79</v>
      </c>
      <c r="O989">
        <v>1</v>
      </c>
      <c r="P989" t="s">
        <v>4622</v>
      </c>
      <c r="Q989" t="s">
        <v>4427</v>
      </c>
      <c r="R989" t="s">
        <v>159</v>
      </c>
      <c r="S989">
        <v>513</v>
      </c>
      <c r="T989">
        <v>513</v>
      </c>
      <c r="U989">
        <v>841</v>
      </c>
      <c r="V989" t="s">
        <v>4623</v>
      </c>
      <c r="W989" t="s">
        <v>4637</v>
      </c>
      <c r="X989" t="s">
        <v>125</v>
      </c>
    </row>
    <row r="990" spans="1:24">
      <c r="A990">
        <v>84150</v>
      </c>
      <c r="B990" t="s">
        <v>4639</v>
      </c>
      <c r="C990" t="s">
        <v>4556</v>
      </c>
      <c r="E990" t="s">
        <v>2165</v>
      </c>
      <c r="F990" t="s">
        <v>4556</v>
      </c>
      <c r="G990">
        <v>440</v>
      </c>
      <c r="H990">
        <v>8000</v>
      </c>
      <c r="I990" t="s">
        <v>4640</v>
      </c>
      <c r="J990" t="s">
        <v>4556</v>
      </c>
      <c r="K990">
        <v>58.84</v>
      </c>
      <c r="L990">
        <v>6.82</v>
      </c>
      <c r="M990">
        <v>8414</v>
      </c>
      <c r="N990" t="s">
        <v>79</v>
      </c>
      <c r="O990">
        <v>3</v>
      </c>
      <c r="P990" t="s">
        <v>4622</v>
      </c>
      <c r="Q990" t="s">
        <v>4427</v>
      </c>
      <c r="R990" t="s">
        <v>159</v>
      </c>
      <c r="S990">
        <v>572</v>
      </c>
      <c r="T990">
        <v>572</v>
      </c>
      <c r="U990">
        <v>841</v>
      </c>
      <c r="V990" t="s">
        <v>4623</v>
      </c>
      <c r="W990" t="s">
        <v>4641</v>
      </c>
      <c r="X990" t="s">
        <v>125</v>
      </c>
    </row>
    <row r="991" spans="1:24">
      <c r="A991">
        <v>84151</v>
      </c>
      <c r="B991" t="s">
        <v>4642</v>
      </c>
      <c r="C991" t="s">
        <v>2176</v>
      </c>
      <c r="E991" t="s">
        <v>2176</v>
      </c>
      <c r="G991">
        <v>4500000</v>
      </c>
      <c r="H991">
        <v>90000000</v>
      </c>
      <c r="I991" t="s">
        <v>4643</v>
      </c>
      <c r="J991" t="s">
        <v>2176</v>
      </c>
      <c r="K991">
        <v>0</v>
      </c>
      <c r="L991">
        <v>5.3499999999999999E-4</v>
      </c>
      <c r="M991">
        <v>8443</v>
      </c>
      <c r="N991" t="s">
        <v>79</v>
      </c>
      <c r="O991">
        <v>2</v>
      </c>
      <c r="P991" t="s">
        <v>4622</v>
      </c>
      <c r="Q991" t="s">
        <v>4427</v>
      </c>
      <c r="R991" t="s">
        <v>159</v>
      </c>
      <c r="S991">
        <v>13</v>
      </c>
      <c r="T991">
        <v>13</v>
      </c>
      <c r="U991">
        <v>841</v>
      </c>
      <c r="V991" t="s">
        <v>4623</v>
      </c>
      <c r="W991" t="s">
        <v>4644</v>
      </c>
      <c r="X991" t="s">
        <v>125</v>
      </c>
    </row>
    <row r="992" spans="1:24">
      <c r="A992">
        <v>84152</v>
      </c>
      <c r="B992" t="s">
        <v>4645</v>
      </c>
      <c r="C992" t="s">
        <v>2176</v>
      </c>
      <c r="D992" t="s">
        <v>2097</v>
      </c>
      <c r="E992" t="s">
        <v>2176</v>
      </c>
      <c r="F992" t="s">
        <v>2098</v>
      </c>
      <c r="G992">
        <v>200000</v>
      </c>
      <c r="H992">
        <v>2500000</v>
      </c>
      <c r="I992" t="s">
        <v>4646</v>
      </c>
      <c r="J992" t="s">
        <v>2176</v>
      </c>
      <c r="K992">
        <v>2.21</v>
      </c>
      <c r="L992">
        <v>0.01</v>
      </c>
      <c r="M992">
        <v>8442</v>
      </c>
      <c r="N992" t="s">
        <v>79</v>
      </c>
      <c r="O992">
        <v>3</v>
      </c>
      <c r="P992" t="s">
        <v>4178</v>
      </c>
      <c r="Q992" t="s">
        <v>2206</v>
      </c>
      <c r="R992" t="s">
        <v>159</v>
      </c>
      <c r="S992">
        <v>25</v>
      </c>
      <c r="T992">
        <v>25</v>
      </c>
      <c r="U992">
        <v>841</v>
      </c>
      <c r="V992" t="s">
        <v>4623</v>
      </c>
      <c r="W992" t="s">
        <v>4647</v>
      </c>
      <c r="X992" t="s">
        <v>79</v>
      </c>
    </row>
    <row r="993" spans="1:24">
      <c r="A993">
        <v>84209</v>
      </c>
      <c r="B993" t="s">
        <v>4648</v>
      </c>
      <c r="C993" t="s">
        <v>10</v>
      </c>
      <c r="D993" t="s">
        <v>10</v>
      </c>
      <c r="G993">
        <v>1300</v>
      </c>
      <c r="H993">
        <v>150000</v>
      </c>
      <c r="I993" t="s">
        <v>4425</v>
      </c>
      <c r="J993" t="s">
        <v>10</v>
      </c>
      <c r="K993">
        <v>265.08</v>
      </c>
      <c r="L993">
        <v>7.01</v>
      </c>
      <c r="M993">
        <v>8910</v>
      </c>
      <c r="N993" t="s">
        <v>79</v>
      </c>
      <c r="O993">
        <v>3</v>
      </c>
      <c r="P993" t="s">
        <v>4622</v>
      </c>
      <c r="Q993" t="s">
        <v>4427</v>
      </c>
      <c r="R993" t="s">
        <v>2199</v>
      </c>
      <c r="S993">
        <v>448</v>
      </c>
      <c r="T993">
        <v>452</v>
      </c>
      <c r="U993">
        <v>842</v>
      </c>
      <c r="V993" t="s">
        <v>4649</v>
      </c>
      <c r="W993" t="s">
        <v>4650</v>
      </c>
      <c r="X993" t="s">
        <v>125</v>
      </c>
    </row>
    <row r="994" spans="1:24">
      <c r="A994">
        <v>84210</v>
      </c>
      <c r="B994" t="s">
        <v>4631</v>
      </c>
      <c r="C994" t="s">
        <v>2098</v>
      </c>
      <c r="F994" t="s">
        <v>2098</v>
      </c>
      <c r="G994">
        <v>6700</v>
      </c>
      <c r="H994">
        <v>440000</v>
      </c>
      <c r="I994" t="s">
        <v>4631</v>
      </c>
      <c r="J994" t="s">
        <v>2098</v>
      </c>
      <c r="K994">
        <v>205.77</v>
      </c>
      <c r="L994">
        <v>0.98</v>
      </c>
      <c r="M994">
        <v>8421</v>
      </c>
      <c r="N994" t="s">
        <v>79</v>
      </c>
      <c r="O994">
        <v>2</v>
      </c>
      <c r="P994" t="s">
        <v>4622</v>
      </c>
      <c r="Q994" t="s">
        <v>4427</v>
      </c>
      <c r="R994" t="s">
        <v>2102</v>
      </c>
      <c r="S994">
        <v>1233</v>
      </c>
      <c r="T994">
        <v>1240</v>
      </c>
      <c r="U994">
        <v>842</v>
      </c>
      <c r="V994" t="s">
        <v>4649</v>
      </c>
      <c r="W994" t="s">
        <v>4651</v>
      </c>
      <c r="X994" t="s">
        <v>125</v>
      </c>
    </row>
    <row r="995" spans="1:24">
      <c r="A995">
        <v>84215</v>
      </c>
      <c r="B995" t="s">
        <v>4652</v>
      </c>
      <c r="C995" t="s">
        <v>2165</v>
      </c>
      <c r="E995" t="s">
        <v>2165</v>
      </c>
      <c r="F995" t="s">
        <v>4556</v>
      </c>
      <c r="G995">
        <v>2000</v>
      </c>
      <c r="H995">
        <v>14000</v>
      </c>
      <c r="I995" t="s">
        <v>4653</v>
      </c>
      <c r="J995" t="s">
        <v>4556</v>
      </c>
      <c r="K995">
        <v>72.22</v>
      </c>
      <c r="L995">
        <v>5.43</v>
      </c>
      <c r="M995">
        <v>8422</v>
      </c>
      <c r="N995" t="s">
        <v>79</v>
      </c>
      <c r="O995">
        <v>2</v>
      </c>
      <c r="P995" t="s">
        <v>4622</v>
      </c>
      <c r="Q995" t="s">
        <v>4427</v>
      </c>
      <c r="R995" t="s">
        <v>159</v>
      </c>
      <c r="S995">
        <v>287</v>
      </c>
      <c r="T995">
        <v>291</v>
      </c>
      <c r="U995">
        <v>842</v>
      </c>
      <c r="V995" t="s">
        <v>4649</v>
      </c>
      <c r="W995" t="s">
        <v>4654</v>
      </c>
      <c r="X995" t="s">
        <v>125</v>
      </c>
    </row>
    <row r="996" spans="1:24">
      <c r="A996">
        <v>84310</v>
      </c>
      <c r="B996" t="s">
        <v>4655</v>
      </c>
      <c r="C996" t="s">
        <v>2098</v>
      </c>
      <c r="F996" t="s">
        <v>2098</v>
      </c>
      <c r="G996">
        <v>2800</v>
      </c>
      <c r="H996">
        <v>76000</v>
      </c>
      <c r="I996" t="s">
        <v>4656</v>
      </c>
      <c r="J996" t="s">
        <v>2098</v>
      </c>
      <c r="K996">
        <v>425.76</v>
      </c>
      <c r="L996">
        <v>0.98</v>
      </c>
      <c r="M996">
        <v>8432</v>
      </c>
      <c r="N996" t="s">
        <v>79</v>
      </c>
      <c r="O996">
        <v>2</v>
      </c>
      <c r="P996" t="s">
        <v>4657</v>
      </c>
      <c r="Q996" t="s">
        <v>4427</v>
      </c>
      <c r="R996" t="s">
        <v>2102</v>
      </c>
      <c r="S996">
        <v>326</v>
      </c>
      <c r="T996">
        <v>331</v>
      </c>
      <c r="U996">
        <v>843</v>
      </c>
      <c r="V996" t="s">
        <v>4658</v>
      </c>
      <c r="W996" t="s">
        <v>4659</v>
      </c>
      <c r="X996" t="s">
        <v>125</v>
      </c>
    </row>
    <row r="997" spans="1:24">
      <c r="A997">
        <v>84320</v>
      </c>
      <c r="B997" t="s">
        <v>4660</v>
      </c>
      <c r="C997" t="s">
        <v>2165</v>
      </c>
      <c r="E997" t="s">
        <v>2165</v>
      </c>
      <c r="F997" t="s">
        <v>4556</v>
      </c>
      <c r="G997">
        <v>1900</v>
      </c>
      <c r="H997">
        <v>17000</v>
      </c>
      <c r="I997" t="s">
        <v>4661</v>
      </c>
      <c r="J997" t="s">
        <v>4556</v>
      </c>
      <c r="K997">
        <v>72.22</v>
      </c>
      <c r="L997">
        <v>5.83</v>
      </c>
      <c r="M997">
        <v>8434</v>
      </c>
      <c r="N997" t="s">
        <v>79</v>
      </c>
      <c r="O997">
        <v>2</v>
      </c>
      <c r="P997" t="s">
        <v>4657</v>
      </c>
      <c r="Q997" t="s">
        <v>4427</v>
      </c>
      <c r="R997" t="s">
        <v>159</v>
      </c>
      <c r="S997">
        <v>343</v>
      </c>
      <c r="T997">
        <v>344</v>
      </c>
      <c r="U997">
        <v>843</v>
      </c>
      <c r="V997" t="s">
        <v>4658</v>
      </c>
      <c r="W997" t="s">
        <v>4662</v>
      </c>
      <c r="X997" t="s">
        <v>125</v>
      </c>
    </row>
    <row r="998" spans="1:24">
      <c r="A998">
        <v>84330</v>
      </c>
      <c r="B998" t="s">
        <v>4663</v>
      </c>
      <c r="C998" t="s">
        <v>2176</v>
      </c>
      <c r="E998" t="s">
        <v>2176</v>
      </c>
      <c r="F998" t="s">
        <v>4664</v>
      </c>
      <c r="G998">
        <v>110000</v>
      </c>
      <c r="H998">
        <v>1100000</v>
      </c>
      <c r="I998" t="s">
        <v>4665</v>
      </c>
      <c r="J998" t="s">
        <v>2176</v>
      </c>
      <c r="K998">
        <v>1.64</v>
      </c>
      <c r="L998">
        <v>0.06</v>
      </c>
      <c r="M998">
        <v>8435</v>
      </c>
      <c r="N998" t="s">
        <v>79</v>
      </c>
      <c r="O998">
        <v>2</v>
      </c>
      <c r="P998" t="s">
        <v>4657</v>
      </c>
      <c r="Q998" t="s">
        <v>4427</v>
      </c>
      <c r="R998" t="s">
        <v>159</v>
      </c>
      <c r="S998">
        <v>367</v>
      </c>
      <c r="T998">
        <v>368</v>
      </c>
      <c r="U998">
        <v>843</v>
      </c>
      <c r="V998" t="s">
        <v>4658</v>
      </c>
      <c r="W998" t="s">
        <v>4666</v>
      </c>
      <c r="X998" t="s">
        <v>125</v>
      </c>
    </row>
    <row r="999" spans="1:24">
      <c r="A999">
        <v>84335</v>
      </c>
      <c r="B999" t="s">
        <v>4667</v>
      </c>
      <c r="C999" t="s">
        <v>2176</v>
      </c>
      <c r="E999" t="s">
        <v>2176</v>
      </c>
      <c r="G999">
        <v>350000</v>
      </c>
      <c r="H999">
        <v>4000000</v>
      </c>
      <c r="I999" t="s">
        <v>4668</v>
      </c>
      <c r="J999" t="s">
        <v>2176</v>
      </c>
      <c r="K999">
        <v>0</v>
      </c>
      <c r="L999">
        <v>0</v>
      </c>
      <c r="M999">
        <v>8433</v>
      </c>
      <c r="N999" t="s">
        <v>79</v>
      </c>
      <c r="O999">
        <v>3</v>
      </c>
      <c r="P999" t="s">
        <v>4657</v>
      </c>
      <c r="Q999" t="s">
        <v>4427</v>
      </c>
      <c r="R999" t="s">
        <v>159</v>
      </c>
      <c r="S999">
        <v>8</v>
      </c>
      <c r="T999">
        <v>8</v>
      </c>
      <c r="U999">
        <v>843</v>
      </c>
      <c r="V999" t="s">
        <v>4658</v>
      </c>
      <c r="W999" t="s">
        <v>4669</v>
      </c>
      <c r="X999" t="s">
        <v>125</v>
      </c>
    </row>
    <row r="1000" spans="1:24">
      <c r="A1000">
        <v>84340</v>
      </c>
      <c r="B1000" t="s">
        <v>4670</v>
      </c>
      <c r="C1000" t="s">
        <v>2165</v>
      </c>
      <c r="E1000" t="s">
        <v>2165</v>
      </c>
      <c r="G1000">
        <v>1000</v>
      </c>
      <c r="H1000">
        <v>1000</v>
      </c>
      <c r="I1000" t="s">
        <v>4671</v>
      </c>
      <c r="J1000" t="s">
        <v>2165</v>
      </c>
      <c r="K1000">
        <v>201.4</v>
      </c>
      <c r="L1000">
        <v>0.6</v>
      </c>
      <c r="M1000">
        <v>8431</v>
      </c>
      <c r="N1000" t="s">
        <v>79</v>
      </c>
      <c r="O1000">
        <v>3</v>
      </c>
      <c r="P1000" t="s">
        <v>4657</v>
      </c>
      <c r="Q1000" t="s">
        <v>4427</v>
      </c>
      <c r="R1000" t="s">
        <v>159</v>
      </c>
      <c r="S1000">
        <v>10</v>
      </c>
      <c r="T1000">
        <v>10</v>
      </c>
      <c r="U1000">
        <v>843</v>
      </c>
      <c r="V1000" t="s">
        <v>4658</v>
      </c>
      <c r="W1000" t="s">
        <v>4672</v>
      </c>
      <c r="X1000" t="s">
        <v>125</v>
      </c>
    </row>
    <row r="1001" spans="1:24">
      <c r="A1001">
        <v>84350</v>
      </c>
      <c r="B1001" t="s">
        <v>4673</v>
      </c>
      <c r="C1001" t="s">
        <v>10</v>
      </c>
      <c r="D1001" t="s">
        <v>10</v>
      </c>
      <c r="G1001">
        <v>1300</v>
      </c>
      <c r="H1001">
        <v>150000</v>
      </c>
      <c r="I1001" t="s">
        <v>4425</v>
      </c>
      <c r="J1001" t="s">
        <v>10</v>
      </c>
      <c r="K1001">
        <v>265.08</v>
      </c>
      <c r="L1001">
        <v>7.01</v>
      </c>
      <c r="M1001">
        <v>8910</v>
      </c>
      <c r="N1001" t="s">
        <v>79</v>
      </c>
      <c r="O1001">
        <v>3</v>
      </c>
      <c r="P1001" t="s">
        <v>4657</v>
      </c>
      <c r="Q1001" t="s">
        <v>4427</v>
      </c>
      <c r="R1001" t="s">
        <v>2199</v>
      </c>
      <c r="S1001">
        <v>454</v>
      </c>
      <c r="T1001">
        <v>478</v>
      </c>
      <c r="U1001">
        <v>843</v>
      </c>
      <c r="V1001" t="s">
        <v>4658</v>
      </c>
      <c r="W1001" t="s">
        <v>4674</v>
      </c>
      <c r="X1001" t="s">
        <v>125</v>
      </c>
    </row>
    <row r="1002" spans="1:24">
      <c r="A1002">
        <v>84410</v>
      </c>
      <c r="B1002" t="s">
        <v>4675</v>
      </c>
      <c r="C1002" t="s">
        <v>10</v>
      </c>
      <c r="D1002" t="s">
        <v>10</v>
      </c>
      <c r="G1002">
        <v>1300</v>
      </c>
      <c r="H1002">
        <v>150000</v>
      </c>
      <c r="I1002" t="s">
        <v>4425</v>
      </c>
      <c r="J1002" t="s">
        <v>10</v>
      </c>
      <c r="K1002">
        <v>265.08</v>
      </c>
      <c r="L1002">
        <v>7.01</v>
      </c>
      <c r="M1002">
        <v>8910</v>
      </c>
      <c r="N1002" t="s">
        <v>79</v>
      </c>
      <c r="O1002">
        <v>3</v>
      </c>
      <c r="P1002" t="s">
        <v>4622</v>
      </c>
      <c r="Q1002" t="s">
        <v>4427</v>
      </c>
      <c r="R1002" t="s">
        <v>2199</v>
      </c>
      <c r="S1002">
        <v>146</v>
      </c>
      <c r="T1002">
        <v>147</v>
      </c>
      <c r="U1002">
        <v>844</v>
      </c>
      <c r="V1002" t="s">
        <v>4676</v>
      </c>
      <c r="W1002" t="s">
        <v>4677</v>
      </c>
      <c r="X1002" t="s">
        <v>125</v>
      </c>
    </row>
    <row r="1003" spans="1:24">
      <c r="A1003">
        <v>84420</v>
      </c>
      <c r="B1003" t="s">
        <v>4678</v>
      </c>
      <c r="C1003" t="s">
        <v>4556</v>
      </c>
      <c r="F1003" t="s">
        <v>4556</v>
      </c>
      <c r="G1003">
        <v>440</v>
      </c>
      <c r="H1003">
        <v>8000</v>
      </c>
      <c r="I1003" t="s">
        <v>4640</v>
      </c>
      <c r="J1003" t="s">
        <v>4556</v>
      </c>
      <c r="K1003">
        <v>58.84</v>
      </c>
      <c r="L1003">
        <v>6.82</v>
      </c>
      <c r="M1003">
        <v>8414</v>
      </c>
      <c r="N1003" t="s">
        <v>79</v>
      </c>
      <c r="O1003">
        <v>3</v>
      </c>
      <c r="P1003" t="s">
        <v>4622</v>
      </c>
      <c r="Q1003" t="s">
        <v>4427</v>
      </c>
      <c r="R1003" t="s">
        <v>159</v>
      </c>
      <c r="S1003">
        <v>196</v>
      </c>
      <c r="T1003">
        <v>196</v>
      </c>
      <c r="U1003">
        <v>844</v>
      </c>
      <c r="V1003" t="s">
        <v>4676</v>
      </c>
      <c r="W1003" t="s">
        <v>4679</v>
      </c>
      <c r="X1003" t="s">
        <v>125</v>
      </c>
    </row>
    <row r="1004" spans="1:24">
      <c r="A1004">
        <v>84430</v>
      </c>
      <c r="B1004" t="s">
        <v>4680</v>
      </c>
      <c r="C1004" t="s">
        <v>4556</v>
      </c>
      <c r="F1004" t="s">
        <v>4556</v>
      </c>
      <c r="G1004">
        <v>800</v>
      </c>
      <c r="H1004">
        <v>8000</v>
      </c>
      <c r="I1004" t="s">
        <v>4681</v>
      </c>
      <c r="J1004" t="s">
        <v>4556</v>
      </c>
      <c r="K1004">
        <v>85.35</v>
      </c>
      <c r="L1004">
        <v>5.27</v>
      </c>
      <c r="M1004">
        <v>8452</v>
      </c>
      <c r="N1004" t="s">
        <v>79</v>
      </c>
      <c r="O1004">
        <v>3</v>
      </c>
      <c r="P1004" t="s">
        <v>4622</v>
      </c>
      <c r="Q1004" t="s">
        <v>4427</v>
      </c>
      <c r="R1004" t="s">
        <v>159</v>
      </c>
      <c r="S1004">
        <v>93</v>
      </c>
      <c r="T1004">
        <v>95</v>
      </c>
      <c r="U1004">
        <v>844</v>
      </c>
      <c r="V1004" t="s">
        <v>4676</v>
      </c>
      <c r="W1004" t="s">
        <v>4682</v>
      </c>
      <c r="X1004" t="s">
        <v>125</v>
      </c>
    </row>
    <row r="1005" spans="1:24">
      <c r="A1005">
        <v>84440</v>
      </c>
      <c r="B1005" t="s">
        <v>4683</v>
      </c>
      <c r="C1005" t="s">
        <v>2176</v>
      </c>
      <c r="E1005" t="s">
        <v>2176</v>
      </c>
      <c r="G1005">
        <v>200000</v>
      </c>
      <c r="H1005">
        <v>2500000</v>
      </c>
      <c r="I1005" t="s">
        <v>4646</v>
      </c>
      <c r="J1005" t="s">
        <v>2176</v>
      </c>
      <c r="K1005">
        <v>2.21</v>
      </c>
      <c r="L1005">
        <v>0.01</v>
      </c>
      <c r="M1005">
        <v>8442</v>
      </c>
      <c r="N1005" t="s">
        <v>79</v>
      </c>
      <c r="O1005">
        <v>3</v>
      </c>
      <c r="P1005" t="s">
        <v>4622</v>
      </c>
      <c r="Q1005" t="s">
        <v>4427</v>
      </c>
      <c r="R1005" t="s">
        <v>159</v>
      </c>
      <c r="S1005">
        <v>197</v>
      </c>
      <c r="T1005">
        <v>198</v>
      </c>
      <c r="U1005">
        <v>844</v>
      </c>
      <c r="V1005" t="s">
        <v>4676</v>
      </c>
      <c r="W1005" t="s">
        <v>4684</v>
      </c>
      <c r="X1005" t="s">
        <v>125</v>
      </c>
    </row>
    <row r="1006" spans="1:24">
      <c r="A1006">
        <v>84441</v>
      </c>
      <c r="B1006" t="s">
        <v>4685</v>
      </c>
      <c r="C1006" t="s">
        <v>2097</v>
      </c>
      <c r="D1006" t="s">
        <v>2097</v>
      </c>
      <c r="G1006">
        <v>3500</v>
      </c>
      <c r="H1006">
        <v>55000</v>
      </c>
      <c r="I1006" t="s">
        <v>4686</v>
      </c>
      <c r="J1006" t="s">
        <v>2097</v>
      </c>
      <c r="K1006">
        <v>123.68</v>
      </c>
      <c r="L1006">
        <v>1.89</v>
      </c>
      <c r="M1006">
        <v>8716</v>
      </c>
      <c r="N1006" t="s">
        <v>79</v>
      </c>
      <c r="O1006">
        <v>4</v>
      </c>
      <c r="P1006" t="s">
        <v>4178</v>
      </c>
      <c r="Q1006" t="s">
        <v>2206</v>
      </c>
      <c r="R1006" t="s">
        <v>159</v>
      </c>
      <c r="S1006">
        <v>126</v>
      </c>
      <c r="T1006">
        <v>127</v>
      </c>
      <c r="U1006">
        <v>871</v>
      </c>
      <c r="V1006" t="s">
        <v>4687</v>
      </c>
      <c r="W1006" t="s">
        <v>4688</v>
      </c>
      <c r="X1006" t="s">
        <v>79</v>
      </c>
    </row>
    <row r="1007" spans="1:24">
      <c r="A1007">
        <v>84442</v>
      </c>
      <c r="B1007" t="s">
        <v>4689</v>
      </c>
      <c r="C1007" t="s">
        <v>2097</v>
      </c>
      <c r="D1007" t="s">
        <v>2097</v>
      </c>
      <c r="G1007">
        <v>3500</v>
      </c>
      <c r="H1007">
        <v>55000</v>
      </c>
      <c r="I1007" t="s">
        <v>4686</v>
      </c>
      <c r="J1007" t="s">
        <v>2097</v>
      </c>
      <c r="K1007">
        <v>123.68</v>
      </c>
      <c r="L1007">
        <v>1.89</v>
      </c>
      <c r="M1007">
        <v>8716</v>
      </c>
      <c r="N1007" t="s">
        <v>79</v>
      </c>
      <c r="O1007">
        <v>4</v>
      </c>
      <c r="P1007" t="s">
        <v>4178</v>
      </c>
      <c r="Q1007" t="s">
        <v>2206</v>
      </c>
      <c r="R1007" t="s">
        <v>159</v>
      </c>
      <c r="S1007">
        <v>34</v>
      </c>
      <c r="T1007">
        <v>34</v>
      </c>
      <c r="U1007">
        <v>871</v>
      </c>
      <c r="V1007" t="s">
        <v>4687</v>
      </c>
      <c r="W1007" t="s">
        <v>4690</v>
      </c>
      <c r="X1007" t="s">
        <v>79</v>
      </c>
    </row>
    <row r="1008" spans="1:24">
      <c r="A1008">
        <v>84450</v>
      </c>
      <c r="B1008" t="s">
        <v>4691</v>
      </c>
      <c r="C1008" t="s">
        <v>2176</v>
      </c>
      <c r="E1008" t="s">
        <v>2176</v>
      </c>
      <c r="G1008">
        <v>4500000</v>
      </c>
      <c r="H1008">
        <v>90000000</v>
      </c>
      <c r="I1008" t="s">
        <v>4643</v>
      </c>
      <c r="J1008" t="s">
        <v>2176</v>
      </c>
      <c r="K1008">
        <v>0</v>
      </c>
      <c r="L1008">
        <v>5.3499999999999999E-4</v>
      </c>
      <c r="M1008">
        <v>8443</v>
      </c>
      <c r="N1008" t="s">
        <v>79</v>
      </c>
      <c r="O1008">
        <v>3</v>
      </c>
      <c r="P1008" t="s">
        <v>4622</v>
      </c>
      <c r="Q1008" t="s">
        <v>4427</v>
      </c>
      <c r="R1008" t="s">
        <v>159</v>
      </c>
      <c r="S1008">
        <v>37</v>
      </c>
      <c r="T1008">
        <v>37</v>
      </c>
      <c r="U1008">
        <v>844</v>
      </c>
      <c r="V1008" t="s">
        <v>4676</v>
      </c>
      <c r="W1008" t="s">
        <v>4692</v>
      </c>
      <c r="X1008" t="s">
        <v>125</v>
      </c>
    </row>
    <row r="1009" spans="1:24">
      <c r="A1009">
        <v>84451</v>
      </c>
      <c r="B1009" t="s">
        <v>4693</v>
      </c>
      <c r="C1009" t="s">
        <v>2165</v>
      </c>
      <c r="F1009" t="s">
        <v>2165</v>
      </c>
      <c r="G1009">
        <v>150</v>
      </c>
      <c r="H1009">
        <v>1500</v>
      </c>
      <c r="I1009" t="s">
        <v>4694</v>
      </c>
      <c r="J1009" t="s">
        <v>2165</v>
      </c>
      <c r="K1009">
        <v>27.36</v>
      </c>
      <c r="L1009">
        <v>3.92</v>
      </c>
      <c r="M1009">
        <v>8717</v>
      </c>
      <c r="N1009" t="s">
        <v>79</v>
      </c>
      <c r="O1009">
        <v>4</v>
      </c>
      <c r="P1009" t="s">
        <v>4178</v>
      </c>
      <c r="Q1009" t="s">
        <v>2206</v>
      </c>
      <c r="R1009" t="s">
        <v>159</v>
      </c>
      <c r="S1009">
        <v>105</v>
      </c>
      <c r="T1009">
        <v>105</v>
      </c>
      <c r="U1009">
        <v>871</v>
      </c>
      <c r="V1009" t="s">
        <v>4687</v>
      </c>
      <c r="W1009" t="s">
        <v>4695</v>
      </c>
      <c r="X1009" t="s">
        <v>79</v>
      </c>
    </row>
    <row r="1010" spans="1:24">
      <c r="A1010">
        <v>84520</v>
      </c>
      <c r="B1010" t="s">
        <v>4696</v>
      </c>
      <c r="C1010" t="s">
        <v>2098</v>
      </c>
      <c r="F1010" t="s">
        <v>2098</v>
      </c>
      <c r="G1010">
        <v>12000</v>
      </c>
      <c r="H1010">
        <v>300000</v>
      </c>
      <c r="I1010" t="s">
        <v>4697</v>
      </c>
      <c r="J1010" t="s">
        <v>2098</v>
      </c>
      <c r="K1010">
        <v>195.08</v>
      </c>
      <c r="L1010">
        <v>0.98</v>
      </c>
      <c r="M1010">
        <v>8451</v>
      </c>
      <c r="N1010" t="s">
        <v>79</v>
      </c>
      <c r="O1010">
        <v>2</v>
      </c>
      <c r="P1010" t="s">
        <v>4622</v>
      </c>
      <c r="Q1010" t="s">
        <v>4427</v>
      </c>
      <c r="R1010" t="s">
        <v>2102</v>
      </c>
      <c r="S1010">
        <v>115</v>
      </c>
      <c r="T1010">
        <v>121</v>
      </c>
      <c r="U1010">
        <v>845</v>
      </c>
      <c r="V1010" t="s">
        <v>4698</v>
      </c>
      <c r="W1010" t="s">
        <v>4699</v>
      </c>
      <c r="X1010" t="s">
        <v>125</v>
      </c>
    </row>
    <row r="1011" spans="1:24">
      <c r="A1011">
        <v>85110</v>
      </c>
      <c r="B1011" t="s">
        <v>4700</v>
      </c>
      <c r="C1011" t="s">
        <v>2097</v>
      </c>
      <c r="D1011" t="s">
        <v>2097</v>
      </c>
      <c r="F1011" t="s">
        <v>2364</v>
      </c>
      <c r="G1011">
        <v>9800</v>
      </c>
      <c r="H1011">
        <v>1900000</v>
      </c>
      <c r="I1011" t="s">
        <v>4701</v>
      </c>
      <c r="J1011" t="s">
        <v>2097</v>
      </c>
      <c r="K1011">
        <v>125.72</v>
      </c>
      <c r="L1011">
        <v>1.48</v>
      </c>
      <c r="M1011">
        <v>8511</v>
      </c>
      <c r="N1011" t="s">
        <v>79</v>
      </c>
      <c r="O1011">
        <v>3</v>
      </c>
      <c r="P1011" t="s">
        <v>2205</v>
      </c>
      <c r="Q1011" t="s">
        <v>2206</v>
      </c>
      <c r="R1011" t="s">
        <v>2102</v>
      </c>
      <c r="S1011">
        <v>1232</v>
      </c>
      <c r="T1011">
        <v>1286</v>
      </c>
      <c r="U1011">
        <v>851</v>
      </c>
      <c r="V1011" t="s">
        <v>4702</v>
      </c>
      <c r="W1011" t="s">
        <v>4703</v>
      </c>
      <c r="X1011" t="s">
        <v>79</v>
      </c>
    </row>
    <row r="1012" spans="1:24">
      <c r="A1012">
        <v>85111</v>
      </c>
      <c r="B1012" t="s">
        <v>4704</v>
      </c>
      <c r="C1012" t="s">
        <v>2097</v>
      </c>
      <c r="D1012" t="s">
        <v>2097</v>
      </c>
      <c r="E1012" t="s">
        <v>2364</v>
      </c>
      <c r="G1012">
        <v>56000</v>
      </c>
      <c r="H1012">
        <v>5000000</v>
      </c>
      <c r="I1012" t="s">
        <v>4705</v>
      </c>
      <c r="J1012" t="s">
        <v>2097</v>
      </c>
      <c r="K1012">
        <v>32.54</v>
      </c>
      <c r="L1012">
        <v>0.72</v>
      </c>
      <c r="M1012">
        <v>8512</v>
      </c>
      <c r="N1012" t="s">
        <v>79</v>
      </c>
      <c r="O1012">
        <v>1</v>
      </c>
      <c r="P1012" t="s">
        <v>2205</v>
      </c>
      <c r="Q1012" t="s">
        <v>2206</v>
      </c>
      <c r="R1012" t="s">
        <v>2102</v>
      </c>
      <c r="S1012">
        <v>269</v>
      </c>
      <c r="T1012">
        <v>332</v>
      </c>
      <c r="U1012">
        <v>851</v>
      </c>
      <c r="V1012" t="s">
        <v>4702</v>
      </c>
      <c r="W1012" t="s">
        <v>4706</v>
      </c>
      <c r="X1012" t="s">
        <v>79</v>
      </c>
    </row>
    <row r="1013" spans="1:24">
      <c r="A1013">
        <v>85115</v>
      </c>
      <c r="B1013" t="s">
        <v>4707</v>
      </c>
      <c r="C1013" t="s">
        <v>10</v>
      </c>
      <c r="D1013" t="s">
        <v>10</v>
      </c>
      <c r="F1013" t="s">
        <v>2162</v>
      </c>
      <c r="G1013">
        <v>1</v>
      </c>
      <c r="H1013">
        <v>10</v>
      </c>
      <c r="I1013" t="s">
        <v>4708</v>
      </c>
      <c r="J1013" t="s">
        <v>2162</v>
      </c>
      <c r="K1013">
        <v>244315.92</v>
      </c>
      <c r="L1013">
        <v>197.46</v>
      </c>
      <c r="M1013">
        <v>8928</v>
      </c>
      <c r="N1013" t="s">
        <v>79</v>
      </c>
      <c r="O1013">
        <v>1</v>
      </c>
      <c r="P1013" t="s">
        <v>2205</v>
      </c>
      <c r="Q1013" t="s">
        <v>2206</v>
      </c>
      <c r="R1013" t="s">
        <v>159</v>
      </c>
      <c r="S1013">
        <v>355</v>
      </c>
      <c r="T1013">
        <v>1086</v>
      </c>
      <c r="U1013">
        <v>851</v>
      </c>
      <c r="V1013" t="s">
        <v>4702</v>
      </c>
      <c r="W1013" t="s">
        <v>4709</v>
      </c>
      <c r="X1013" t="s">
        <v>79</v>
      </c>
    </row>
    <row r="1014" spans="1:24">
      <c r="A1014">
        <v>85120</v>
      </c>
      <c r="B1014" t="s">
        <v>4710</v>
      </c>
      <c r="C1014" t="s">
        <v>2097</v>
      </c>
      <c r="D1014" t="s">
        <v>2097</v>
      </c>
      <c r="F1014" t="s">
        <v>2098</v>
      </c>
      <c r="G1014">
        <v>410</v>
      </c>
      <c r="H1014">
        <v>5900</v>
      </c>
      <c r="I1014" t="s">
        <v>4711</v>
      </c>
      <c r="J1014" t="s">
        <v>2097</v>
      </c>
      <c r="K1014">
        <v>2364.0700000000002</v>
      </c>
      <c r="L1014">
        <v>31.99</v>
      </c>
      <c r="M1014">
        <v>8513</v>
      </c>
      <c r="N1014" t="s">
        <v>79</v>
      </c>
      <c r="O1014">
        <v>3</v>
      </c>
      <c r="P1014" t="s">
        <v>2205</v>
      </c>
      <c r="Q1014" t="s">
        <v>2206</v>
      </c>
      <c r="R1014" t="s">
        <v>159</v>
      </c>
      <c r="S1014">
        <v>453</v>
      </c>
      <c r="T1014">
        <v>453</v>
      </c>
      <c r="U1014">
        <v>851</v>
      </c>
      <c r="V1014" t="s">
        <v>4702</v>
      </c>
      <c r="W1014" t="s">
        <v>4712</v>
      </c>
      <c r="X1014" t="s">
        <v>79</v>
      </c>
    </row>
    <row r="1015" spans="1:24">
      <c r="A1015">
        <v>85121</v>
      </c>
      <c r="B1015" t="s">
        <v>4713</v>
      </c>
      <c r="C1015" t="s">
        <v>2097</v>
      </c>
      <c r="D1015" t="s">
        <v>2097</v>
      </c>
      <c r="G1015">
        <v>8100</v>
      </c>
      <c r="H1015">
        <v>200000</v>
      </c>
      <c r="I1015" t="s">
        <v>4714</v>
      </c>
      <c r="J1015" t="s">
        <v>2097</v>
      </c>
      <c r="K1015">
        <v>30.47</v>
      </c>
      <c r="L1015">
        <v>0.31</v>
      </c>
      <c r="M1015">
        <v>8522</v>
      </c>
      <c r="N1015" t="s">
        <v>79</v>
      </c>
      <c r="O1015">
        <v>1</v>
      </c>
      <c r="P1015" t="s">
        <v>4474</v>
      </c>
      <c r="Q1015" t="s">
        <v>2206</v>
      </c>
      <c r="R1015" t="s">
        <v>2102</v>
      </c>
      <c r="S1015">
        <v>303</v>
      </c>
      <c r="T1015">
        <v>401</v>
      </c>
      <c r="U1015">
        <v>851</v>
      </c>
      <c r="V1015" t="s">
        <v>4702</v>
      </c>
      <c r="W1015" t="s">
        <v>4715</v>
      </c>
      <c r="X1015" t="s">
        <v>79</v>
      </c>
    </row>
    <row r="1016" spans="1:24">
      <c r="A1016">
        <v>85122</v>
      </c>
      <c r="B1016" t="s">
        <v>4716</v>
      </c>
      <c r="C1016" t="s">
        <v>2097</v>
      </c>
      <c r="D1016" t="s">
        <v>2097</v>
      </c>
      <c r="G1016">
        <v>10000</v>
      </c>
      <c r="H1016">
        <v>400000</v>
      </c>
      <c r="I1016" t="s">
        <v>2492</v>
      </c>
      <c r="J1016" t="s">
        <v>2097</v>
      </c>
      <c r="K1016">
        <v>78.03</v>
      </c>
      <c r="L1016">
        <v>1.54</v>
      </c>
      <c r="M1016">
        <v>8523</v>
      </c>
      <c r="N1016" t="s">
        <v>125</v>
      </c>
      <c r="O1016">
        <v>3</v>
      </c>
      <c r="P1016" t="s">
        <v>2205</v>
      </c>
      <c r="Q1016" t="s">
        <v>2206</v>
      </c>
      <c r="R1016" t="s">
        <v>2102</v>
      </c>
      <c r="S1016">
        <v>17</v>
      </c>
      <c r="T1016">
        <v>17</v>
      </c>
      <c r="U1016">
        <v>851</v>
      </c>
      <c r="V1016" t="s">
        <v>4702</v>
      </c>
      <c r="W1016" t="s">
        <v>4717</v>
      </c>
      <c r="X1016" t="s">
        <v>79</v>
      </c>
    </row>
    <row r="1017" spans="1:24">
      <c r="A1017">
        <v>85123</v>
      </c>
      <c r="B1017" t="s">
        <v>4718</v>
      </c>
      <c r="C1017" t="s">
        <v>2162</v>
      </c>
      <c r="F1017" t="s">
        <v>2162</v>
      </c>
      <c r="G1017">
        <v>4</v>
      </c>
      <c r="H1017">
        <v>250</v>
      </c>
      <c r="I1017" t="s">
        <v>4718</v>
      </c>
      <c r="J1017" t="s">
        <v>2162</v>
      </c>
      <c r="K1017">
        <v>728783.71</v>
      </c>
      <c r="L1017">
        <v>1346.32</v>
      </c>
      <c r="M1017">
        <v>8541</v>
      </c>
      <c r="N1017" t="s">
        <v>79</v>
      </c>
      <c r="O1017">
        <v>3</v>
      </c>
      <c r="P1017" t="s">
        <v>2205</v>
      </c>
      <c r="Q1017" t="s">
        <v>2206</v>
      </c>
      <c r="R1017" t="s">
        <v>159</v>
      </c>
      <c r="S1017">
        <v>148</v>
      </c>
      <c r="T1017">
        <v>149</v>
      </c>
      <c r="U1017">
        <v>851</v>
      </c>
      <c r="V1017" t="s">
        <v>4702</v>
      </c>
      <c r="W1017" t="s">
        <v>4719</v>
      </c>
      <c r="X1017" t="s">
        <v>79</v>
      </c>
    </row>
    <row r="1018" spans="1:24">
      <c r="A1018">
        <v>85125</v>
      </c>
      <c r="B1018" t="s">
        <v>4720</v>
      </c>
      <c r="C1018" t="s">
        <v>10</v>
      </c>
      <c r="D1018" t="s">
        <v>10</v>
      </c>
      <c r="G1018">
        <v>10800</v>
      </c>
      <c r="H1018">
        <v>92000</v>
      </c>
      <c r="I1018" t="s">
        <v>4721</v>
      </c>
      <c r="J1018" t="s">
        <v>10</v>
      </c>
      <c r="K1018">
        <v>892.28</v>
      </c>
      <c r="L1018">
        <v>2.81</v>
      </c>
      <c r="M1018">
        <v>8514</v>
      </c>
      <c r="N1018" t="s">
        <v>79</v>
      </c>
      <c r="O1018">
        <v>3</v>
      </c>
      <c r="P1018" t="s">
        <v>2205</v>
      </c>
      <c r="Q1018" t="s">
        <v>2206</v>
      </c>
      <c r="R1018" t="s">
        <v>159</v>
      </c>
      <c r="S1018">
        <v>30</v>
      </c>
      <c r="T1018">
        <v>30</v>
      </c>
      <c r="U1018">
        <v>851</v>
      </c>
      <c r="V1018" t="s">
        <v>4702</v>
      </c>
      <c r="W1018" t="s">
        <v>4722</v>
      </c>
      <c r="X1018" t="s">
        <v>79</v>
      </c>
    </row>
    <row r="1019" spans="1:24">
      <c r="A1019">
        <v>85126</v>
      </c>
      <c r="B1019" t="s">
        <v>4723</v>
      </c>
      <c r="C1019" t="s">
        <v>10</v>
      </c>
      <c r="D1019" t="s">
        <v>10</v>
      </c>
      <c r="G1019">
        <v>10800</v>
      </c>
      <c r="H1019">
        <v>92000</v>
      </c>
      <c r="I1019" t="s">
        <v>4721</v>
      </c>
      <c r="J1019" t="s">
        <v>10</v>
      </c>
      <c r="K1019">
        <v>892.28</v>
      </c>
      <c r="L1019">
        <v>2.81</v>
      </c>
      <c r="M1019">
        <v>8514</v>
      </c>
      <c r="N1019" t="s">
        <v>79</v>
      </c>
      <c r="P1019" t="s">
        <v>2205</v>
      </c>
      <c r="Q1019" t="s">
        <v>2206</v>
      </c>
      <c r="R1019" t="s">
        <v>159</v>
      </c>
      <c r="S1019">
        <v>5</v>
      </c>
      <c r="T1019">
        <v>5</v>
      </c>
      <c r="U1019">
        <v>851</v>
      </c>
      <c r="V1019" t="s">
        <v>4702</v>
      </c>
      <c r="W1019" t="s">
        <v>4724</v>
      </c>
      <c r="X1019" t="s">
        <v>79</v>
      </c>
    </row>
    <row r="1020" spans="1:24">
      <c r="A1020">
        <v>85210</v>
      </c>
      <c r="B1020" t="s">
        <v>4725</v>
      </c>
      <c r="C1020" t="s">
        <v>2097</v>
      </c>
      <c r="D1020" t="s">
        <v>2097</v>
      </c>
      <c r="G1020">
        <v>5100</v>
      </c>
      <c r="H1020">
        <v>200000</v>
      </c>
      <c r="I1020" t="s">
        <v>4726</v>
      </c>
      <c r="J1020" t="s">
        <v>2097</v>
      </c>
      <c r="K1020">
        <v>112.64</v>
      </c>
      <c r="L1020">
        <v>1.8</v>
      </c>
      <c r="M1020">
        <v>8521</v>
      </c>
      <c r="N1020" t="s">
        <v>79</v>
      </c>
      <c r="O1020">
        <v>1</v>
      </c>
      <c r="P1020" t="s">
        <v>4474</v>
      </c>
      <c r="Q1020" t="s">
        <v>2206</v>
      </c>
      <c r="R1020" t="s">
        <v>2102</v>
      </c>
      <c r="S1020">
        <v>7383</v>
      </c>
      <c r="T1020">
        <v>7862</v>
      </c>
      <c r="U1020">
        <v>852</v>
      </c>
      <c r="V1020" t="s">
        <v>4727</v>
      </c>
      <c r="W1020" t="s">
        <v>4728</v>
      </c>
      <c r="X1020" t="s">
        <v>79</v>
      </c>
    </row>
    <row r="1021" spans="1:24">
      <c r="A1021">
        <v>85215</v>
      </c>
      <c r="B1021" t="s">
        <v>4729</v>
      </c>
      <c r="C1021" t="s">
        <v>10</v>
      </c>
      <c r="D1021" t="s">
        <v>10</v>
      </c>
      <c r="G1021">
        <v>300</v>
      </c>
      <c r="H1021">
        <v>15000</v>
      </c>
      <c r="I1021" t="s">
        <v>4158</v>
      </c>
      <c r="J1021" t="s">
        <v>10</v>
      </c>
      <c r="K1021">
        <v>66.290000000000006</v>
      </c>
      <c r="L1021">
        <v>0.67</v>
      </c>
      <c r="M1021">
        <v>7384</v>
      </c>
      <c r="N1021" t="s">
        <v>125</v>
      </c>
      <c r="O1021">
        <v>2</v>
      </c>
      <c r="P1021" t="s">
        <v>4474</v>
      </c>
      <c r="Q1021" t="s">
        <v>2206</v>
      </c>
      <c r="R1021" t="s">
        <v>159</v>
      </c>
      <c r="S1021">
        <v>647</v>
      </c>
      <c r="T1021">
        <v>655</v>
      </c>
      <c r="U1021">
        <v>852</v>
      </c>
      <c r="V1021" t="s">
        <v>4727</v>
      </c>
      <c r="W1021" t="s">
        <v>4730</v>
      </c>
      <c r="X1021" t="s">
        <v>79</v>
      </c>
    </row>
    <row r="1022" spans="1:24">
      <c r="A1022">
        <v>85220</v>
      </c>
      <c r="B1022" t="s">
        <v>4731</v>
      </c>
      <c r="C1022" t="s">
        <v>2097</v>
      </c>
      <c r="D1022" t="s">
        <v>2097</v>
      </c>
      <c r="G1022">
        <v>1300</v>
      </c>
      <c r="H1022">
        <v>200000</v>
      </c>
      <c r="I1022" t="s">
        <v>4732</v>
      </c>
      <c r="J1022" t="s">
        <v>2097</v>
      </c>
      <c r="K1022">
        <v>186.44</v>
      </c>
      <c r="L1022">
        <v>1.8200000000000001E-2</v>
      </c>
      <c r="M1022">
        <v>8524</v>
      </c>
      <c r="N1022" t="s">
        <v>79</v>
      </c>
      <c r="O1022">
        <v>4</v>
      </c>
      <c r="P1022" t="s">
        <v>2205</v>
      </c>
      <c r="Q1022" t="s">
        <v>2206</v>
      </c>
      <c r="R1022" t="s">
        <v>2102</v>
      </c>
      <c r="S1022">
        <v>1003</v>
      </c>
      <c r="T1022">
        <v>1026</v>
      </c>
      <c r="U1022">
        <v>852</v>
      </c>
      <c r="V1022" t="s">
        <v>4727</v>
      </c>
      <c r="W1022" t="s">
        <v>4733</v>
      </c>
      <c r="X1022" t="s">
        <v>79</v>
      </c>
    </row>
    <row r="1023" spans="1:24">
      <c r="A1023">
        <v>85230</v>
      </c>
      <c r="B1023" t="s">
        <v>4734</v>
      </c>
      <c r="C1023" t="s">
        <v>2097</v>
      </c>
      <c r="D1023" t="s">
        <v>2097</v>
      </c>
      <c r="F1023" t="s">
        <v>2098</v>
      </c>
      <c r="G1023">
        <v>91</v>
      </c>
      <c r="H1023">
        <v>4200</v>
      </c>
      <c r="I1023" t="s">
        <v>4735</v>
      </c>
      <c r="J1023" t="s">
        <v>2097</v>
      </c>
      <c r="K1023">
        <v>3272.06</v>
      </c>
      <c r="L1023">
        <v>53.82</v>
      </c>
      <c r="M1023">
        <v>8525</v>
      </c>
      <c r="N1023" t="s">
        <v>79</v>
      </c>
      <c r="O1023">
        <v>2</v>
      </c>
      <c r="P1023" t="s">
        <v>2205</v>
      </c>
      <c r="Q1023" t="s">
        <v>2206</v>
      </c>
      <c r="R1023" t="s">
        <v>159</v>
      </c>
      <c r="S1023">
        <v>575</v>
      </c>
      <c r="T1023">
        <v>580</v>
      </c>
      <c r="U1023">
        <v>852</v>
      </c>
      <c r="V1023" t="s">
        <v>4727</v>
      </c>
      <c r="W1023" t="s">
        <v>4736</v>
      </c>
      <c r="X1023" t="s">
        <v>79</v>
      </c>
    </row>
    <row r="1024" spans="1:24">
      <c r="A1024">
        <v>85235</v>
      </c>
      <c r="B1024" t="s">
        <v>4737</v>
      </c>
      <c r="C1024" t="s">
        <v>2097</v>
      </c>
      <c r="D1024" t="s">
        <v>2097</v>
      </c>
      <c r="G1024">
        <v>530</v>
      </c>
      <c r="H1024">
        <v>160000</v>
      </c>
      <c r="I1024" t="s">
        <v>2583</v>
      </c>
      <c r="J1024" t="s">
        <v>2097</v>
      </c>
      <c r="K1024">
        <v>76.33</v>
      </c>
      <c r="L1024">
        <v>1.8</v>
      </c>
      <c r="M1024">
        <v>8526</v>
      </c>
      <c r="N1024" t="s">
        <v>79</v>
      </c>
      <c r="O1024">
        <v>4</v>
      </c>
      <c r="P1024" t="s">
        <v>2205</v>
      </c>
      <c r="Q1024" t="s">
        <v>2206</v>
      </c>
      <c r="R1024" t="s">
        <v>2102</v>
      </c>
      <c r="S1024">
        <v>2959</v>
      </c>
      <c r="T1024">
        <v>3514</v>
      </c>
      <c r="U1024">
        <v>852</v>
      </c>
      <c r="V1024" t="s">
        <v>4727</v>
      </c>
      <c r="W1024" t="s">
        <v>4738</v>
      </c>
      <c r="X1024" t="s">
        <v>79</v>
      </c>
    </row>
    <row r="1025" spans="1:24">
      <c r="A1025">
        <v>85239</v>
      </c>
      <c r="B1025" t="s">
        <v>4739</v>
      </c>
      <c r="C1025" t="s">
        <v>2097</v>
      </c>
      <c r="D1025" t="s">
        <v>2097</v>
      </c>
      <c r="G1025">
        <v>8100</v>
      </c>
      <c r="H1025">
        <v>200000</v>
      </c>
      <c r="I1025" t="s">
        <v>4714</v>
      </c>
      <c r="J1025" t="s">
        <v>2097</v>
      </c>
      <c r="K1025">
        <v>30.47</v>
      </c>
      <c r="L1025">
        <v>0.31</v>
      </c>
      <c r="M1025">
        <v>8522</v>
      </c>
      <c r="N1025" t="s">
        <v>125</v>
      </c>
      <c r="O1025">
        <v>3</v>
      </c>
      <c r="P1025" t="s">
        <v>4474</v>
      </c>
      <c r="Q1025" t="s">
        <v>2206</v>
      </c>
      <c r="R1025" t="s">
        <v>2102</v>
      </c>
      <c r="S1025">
        <v>47</v>
      </c>
      <c r="T1025">
        <v>58</v>
      </c>
      <c r="U1025">
        <v>852</v>
      </c>
      <c r="V1025" t="s">
        <v>4727</v>
      </c>
      <c r="W1025" t="s">
        <v>4740</v>
      </c>
      <c r="X1025" t="s">
        <v>79</v>
      </c>
    </row>
    <row r="1026" spans="1:24">
      <c r="A1026">
        <v>85240</v>
      </c>
      <c r="B1026" t="s">
        <v>4741</v>
      </c>
      <c r="C1026" t="s">
        <v>2097</v>
      </c>
      <c r="D1026" t="s">
        <v>2097</v>
      </c>
      <c r="G1026">
        <v>530</v>
      </c>
      <c r="H1026">
        <v>160000</v>
      </c>
      <c r="I1026" t="s">
        <v>2583</v>
      </c>
      <c r="J1026" t="s">
        <v>2097</v>
      </c>
      <c r="K1026">
        <v>76.33</v>
      </c>
      <c r="L1026">
        <v>1.8</v>
      </c>
      <c r="M1026">
        <v>8526</v>
      </c>
      <c r="N1026" t="s">
        <v>79</v>
      </c>
      <c r="O1026">
        <v>1</v>
      </c>
      <c r="P1026" t="s">
        <v>2205</v>
      </c>
      <c r="Q1026" t="s">
        <v>2206</v>
      </c>
      <c r="R1026" t="s">
        <v>2102</v>
      </c>
      <c r="S1026">
        <v>1427</v>
      </c>
      <c r="T1026">
        <v>1683</v>
      </c>
      <c r="U1026">
        <v>852</v>
      </c>
      <c r="V1026" t="s">
        <v>4727</v>
      </c>
      <c r="W1026" t="s">
        <v>4742</v>
      </c>
      <c r="X1026" t="s">
        <v>79</v>
      </c>
    </row>
    <row r="1027" spans="1:24">
      <c r="A1027">
        <v>85241</v>
      </c>
      <c r="B1027" t="s">
        <v>4743</v>
      </c>
      <c r="C1027" t="s">
        <v>2162</v>
      </c>
      <c r="D1027" t="s">
        <v>2097</v>
      </c>
      <c r="F1027" t="s">
        <v>2162</v>
      </c>
      <c r="G1027">
        <v>530</v>
      </c>
      <c r="H1027">
        <v>160000</v>
      </c>
      <c r="I1027" t="s">
        <v>2583</v>
      </c>
      <c r="J1027" t="s">
        <v>2097</v>
      </c>
      <c r="K1027">
        <v>76.33</v>
      </c>
      <c r="L1027">
        <v>1.8</v>
      </c>
      <c r="M1027">
        <v>8526</v>
      </c>
      <c r="N1027" t="s">
        <v>79</v>
      </c>
      <c r="O1027">
        <v>2</v>
      </c>
      <c r="P1027" t="s">
        <v>2205</v>
      </c>
      <c r="Q1027" t="s">
        <v>2206</v>
      </c>
      <c r="R1027" t="s">
        <v>2102</v>
      </c>
      <c r="S1027">
        <v>439</v>
      </c>
      <c r="T1027">
        <v>454</v>
      </c>
      <c r="U1027">
        <v>852</v>
      </c>
      <c r="V1027" t="s">
        <v>4727</v>
      </c>
      <c r="W1027" t="s">
        <v>4744</v>
      </c>
      <c r="X1027" t="s">
        <v>79</v>
      </c>
    </row>
    <row r="1028" spans="1:24">
      <c r="A1028">
        <v>85310</v>
      </c>
      <c r="B1028" t="s">
        <v>4745</v>
      </c>
      <c r="C1028" t="s">
        <v>10</v>
      </c>
      <c r="D1028" t="s">
        <v>10</v>
      </c>
      <c r="F1028" t="s">
        <v>4020</v>
      </c>
      <c r="G1028">
        <v>34000</v>
      </c>
      <c r="H1028">
        <v>1000000</v>
      </c>
      <c r="I1028" t="s">
        <v>4746</v>
      </c>
      <c r="J1028" t="s">
        <v>10</v>
      </c>
      <c r="K1028">
        <v>65</v>
      </c>
      <c r="L1028">
        <v>0.71</v>
      </c>
      <c r="M1028">
        <v>8531</v>
      </c>
      <c r="N1028" t="s">
        <v>125</v>
      </c>
      <c r="P1028" t="s">
        <v>4474</v>
      </c>
      <c r="Q1028" t="s">
        <v>2206</v>
      </c>
      <c r="R1028" t="s">
        <v>159</v>
      </c>
      <c r="S1028">
        <v>140</v>
      </c>
      <c r="T1028">
        <v>162</v>
      </c>
      <c r="U1028">
        <v>853</v>
      </c>
      <c r="V1028" t="s">
        <v>4747</v>
      </c>
      <c r="W1028" t="s">
        <v>4748</v>
      </c>
      <c r="X1028" t="s">
        <v>79</v>
      </c>
    </row>
    <row r="1029" spans="1:24">
      <c r="A1029">
        <v>86010</v>
      </c>
      <c r="B1029" t="s">
        <v>4749</v>
      </c>
      <c r="C1029" t="s">
        <v>2364</v>
      </c>
      <c r="F1029" t="s">
        <v>2364</v>
      </c>
      <c r="G1029">
        <v>4</v>
      </c>
      <c r="H1029">
        <v>105</v>
      </c>
      <c r="I1029" t="s">
        <v>4750</v>
      </c>
      <c r="J1029" t="s">
        <v>2364</v>
      </c>
      <c r="K1029">
        <v>3091202.17</v>
      </c>
      <c r="L1029">
        <v>13272.83</v>
      </c>
      <c r="M1029">
        <v>8601</v>
      </c>
      <c r="N1029" t="s">
        <v>79</v>
      </c>
      <c r="O1029">
        <v>3</v>
      </c>
      <c r="P1029" t="s">
        <v>2205</v>
      </c>
      <c r="Q1029" t="s">
        <v>2206</v>
      </c>
      <c r="R1029" t="s">
        <v>2102</v>
      </c>
      <c r="S1029">
        <v>268</v>
      </c>
      <c r="T1029">
        <v>269</v>
      </c>
      <c r="U1029">
        <v>860</v>
      </c>
      <c r="V1029" t="s">
        <v>4751</v>
      </c>
      <c r="W1029" t="s">
        <v>4752</v>
      </c>
      <c r="X1029" t="s">
        <v>79</v>
      </c>
    </row>
    <row r="1030" spans="1:24">
      <c r="A1030">
        <v>86020</v>
      </c>
      <c r="B1030" t="s">
        <v>4753</v>
      </c>
      <c r="C1030" t="s">
        <v>2162</v>
      </c>
      <c r="F1030" t="s">
        <v>2162</v>
      </c>
      <c r="G1030">
        <v>13</v>
      </c>
      <c r="H1030">
        <v>220</v>
      </c>
      <c r="I1030" t="s">
        <v>2595</v>
      </c>
      <c r="J1030" t="s">
        <v>2162</v>
      </c>
      <c r="K1030">
        <v>44583.68</v>
      </c>
      <c r="L1030">
        <v>188.93</v>
      </c>
      <c r="M1030">
        <v>1495</v>
      </c>
      <c r="N1030" t="s">
        <v>79</v>
      </c>
      <c r="O1030">
        <v>1</v>
      </c>
      <c r="P1030" t="s">
        <v>2509</v>
      </c>
      <c r="Q1030" t="s">
        <v>2154</v>
      </c>
      <c r="R1030" t="s">
        <v>159</v>
      </c>
      <c r="S1030">
        <v>65</v>
      </c>
      <c r="T1030">
        <v>65</v>
      </c>
      <c r="U1030">
        <v>860</v>
      </c>
      <c r="V1030" t="s">
        <v>4751</v>
      </c>
      <c r="W1030" t="s">
        <v>4754</v>
      </c>
      <c r="X1030" t="s">
        <v>79</v>
      </c>
    </row>
    <row r="1031" spans="1:24">
      <c r="A1031">
        <v>86030</v>
      </c>
      <c r="B1031" t="s">
        <v>4755</v>
      </c>
      <c r="C1031" t="s">
        <v>2364</v>
      </c>
      <c r="E1031" t="s">
        <v>2098</v>
      </c>
      <c r="F1031" t="s">
        <v>2364</v>
      </c>
      <c r="G1031">
        <v>210</v>
      </c>
      <c r="H1031">
        <v>2300</v>
      </c>
      <c r="I1031" t="s">
        <v>4756</v>
      </c>
      <c r="J1031" t="s">
        <v>2098</v>
      </c>
      <c r="K1031">
        <v>16736.09</v>
      </c>
      <c r="L1031">
        <v>236.04</v>
      </c>
      <c r="M1031">
        <v>8611</v>
      </c>
      <c r="N1031" t="s">
        <v>79</v>
      </c>
      <c r="O1031">
        <v>3</v>
      </c>
      <c r="P1031" t="s">
        <v>2205</v>
      </c>
      <c r="Q1031" t="s">
        <v>2206</v>
      </c>
      <c r="R1031" t="s">
        <v>159</v>
      </c>
      <c r="S1031">
        <v>104</v>
      </c>
      <c r="T1031">
        <v>113</v>
      </c>
      <c r="U1031">
        <v>860</v>
      </c>
      <c r="V1031" t="s">
        <v>4751</v>
      </c>
      <c r="W1031" t="s">
        <v>4757</v>
      </c>
      <c r="X1031" t="s">
        <v>79</v>
      </c>
    </row>
    <row r="1032" spans="1:24">
      <c r="A1032">
        <v>86040</v>
      </c>
      <c r="B1032" t="s">
        <v>4758</v>
      </c>
      <c r="C1032" t="s">
        <v>2364</v>
      </c>
      <c r="F1032" t="s">
        <v>2364</v>
      </c>
      <c r="G1032">
        <v>4</v>
      </c>
      <c r="H1032">
        <v>105</v>
      </c>
      <c r="I1032" t="s">
        <v>4750</v>
      </c>
      <c r="J1032" t="s">
        <v>2364</v>
      </c>
      <c r="K1032">
        <v>3091202.17</v>
      </c>
      <c r="L1032">
        <v>13272.83</v>
      </c>
      <c r="M1032">
        <v>8601</v>
      </c>
      <c r="N1032" t="s">
        <v>79</v>
      </c>
      <c r="O1032">
        <v>3</v>
      </c>
      <c r="P1032" t="s">
        <v>2205</v>
      </c>
      <c r="Q1032" t="s">
        <v>2206</v>
      </c>
      <c r="R1032" t="s">
        <v>2102</v>
      </c>
      <c r="S1032">
        <v>36</v>
      </c>
      <c r="T1032">
        <v>36</v>
      </c>
      <c r="U1032">
        <v>860</v>
      </c>
      <c r="V1032" t="s">
        <v>4751</v>
      </c>
      <c r="W1032" t="s">
        <v>4759</v>
      </c>
      <c r="X1032" t="s">
        <v>79</v>
      </c>
    </row>
    <row r="1033" spans="1:24">
      <c r="A1033">
        <v>86041</v>
      </c>
      <c r="B1033" t="s">
        <v>4760</v>
      </c>
      <c r="C1033" t="s">
        <v>10</v>
      </c>
      <c r="D1033" t="s">
        <v>10</v>
      </c>
      <c r="F1033" t="s">
        <v>2162</v>
      </c>
      <c r="G1033">
        <v>1</v>
      </c>
      <c r="H1033">
        <v>6</v>
      </c>
      <c r="I1033" t="s">
        <v>4761</v>
      </c>
      <c r="J1033" t="s">
        <v>2162</v>
      </c>
      <c r="K1033">
        <v>77888.960000000006</v>
      </c>
      <c r="L1033">
        <v>7236.68</v>
      </c>
      <c r="M1033">
        <v>8923</v>
      </c>
      <c r="N1033" t="s">
        <v>79</v>
      </c>
      <c r="P1033" t="s">
        <v>2550</v>
      </c>
      <c r="Q1033" t="s">
        <v>2169</v>
      </c>
      <c r="R1033" t="s">
        <v>159</v>
      </c>
      <c r="S1033">
        <v>3</v>
      </c>
      <c r="T1033">
        <v>3</v>
      </c>
      <c r="U1033">
        <v>860</v>
      </c>
      <c r="V1033" t="s">
        <v>4751</v>
      </c>
      <c r="W1033" t="s">
        <v>4762</v>
      </c>
      <c r="X1033" t="s">
        <v>79</v>
      </c>
    </row>
    <row r="1034" spans="1:24">
      <c r="A1034">
        <v>87110</v>
      </c>
      <c r="B1034" t="s">
        <v>4763</v>
      </c>
      <c r="C1034" t="s">
        <v>2098</v>
      </c>
      <c r="F1034" t="s">
        <v>2098</v>
      </c>
      <c r="G1034">
        <v>1700</v>
      </c>
      <c r="H1034">
        <v>140000</v>
      </c>
      <c r="I1034" t="s">
        <v>4764</v>
      </c>
      <c r="J1034" t="s">
        <v>2098</v>
      </c>
      <c r="K1034">
        <v>159.54</v>
      </c>
      <c r="L1034">
        <v>4.2000000000000003E-2</v>
      </c>
      <c r="M1034">
        <v>8711</v>
      </c>
      <c r="N1034" t="s">
        <v>79</v>
      </c>
      <c r="O1034">
        <v>2</v>
      </c>
      <c r="P1034" t="s">
        <v>2205</v>
      </c>
      <c r="Q1034" t="s">
        <v>2206</v>
      </c>
      <c r="R1034" t="s">
        <v>2102</v>
      </c>
      <c r="S1034">
        <v>720</v>
      </c>
      <c r="T1034">
        <v>734</v>
      </c>
      <c r="U1034">
        <v>871</v>
      </c>
      <c r="V1034" t="s">
        <v>4687</v>
      </c>
      <c r="W1034" t="s">
        <v>4765</v>
      </c>
      <c r="X1034" t="s">
        <v>79</v>
      </c>
    </row>
    <row r="1035" spans="1:24">
      <c r="A1035">
        <v>87111</v>
      </c>
      <c r="B1035" t="s">
        <v>4766</v>
      </c>
      <c r="C1035" t="s">
        <v>4556</v>
      </c>
      <c r="F1035" t="s">
        <v>4556</v>
      </c>
      <c r="G1035">
        <v>220</v>
      </c>
      <c r="H1035">
        <v>10400</v>
      </c>
      <c r="I1035" t="s">
        <v>4560</v>
      </c>
      <c r="J1035" t="s">
        <v>4556</v>
      </c>
      <c r="K1035">
        <v>57.44</v>
      </c>
      <c r="L1035">
        <v>3.97</v>
      </c>
      <c r="M1035">
        <v>8313</v>
      </c>
      <c r="N1035" t="s">
        <v>79</v>
      </c>
      <c r="O1035">
        <v>3</v>
      </c>
      <c r="P1035" t="s">
        <v>2205</v>
      </c>
      <c r="Q1035" t="s">
        <v>2206</v>
      </c>
      <c r="R1035" t="s">
        <v>159</v>
      </c>
      <c r="S1035">
        <v>534</v>
      </c>
      <c r="T1035">
        <v>538</v>
      </c>
      <c r="U1035">
        <v>871</v>
      </c>
      <c r="V1035" t="s">
        <v>4687</v>
      </c>
      <c r="W1035" t="s">
        <v>4767</v>
      </c>
      <c r="X1035" t="s">
        <v>79</v>
      </c>
    </row>
    <row r="1036" spans="1:24">
      <c r="A1036">
        <v>87115</v>
      </c>
      <c r="B1036" t="s">
        <v>4768</v>
      </c>
      <c r="C1036" t="s">
        <v>2162</v>
      </c>
      <c r="E1036" t="s">
        <v>4556</v>
      </c>
      <c r="F1036" t="s">
        <v>2162</v>
      </c>
      <c r="G1036">
        <v>800</v>
      </c>
      <c r="H1036">
        <v>8000</v>
      </c>
      <c r="I1036" t="s">
        <v>4681</v>
      </c>
      <c r="J1036" t="s">
        <v>4556</v>
      </c>
      <c r="K1036">
        <v>85.35</v>
      </c>
      <c r="L1036">
        <v>5.27</v>
      </c>
      <c r="M1036">
        <v>8452</v>
      </c>
      <c r="N1036" t="s">
        <v>79</v>
      </c>
      <c r="O1036">
        <v>3</v>
      </c>
      <c r="P1036" t="s">
        <v>2205</v>
      </c>
      <c r="Q1036" t="s">
        <v>2206</v>
      </c>
      <c r="R1036" t="s">
        <v>159</v>
      </c>
      <c r="S1036">
        <v>73</v>
      </c>
      <c r="T1036">
        <v>73</v>
      </c>
      <c r="U1036">
        <v>871</v>
      </c>
      <c r="V1036" t="s">
        <v>4687</v>
      </c>
      <c r="W1036" t="s">
        <v>4769</v>
      </c>
      <c r="X1036" t="s">
        <v>79</v>
      </c>
    </row>
    <row r="1037" spans="1:24">
      <c r="A1037">
        <v>87116</v>
      </c>
      <c r="B1037" t="s">
        <v>4770</v>
      </c>
      <c r="C1037" t="s">
        <v>2176</v>
      </c>
      <c r="E1037" t="s">
        <v>2176</v>
      </c>
      <c r="G1037">
        <v>3500000</v>
      </c>
      <c r="H1037">
        <v>75000000</v>
      </c>
      <c r="I1037" t="s">
        <v>4771</v>
      </c>
      <c r="J1037" t="s">
        <v>2176</v>
      </c>
      <c r="K1037">
        <v>0.3</v>
      </c>
      <c r="L1037">
        <v>3.7272E-3</v>
      </c>
      <c r="M1037">
        <v>8715</v>
      </c>
      <c r="N1037" t="s">
        <v>79</v>
      </c>
      <c r="O1037">
        <v>3</v>
      </c>
      <c r="P1037" t="s">
        <v>2205</v>
      </c>
      <c r="Q1037" t="s">
        <v>2206</v>
      </c>
      <c r="R1037" t="s">
        <v>159</v>
      </c>
      <c r="S1037">
        <v>1430</v>
      </c>
      <c r="T1037">
        <v>1435</v>
      </c>
      <c r="U1037">
        <v>871</v>
      </c>
      <c r="V1037" t="s">
        <v>4687</v>
      </c>
      <c r="W1037" t="s">
        <v>4772</v>
      </c>
      <c r="X1037" t="s">
        <v>79</v>
      </c>
    </row>
    <row r="1038" spans="1:24">
      <c r="A1038">
        <v>87120</v>
      </c>
      <c r="B1038" t="s">
        <v>4773</v>
      </c>
      <c r="C1038" t="s">
        <v>2098</v>
      </c>
      <c r="F1038" t="s">
        <v>2098</v>
      </c>
      <c r="G1038">
        <v>1700</v>
      </c>
      <c r="H1038">
        <v>140000</v>
      </c>
      <c r="I1038" t="s">
        <v>4764</v>
      </c>
      <c r="J1038" t="s">
        <v>2098</v>
      </c>
      <c r="K1038">
        <v>159.54</v>
      </c>
      <c r="L1038">
        <v>4.2000000000000003E-2</v>
      </c>
      <c r="M1038">
        <v>8711</v>
      </c>
      <c r="N1038" t="s">
        <v>79</v>
      </c>
      <c r="O1038">
        <v>2</v>
      </c>
      <c r="P1038" t="s">
        <v>2205</v>
      </c>
      <c r="Q1038" t="s">
        <v>2206</v>
      </c>
      <c r="R1038" t="s">
        <v>2102</v>
      </c>
      <c r="S1038">
        <v>424</v>
      </c>
      <c r="T1038">
        <v>431</v>
      </c>
      <c r="U1038">
        <v>871</v>
      </c>
      <c r="V1038" t="s">
        <v>4687</v>
      </c>
      <c r="W1038" t="s">
        <v>4774</v>
      </c>
      <c r="X1038" t="s">
        <v>79</v>
      </c>
    </row>
    <row r="1039" spans="1:24">
      <c r="A1039">
        <v>87125</v>
      </c>
      <c r="B1039" t="s">
        <v>4775</v>
      </c>
      <c r="C1039" t="s">
        <v>2098</v>
      </c>
      <c r="E1039" t="s">
        <v>2162</v>
      </c>
      <c r="F1039" t="s">
        <v>2098</v>
      </c>
      <c r="G1039">
        <v>1</v>
      </c>
      <c r="H1039">
        <v>1</v>
      </c>
      <c r="I1039" t="s">
        <v>4776</v>
      </c>
      <c r="J1039" t="s">
        <v>2162</v>
      </c>
      <c r="K1039">
        <v>2517030.0299999998</v>
      </c>
      <c r="L1039">
        <v>3391.79</v>
      </c>
      <c r="M1039">
        <v>8713</v>
      </c>
      <c r="N1039" t="s">
        <v>79</v>
      </c>
      <c r="O1039">
        <v>3</v>
      </c>
      <c r="P1039" t="s">
        <v>2205</v>
      </c>
      <c r="Q1039" t="s">
        <v>2206</v>
      </c>
      <c r="R1039" t="s">
        <v>159</v>
      </c>
      <c r="S1039">
        <v>140</v>
      </c>
      <c r="T1039">
        <v>141</v>
      </c>
      <c r="U1039">
        <v>871</v>
      </c>
      <c r="V1039" t="s">
        <v>4687</v>
      </c>
      <c r="W1039" t="s">
        <v>4777</v>
      </c>
      <c r="X1039" t="s">
        <v>79</v>
      </c>
    </row>
    <row r="1040" spans="1:24">
      <c r="A1040">
        <v>87126</v>
      </c>
      <c r="B1040" t="s">
        <v>4778</v>
      </c>
      <c r="C1040" t="s">
        <v>2162</v>
      </c>
      <c r="E1040" t="s">
        <v>2162</v>
      </c>
      <c r="F1040" t="s">
        <v>2098</v>
      </c>
      <c r="G1040">
        <v>930</v>
      </c>
      <c r="H1040">
        <v>18000</v>
      </c>
      <c r="I1040" t="s">
        <v>4779</v>
      </c>
      <c r="J1040" t="s">
        <v>2098</v>
      </c>
      <c r="K1040">
        <v>979.63</v>
      </c>
      <c r="L1040">
        <v>10.85</v>
      </c>
      <c r="M1040">
        <v>8714</v>
      </c>
      <c r="N1040" t="s">
        <v>79</v>
      </c>
      <c r="O1040">
        <v>3</v>
      </c>
      <c r="P1040" t="s">
        <v>2205</v>
      </c>
      <c r="Q1040" t="s">
        <v>2206</v>
      </c>
      <c r="R1040" t="s">
        <v>159</v>
      </c>
      <c r="S1040">
        <v>30</v>
      </c>
      <c r="T1040">
        <v>31</v>
      </c>
      <c r="U1040">
        <v>871</v>
      </c>
      <c r="V1040" t="s">
        <v>4687</v>
      </c>
      <c r="W1040" t="s">
        <v>4780</v>
      </c>
      <c r="X1040" t="s">
        <v>79</v>
      </c>
    </row>
    <row r="1041" spans="1:24">
      <c r="A1041">
        <v>87130</v>
      </c>
      <c r="B1041" t="s">
        <v>4781</v>
      </c>
      <c r="C1041" t="s">
        <v>2098</v>
      </c>
      <c r="E1041" t="s">
        <v>2098</v>
      </c>
      <c r="F1041" t="s">
        <v>2162</v>
      </c>
      <c r="G1041">
        <v>12000</v>
      </c>
      <c r="H1041">
        <v>300000</v>
      </c>
      <c r="I1041" t="s">
        <v>4697</v>
      </c>
      <c r="J1041" t="s">
        <v>2098</v>
      </c>
      <c r="K1041">
        <v>195.08</v>
      </c>
      <c r="L1041">
        <v>0.98</v>
      </c>
      <c r="M1041">
        <v>8451</v>
      </c>
      <c r="N1041" t="s">
        <v>79</v>
      </c>
      <c r="O1041">
        <v>3</v>
      </c>
      <c r="P1041" t="s">
        <v>2205</v>
      </c>
      <c r="Q1041" t="s">
        <v>2206</v>
      </c>
      <c r="R1041" t="s">
        <v>2102</v>
      </c>
      <c r="S1041">
        <v>204</v>
      </c>
      <c r="T1041">
        <v>207</v>
      </c>
      <c r="U1041">
        <v>871</v>
      </c>
      <c r="V1041" t="s">
        <v>4687</v>
      </c>
      <c r="W1041" t="s">
        <v>4782</v>
      </c>
      <c r="X1041" t="s">
        <v>79</v>
      </c>
    </row>
    <row r="1042" spans="1:24">
      <c r="A1042">
        <v>87135</v>
      </c>
      <c r="B1042" t="s">
        <v>4783</v>
      </c>
      <c r="C1042" t="s">
        <v>2098</v>
      </c>
      <c r="F1042" t="s">
        <v>2098</v>
      </c>
      <c r="G1042">
        <v>400</v>
      </c>
      <c r="H1042">
        <v>15000</v>
      </c>
      <c r="I1042" t="s">
        <v>4784</v>
      </c>
      <c r="J1042" t="s">
        <v>2098</v>
      </c>
      <c r="K1042">
        <v>386.56</v>
      </c>
      <c r="L1042">
        <v>0.86</v>
      </c>
      <c r="M1042">
        <v>8712</v>
      </c>
      <c r="N1042" t="s">
        <v>79</v>
      </c>
      <c r="O1042">
        <v>3</v>
      </c>
      <c r="P1042" t="s">
        <v>2205</v>
      </c>
      <c r="Q1042" t="s">
        <v>2206</v>
      </c>
      <c r="R1042" t="s">
        <v>159</v>
      </c>
      <c r="S1042">
        <v>558</v>
      </c>
      <c r="T1042">
        <v>562</v>
      </c>
      <c r="U1042">
        <v>871</v>
      </c>
      <c r="V1042" t="s">
        <v>4687</v>
      </c>
      <c r="W1042" t="s">
        <v>4785</v>
      </c>
      <c r="X1042" t="s">
        <v>79</v>
      </c>
    </row>
    <row r="1043" spans="1:24">
      <c r="A1043">
        <v>87145</v>
      </c>
      <c r="B1043" t="s">
        <v>4786</v>
      </c>
      <c r="C1043" t="s">
        <v>2098</v>
      </c>
      <c r="E1043" t="s">
        <v>2098</v>
      </c>
      <c r="F1043" t="s">
        <v>2162</v>
      </c>
      <c r="G1043">
        <v>930</v>
      </c>
      <c r="H1043">
        <v>18000</v>
      </c>
      <c r="I1043" t="s">
        <v>4779</v>
      </c>
      <c r="J1043" t="s">
        <v>2098</v>
      </c>
      <c r="K1043">
        <v>979.63</v>
      </c>
      <c r="L1043">
        <v>10.85</v>
      </c>
      <c r="M1043">
        <v>8714</v>
      </c>
      <c r="N1043" t="s">
        <v>79</v>
      </c>
      <c r="O1043">
        <v>3</v>
      </c>
      <c r="P1043" t="s">
        <v>2205</v>
      </c>
      <c r="Q1043" t="s">
        <v>2206</v>
      </c>
      <c r="R1043" t="s">
        <v>159</v>
      </c>
      <c r="S1043">
        <v>10</v>
      </c>
      <c r="T1043">
        <v>10</v>
      </c>
      <c r="U1043">
        <v>871</v>
      </c>
      <c r="V1043" t="s">
        <v>4687</v>
      </c>
      <c r="W1043" t="s">
        <v>4787</v>
      </c>
      <c r="X1043" t="s">
        <v>79</v>
      </c>
    </row>
    <row r="1044" spans="1:24">
      <c r="A1044">
        <v>87210</v>
      </c>
      <c r="B1044" t="s">
        <v>4788</v>
      </c>
      <c r="C1044" t="s">
        <v>2098</v>
      </c>
      <c r="F1044" t="s">
        <v>2098</v>
      </c>
      <c r="G1044">
        <v>1700</v>
      </c>
      <c r="H1044">
        <v>280000</v>
      </c>
      <c r="I1044" t="s">
        <v>4789</v>
      </c>
      <c r="J1044" t="s">
        <v>2098</v>
      </c>
      <c r="K1044">
        <v>123.21</v>
      </c>
      <c r="L1044">
        <v>1.38</v>
      </c>
      <c r="M1044">
        <v>8721</v>
      </c>
      <c r="N1044" t="s">
        <v>79</v>
      </c>
      <c r="O1044">
        <v>3</v>
      </c>
      <c r="P1044" t="s">
        <v>4134</v>
      </c>
      <c r="Q1044" t="s">
        <v>2206</v>
      </c>
      <c r="R1044" t="s">
        <v>2102</v>
      </c>
      <c r="S1044">
        <v>1168</v>
      </c>
      <c r="T1044">
        <v>1203</v>
      </c>
      <c r="U1044">
        <v>872</v>
      </c>
      <c r="V1044" t="s">
        <v>4790</v>
      </c>
      <c r="W1044" t="s">
        <v>4791</v>
      </c>
      <c r="X1044" t="s">
        <v>79</v>
      </c>
    </row>
    <row r="1045" spans="1:24">
      <c r="A1045">
        <v>87211</v>
      </c>
      <c r="B1045" t="s">
        <v>4792</v>
      </c>
      <c r="C1045" t="s">
        <v>2098</v>
      </c>
      <c r="E1045" t="s">
        <v>2098</v>
      </c>
      <c r="G1045">
        <v>2100</v>
      </c>
      <c r="H1045">
        <v>250000</v>
      </c>
      <c r="I1045" t="s">
        <v>4793</v>
      </c>
      <c r="J1045" t="s">
        <v>2098</v>
      </c>
      <c r="K1045">
        <v>140.25</v>
      </c>
      <c r="L1045">
        <v>5.05</v>
      </c>
      <c r="M1045">
        <v>8722</v>
      </c>
      <c r="N1045" t="s">
        <v>79</v>
      </c>
      <c r="O1045">
        <v>3</v>
      </c>
      <c r="P1045" t="s">
        <v>4134</v>
      </c>
      <c r="Q1045" t="s">
        <v>2206</v>
      </c>
      <c r="R1045" t="s">
        <v>2102</v>
      </c>
      <c r="S1045">
        <v>233</v>
      </c>
      <c r="T1045">
        <v>258</v>
      </c>
      <c r="U1045">
        <v>872</v>
      </c>
      <c r="V1045" t="s">
        <v>4790</v>
      </c>
      <c r="W1045" t="s">
        <v>4794</v>
      </c>
      <c r="X1045" t="s">
        <v>79</v>
      </c>
    </row>
    <row r="1046" spans="1:24">
      <c r="A1046">
        <v>87215</v>
      </c>
      <c r="B1046" t="s">
        <v>4795</v>
      </c>
      <c r="C1046" t="s">
        <v>2098</v>
      </c>
      <c r="F1046" t="s">
        <v>2098</v>
      </c>
      <c r="G1046">
        <v>1700</v>
      </c>
      <c r="H1046">
        <v>280000</v>
      </c>
      <c r="I1046" t="s">
        <v>4789</v>
      </c>
      <c r="J1046" t="s">
        <v>2098</v>
      </c>
      <c r="K1046">
        <v>123.21</v>
      </c>
      <c r="L1046">
        <v>1.38</v>
      </c>
      <c r="M1046">
        <v>8721</v>
      </c>
      <c r="N1046" t="s">
        <v>79</v>
      </c>
      <c r="O1046">
        <v>1</v>
      </c>
      <c r="P1046" t="s">
        <v>4127</v>
      </c>
      <c r="Q1046" t="s">
        <v>2206</v>
      </c>
      <c r="R1046" t="s">
        <v>2102</v>
      </c>
      <c r="S1046">
        <v>1582</v>
      </c>
      <c r="T1046">
        <v>1822</v>
      </c>
      <c r="U1046">
        <v>872</v>
      </c>
      <c r="V1046" t="s">
        <v>4790</v>
      </c>
      <c r="W1046" t="s">
        <v>4796</v>
      </c>
      <c r="X1046" t="s">
        <v>79</v>
      </c>
    </row>
    <row r="1047" spans="1:24">
      <c r="A1047">
        <v>87220</v>
      </c>
      <c r="B1047" t="s">
        <v>4797</v>
      </c>
      <c r="C1047" t="s">
        <v>2162</v>
      </c>
      <c r="D1047" t="s">
        <v>10</v>
      </c>
      <c r="E1047" t="s">
        <v>2098</v>
      </c>
      <c r="F1047" t="s">
        <v>2162</v>
      </c>
      <c r="G1047">
        <v>35</v>
      </c>
      <c r="H1047">
        <v>275</v>
      </c>
      <c r="I1047" t="s">
        <v>2970</v>
      </c>
      <c r="J1047" t="s">
        <v>2098</v>
      </c>
      <c r="K1047">
        <v>25341.83</v>
      </c>
      <c r="L1047">
        <v>883.52</v>
      </c>
      <c r="M1047">
        <v>1734</v>
      </c>
      <c r="N1047" t="s">
        <v>79</v>
      </c>
      <c r="O1047">
        <v>2</v>
      </c>
      <c r="P1047" t="s">
        <v>4134</v>
      </c>
      <c r="Q1047" t="s">
        <v>2206</v>
      </c>
      <c r="R1047" t="s">
        <v>159</v>
      </c>
      <c r="S1047">
        <v>178</v>
      </c>
      <c r="T1047">
        <v>180</v>
      </c>
      <c r="U1047">
        <v>872</v>
      </c>
      <c r="V1047" t="s">
        <v>4790</v>
      </c>
      <c r="W1047" t="s">
        <v>4798</v>
      </c>
      <c r="X1047" t="s">
        <v>79</v>
      </c>
    </row>
    <row r="1048" spans="1:24">
      <c r="A1048">
        <v>87230</v>
      </c>
      <c r="B1048" t="s">
        <v>4799</v>
      </c>
      <c r="C1048" t="s">
        <v>2162</v>
      </c>
      <c r="E1048" t="s">
        <v>2162</v>
      </c>
      <c r="G1048">
        <v>3</v>
      </c>
      <c r="H1048">
        <v>22</v>
      </c>
      <c r="I1048" t="s">
        <v>4799</v>
      </c>
      <c r="J1048" t="s">
        <v>2162</v>
      </c>
      <c r="K1048">
        <v>104442.27</v>
      </c>
      <c r="L1048">
        <v>9091.7199999999993</v>
      </c>
      <c r="M1048">
        <v>1458</v>
      </c>
      <c r="N1048" t="s">
        <v>79</v>
      </c>
      <c r="O1048">
        <v>1</v>
      </c>
      <c r="P1048" t="s">
        <v>4134</v>
      </c>
      <c r="Q1048" t="s">
        <v>2206</v>
      </c>
      <c r="R1048" t="s">
        <v>159</v>
      </c>
      <c r="S1048">
        <v>478</v>
      </c>
      <c r="T1048">
        <v>479</v>
      </c>
      <c r="U1048">
        <v>872</v>
      </c>
      <c r="V1048" t="s">
        <v>4790</v>
      </c>
      <c r="W1048" t="s">
        <v>4800</v>
      </c>
      <c r="X1048" t="s">
        <v>79</v>
      </c>
    </row>
    <row r="1049" spans="1:24">
      <c r="A1049">
        <v>87250</v>
      </c>
      <c r="B1049" t="s">
        <v>4801</v>
      </c>
      <c r="C1049" t="s">
        <v>2098</v>
      </c>
      <c r="F1049" t="s">
        <v>2098</v>
      </c>
      <c r="G1049">
        <v>1700</v>
      </c>
      <c r="H1049">
        <v>280000</v>
      </c>
      <c r="I1049" t="s">
        <v>4789</v>
      </c>
      <c r="J1049" t="s">
        <v>2098</v>
      </c>
      <c r="K1049">
        <v>123.21</v>
      </c>
      <c r="L1049">
        <v>1.38</v>
      </c>
      <c r="M1049">
        <v>8721</v>
      </c>
      <c r="N1049" t="s">
        <v>79</v>
      </c>
      <c r="P1049" t="s">
        <v>4127</v>
      </c>
      <c r="Q1049" t="s">
        <v>2206</v>
      </c>
      <c r="R1049" t="s">
        <v>2102</v>
      </c>
      <c r="S1049">
        <v>3</v>
      </c>
      <c r="T1049">
        <v>4</v>
      </c>
      <c r="U1049">
        <v>872</v>
      </c>
      <c r="V1049" t="s">
        <v>4790</v>
      </c>
      <c r="W1049" t="s">
        <v>4802</v>
      </c>
      <c r="X1049" t="s">
        <v>79</v>
      </c>
    </row>
    <row r="1050" spans="1:24">
      <c r="A1050">
        <v>88010</v>
      </c>
      <c r="B1050" t="s">
        <v>4803</v>
      </c>
      <c r="C1050" t="s">
        <v>2364</v>
      </c>
      <c r="F1050" t="s">
        <v>2364</v>
      </c>
      <c r="G1050">
        <v>19</v>
      </c>
      <c r="H1050">
        <v>1000</v>
      </c>
      <c r="I1050" t="s">
        <v>2368</v>
      </c>
      <c r="J1050" t="s">
        <v>2364</v>
      </c>
      <c r="K1050">
        <v>379962.57</v>
      </c>
      <c r="M1050">
        <v>1353</v>
      </c>
      <c r="N1050" t="s">
        <v>79</v>
      </c>
      <c r="O1050">
        <v>1</v>
      </c>
      <c r="P1050" t="s">
        <v>2293</v>
      </c>
      <c r="Q1050" t="s">
        <v>2206</v>
      </c>
      <c r="R1050" t="s">
        <v>2102</v>
      </c>
      <c r="S1050">
        <v>36</v>
      </c>
      <c r="T1050">
        <v>39</v>
      </c>
      <c r="U1050">
        <v>880</v>
      </c>
      <c r="V1050" t="s">
        <v>4804</v>
      </c>
      <c r="W1050" t="s">
        <v>4805</v>
      </c>
      <c r="X1050" t="s">
        <v>79</v>
      </c>
    </row>
    <row r="1051" spans="1:24">
      <c r="A1051">
        <v>88020</v>
      </c>
      <c r="B1051" t="s">
        <v>4806</v>
      </c>
      <c r="C1051" t="s">
        <v>2364</v>
      </c>
      <c r="F1051" t="s">
        <v>2364</v>
      </c>
      <c r="G1051">
        <v>19</v>
      </c>
      <c r="H1051">
        <v>1000</v>
      </c>
      <c r="I1051" t="s">
        <v>2368</v>
      </c>
      <c r="J1051" t="s">
        <v>2364</v>
      </c>
      <c r="K1051">
        <v>379962.57</v>
      </c>
      <c r="M1051">
        <v>1353</v>
      </c>
      <c r="N1051" t="s">
        <v>79</v>
      </c>
      <c r="O1051">
        <v>2</v>
      </c>
      <c r="P1051" t="s">
        <v>4134</v>
      </c>
      <c r="Q1051" t="s">
        <v>2206</v>
      </c>
      <c r="R1051" t="s">
        <v>2102</v>
      </c>
      <c r="S1051">
        <v>7</v>
      </c>
      <c r="T1051">
        <v>7</v>
      </c>
      <c r="U1051">
        <v>880</v>
      </c>
      <c r="V1051" t="s">
        <v>4804</v>
      </c>
      <c r="W1051" t="s">
        <v>4807</v>
      </c>
      <c r="X1051" t="s">
        <v>79</v>
      </c>
    </row>
    <row r="1052" spans="1:24">
      <c r="A1052">
        <v>88030</v>
      </c>
      <c r="B1052" t="s">
        <v>4808</v>
      </c>
      <c r="C1052" t="s">
        <v>2364</v>
      </c>
      <c r="F1052" t="s">
        <v>2364</v>
      </c>
      <c r="G1052">
        <v>19</v>
      </c>
      <c r="H1052">
        <v>1000</v>
      </c>
      <c r="I1052" t="s">
        <v>2368</v>
      </c>
      <c r="J1052" t="s">
        <v>2364</v>
      </c>
      <c r="K1052">
        <v>379962.57</v>
      </c>
      <c r="M1052">
        <v>1353</v>
      </c>
      <c r="N1052" t="s">
        <v>79</v>
      </c>
      <c r="O1052">
        <v>3</v>
      </c>
      <c r="P1052" t="s">
        <v>2293</v>
      </c>
      <c r="Q1052" t="s">
        <v>2206</v>
      </c>
      <c r="R1052" t="s">
        <v>2102</v>
      </c>
      <c r="S1052">
        <v>10</v>
      </c>
      <c r="T1052">
        <v>10</v>
      </c>
      <c r="U1052">
        <v>880</v>
      </c>
      <c r="V1052" t="s">
        <v>4804</v>
      </c>
      <c r="W1052" t="s">
        <v>4809</v>
      </c>
      <c r="X1052" t="s">
        <v>79</v>
      </c>
    </row>
    <row r="1053" spans="1:24">
      <c r="A1053">
        <v>88040</v>
      </c>
      <c r="B1053" t="s">
        <v>4810</v>
      </c>
      <c r="C1053" t="s">
        <v>2364</v>
      </c>
      <c r="F1053" t="s">
        <v>2364</v>
      </c>
      <c r="G1053">
        <v>19</v>
      </c>
      <c r="H1053">
        <v>1000</v>
      </c>
      <c r="I1053" t="s">
        <v>2368</v>
      </c>
      <c r="J1053" t="s">
        <v>2364</v>
      </c>
      <c r="K1053">
        <v>379962.57</v>
      </c>
      <c r="M1053">
        <v>1353</v>
      </c>
      <c r="N1053" t="s">
        <v>79</v>
      </c>
      <c r="O1053">
        <v>3</v>
      </c>
      <c r="P1053" t="s">
        <v>2293</v>
      </c>
      <c r="Q1053" t="s">
        <v>2206</v>
      </c>
      <c r="R1053" t="s">
        <v>2102</v>
      </c>
      <c r="S1053">
        <v>0</v>
      </c>
      <c r="T1053">
        <v>0</v>
      </c>
      <c r="U1053">
        <v>880</v>
      </c>
      <c r="V1053" t="s">
        <v>4804</v>
      </c>
      <c r="W1053" t="s">
        <v>4811</v>
      </c>
      <c r="X1053" t="s">
        <v>79</v>
      </c>
    </row>
    <row r="1054" spans="1:24">
      <c r="A1054">
        <v>88211</v>
      </c>
      <c r="B1054" t="s">
        <v>4812</v>
      </c>
      <c r="C1054" t="s">
        <v>2162</v>
      </c>
      <c r="F1054" t="s">
        <v>2162</v>
      </c>
      <c r="G1054">
        <v>1</v>
      </c>
      <c r="H1054">
        <v>1</v>
      </c>
      <c r="I1054" t="s">
        <v>4813</v>
      </c>
      <c r="J1054" t="s">
        <v>2162</v>
      </c>
      <c r="K1054">
        <v>489817.1</v>
      </c>
      <c r="L1054">
        <v>5076.16</v>
      </c>
      <c r="M1054">
        <v>8821</v>
      </c>
      <c r="N1054" t="s">
        <v>79</v>
      </c>
      <c r="P1054" t="s">
        <v>4178</v>
      </c>
      <c r="Q1054" t="s">
        <v>2206</v>
      </c>
      <c r="R1054" t="s">
        <v>159</v>
      </c>
      <c r="S1054">
        <v>30</v>
      </c>
      <c r="T1054">
        <v>30</v>
      </c>
      <c r="U1054">
        <v>882</v>
      </c>
      <c r="V1054" t="s">
        <v>4814</v>
      </c>
      <c r="W1054" t="s">
        <v>4815</v>
      </c>
      <c r="X1054" t="s">
        <v>79</v>
      </c>
    </row>
    <row r="1055" spans="1:24">
      <c r="A1055">
        <v>88221</v>
      </c>
      <c r="B1055" t="s">
        <v>4816</v>
      </c>
      <c r="C1055" t="s">
        <v>2098</v>
      </c>
      <c r="F1055" t="s">
        <v>2098</v>
      </c>
      <c r="G1055">
        <v>5000</v>
      </c>
      <c r="H1055">
        <v>30000</v>
      </c>
      <c r="I1055" t="s">
        <v>4816</v>
      </c>
      <c r="J1055" t="s">
        <v>2098</v>
      </c>
      <c r="K1055">
        <v>611.57000000000005</v>
      </c>
      <c r="L1055">
        <v>10.85</v>
      </c>
      <c r="M1055">
        <v>8822</v>
      </c>
      <c r="N1055" t="s">
        <v>79</v>
      </c>
      <c r="P1055" t="s">
        <v>4178</v>
      </c>
      <c r="Q1055" t="s">
        <v>2206</v>
      </c>
      <c r="R1055" t="s">
        <v>2102</v>
      </c>
      <c r="S1055">
        <v>1</v>
      </c>
      <c r="T1055">
        <v>1</v>
      </c>
      <c r="U1055">
        <v>882</v>
      </c>
      <c r="V1055" t="s">
        <v>4814</v>
      </c>
      <c r="W1055" t="s">
        <v>4817</v>
      </c>
      <c r="X1055" t="s">
        <v>79</v>
      </c>
    </row>
    <row r="1056" spans="1:24">
      <c r="A1056">
        <v>89009</v>
      </c>
      <c r="B1056" t="s">
        <v>4818</v>
      </c>
      <c r="C1056" t="s">
        <v>10</v>
      </c>
      <c r="D1056" t="s">
        <v>10</v>
      </c>
      <c r="G1056">
        <v>1300</v>
      </c>
      <c r="H1056">
        <v>150000</v>
      </c>
      <c r="I1056" t="s">
        <v>4425</v>
      </c>
      <c r="J1056" t="s">
        <v>10</v>
      </c>
      <c r="K1056">
        <v>265.08</v>
      </c>
      <c r="L1056">
        <v>7.01</v>
      </c>
      <c r="M1056">
        <v>8910</v>
      </c>
      <c r="N1056" t="s">
        <v>79</v>
      </c>
      <c r="O1056">
        <v>3</v>
      </c>
      <c r="P1056" t="s">
        <v>4521</v>
      </c>
      <c r="Q1056" t="s">
        <v>4427</v>
      </c>
      <c r="R1056" t="s">
        <v>2199</v>
      </c>
      <c r="S1056">
        <v>989</v>
      </c>
      <c r="T1056">
        <v>1150</v>
      </c>
      <c r="U1056">
        <v>890</v>
      </c>
      <c r="V1056" t="s">
        <v>4819</v>
      </c>
      <c r="W1056" t="s">
        <v>4820</v>
      </c>
      <c r="X1056" t="s">
        <v>125</v>
      </c>
    </row>
    <row r="1057" spans="1:24">
      <c r="A1057">
        <v>89011</v>
      </c>
      <c r="B1057" t="s">
        <v>4821</v>
      </c>
      <c r="C1057" t="s">
        <v>2098</v>
      </c>
      <c r="F1057" t="s">
        <v>2098</v>
      </c>
      <c r="G1057">
        <v>1300</v>
      </c>
      <c r="H1057">
        <v>78000</v>
      </c>
      <c r="I1057" t="s">
        <v>4822</v>
      </c>
      <c r="J1057" t="s">
        <v>2098</v>
      </c>
      <c r="K1057">
        <v>67.150000000000006</v>
      </c>
      <c r="L1057">
        <v>0.11</v>
      </c>
      <c r="M1057">
        <v>8930</v>
      </c>
      <c r="N1057" t="s">
        <v>79</v>
      </c>
      <c r="O1057">
        <v>1</v>
      </c>
      <c r="P1057" t="s">
        <v>2205</v>
      </c>
      <c r="Q1057" t="s">
        <v>2206</v>
      </c>
      <c r="R1057" t="s">
        <v>2102</v>
      </c>
      <c r="S1057">
        <v>1</v>
      </c>
      <c r="T1057">
        <v>1</v>
      </c>
      <c r="U1057">
        <v>890</v>
      </c>
      <c r="V1057" t="s">
        <v>4819</v>
      </c>
      <c r="W1057" t="s">
        <v>4823</v>
      </c>
      <c r="X1057" t="s">
        <v>79</v>
      </c>
    </row>
    <row r="1058" spans="1:24">
      <c r="A1058">
        <v>89015</v>
      </c>
      <c r="B1058" t="s">
        <v>4824</v>
      </c>
      <c r="C1058" t="s">
        <v>2162</v>
      </c>
      <c r="F1058" t="s">
        <v>2162</v>
      </c>
      <c r="G1058">
        <v>1</v>
      </c>
      <c r="H1058">
        <v>1</v>
      </c>
      <c r="I1058" t="s">
        <v>4825</v>
      </c>
      <c r="J1058" t="s">
        <v>2162</v>
      </c>
      <c r="K1058">
        <v>385806.5</v>
      </c>
      <c r="L1058">
        <v>27730.23</v>
      </c>
      <c r="M1058">
        <v>8921</v>
      </c>
      <c r="N1058" t="s">
        <v>79</v>
      </c>
      <c r="O1058">
        <v>2</v>
      </c>
      <c r="P1058" t="s">
        <v>4521</v>
      </c>
      <c r="Q1058" t="s">
        <v>4427</v>
      </c>
      <c r="R1058" t="s">
        <v>159</v>
      </c>
      <c r="S1058">
        <v>3</v>
      </c>
      <c r="T1058">
        <v>3</v>
      </c>
      <c r="U1058">
        <v>890</v>
      </c>
      <c r="V1058" t="s">
        <v>4819</v>
      </c>
      <c r="W1058" t="s">
        <v>4826</v>
      </c>
      <c r="X1058" t="s">
        <v>125</v>
      </c>
    </row>
    <row r="1059" spans="1:24">
      <c r="A1059">
        <v>89018</v>
      </c>
      <c r="B1059" t="s">
        <v>4827</v>
      </c>
      <c r="C1059" t="s">
        <v>2162</v>
      </c>
      <c r="F1059" t="s">
        <v>2162</v>
      </c>
      <c r="G1059">
        <v>3</v>
      </c>
      <c r="H1059">
        <v>200</v>
      </c>
      <c r="I1059" t="s">
        <v>2248</v>
      </c>
      <c r="J1059" t="s">
        <v>2162</v>
      </c>
      <c r="K1059">
        <v>32240.25</v>
      </c>
      <c r="L1059">
        <v>252.36</v>
      </c>
      <c r="M1059">
        <v>8927</v>
      </c>
      <c r="N1059" t="s">
        <v>79</v>
      </c>
      <c r="O1059">
        <v>2</v>
      </c>
      <c r="P1059" t="s">
        <v>4426</v>
      </c>
      <c r="Q1059" t="s">
        <v>4427</v>
      </c>
      <c r="R1059" t="s">
        <v>159</v>
      </c>
      <c r="S1059">
        <v>129</v>
      </c>
      <c r="T1059">
        <v>129</v>
      </c>
      <c r="U1059">
        <v>890</v>
      </c>
      <c r="V1059" t="s">
        <v>4819</v>
      </c>
      <c r="W1059" t="s">
        <v>4828</v>
      </c>
      <c r="X1059" t="s">
        <v>125</v>
      </c>
    </row>
    <row r="1060" spans="1:24">
      <c r="A1060">
        <v>89020</v>
      </c>
      <c r="B1060" t="s">
        <v>4829</v>
      </c>
      <c r="C1060" t="s">
        <v>2162</v>
      </c>
      <c r="F1060" t="s">
        <v>2162</v>
      </c>
      <c r="G1060">
        <v>1</v>
      </c>
      <c r="H1060">
        <v>1</v>
      </c>
      <c r="I1060" t="s">
        <v>4825</v>
      </c>
      <c r="J1060" t="s">
        <v>2162</v>
      </c>
      <c r="K1060">
        <v>385806.5</v>
      </c>
      <c r="L1060">
        <v>27730.23</v>
      </c>
      <c r="M1060">
        <v>8921</v>
      </c>
      <c r="N1060" t="s">
        <v>79</v>
      </c>
      <c r="O1060">
        <v>3</v>
      </c>
      <c r="P1060" t="s">
        <v>4521</v>
      </c>
      <c r="Q1060" t="s">
        <v>4427</v>
      </c>
      <c r="R1060" t="s">
        <v>159</v>
      </c>
      <c r="S1060">
        <v>69</v>
      </c>
      <c r="T1060">
        <v>70</v>
      </c>
      <c r="U1060">
        <v>890</v>
      </c>
      <c r="V1060" t="s">
        <v>4819</v>
      </c>
      <c r="W1060" t="s">
        <v>4830</v>
      </c>
      <c r="X1060" t="s">
        <v>125</v>
      </c>
    </row>
    <row r="1061" spans="1:24">
      <c r="A1061">
        <v>89021</v>
      </c>
      <c r="B1061" t="s">
        <v>4831</v>
      </c>
      <c r="C1061" t="s">
        <v>2098</v>
      </c>
      <c r="F1061" t="s">
        <v>2098</v>
      </c>
      <c r="G1061">
        <v>1300</v>
      </c>
      <c r="H1061">
        <v>78000</v>
      </c>
      <c r="I1061" t="s">
        <v>4822</v>
      </c>
      <c r="J1061" t="s">
        <v>2098</v>
      </c>
      <c r="K1061">
        <v>67.150000000000006</v>
      </c>
      <c r="L1061">
        <v>0.11</v>
      </c>
      <c r="M1061">
        <v>8930</v>
      </c>
      <c r="N1061" t="s">
        <v>79</v>
      </c>
      <c r="O1061">
        <v>3</v>
      </c>
      <c r="P1061" t="s">
        <v>4521</v>
      </c>
      <c r="Q1061" t="s">
        <v>4427</v>
      </c>
      <c r="R1061" t="s">
        <v>2102</v>
      </c>
      <c r="S1061">
        <v>167</v>
      </c>
      <c r="T1061">
        <v>168</v>
      </c>
      <c r="U1061">
        <v>890</v>
      </c>
      <c r="V1061" t="s">
        <v>4819</v>
      </c>
      <c r="W1061" t="s">
        <v>4830</v>
      </c>
      <c r="X1061" t="s">
        <v>125</v>
      </c>
    </row>
    <row r="1062" spans="1:24">
      <c r="A1062">
        <v>89025</v>
      </c>
      <c r="B1062" t="s">
        <v>4832</v>
      </c>
      <c r="C1062" t="s">
        <v>2162</v>
      </c>
      <c r="F1062" t="s">
        <v>2162</v>
      </c>
      <c r="G1062">
        <v>1</v>
      </c>
      <c r="H1062">
        <v>1</v>
      </c>
      <c r="I1062" t="s">
        <v>4825</v>
      </c>
      <c r="J1062" t="s">
        <v>2162</v>
      </c>
      <c r="K1062">
        <v>385806.5</v>
      </c>
      <c r="L1062">
        <v>27730.23</v>
      </c>
      <c r="M1062">
        <v>8921</v>
      </c>
      <c r="N1062" t="s">
        <v>79</v>
      </c>
      <c r="O1062">
        <v>1</v>
      </c>
      <c r="P1062" t="s">
        <v>3584</v>
      </c>
      <c r="Q1062" t="s">
        <v>3585</v>
      </c>
      <c r="R1062" t="s">
        <v>159</v>
      </c>
      <c r="S1062">
        <v>3</v>
      </c>
      <c r="T1062">
        <v>4</v>
      </c>
      <c r="U1062">
        <v>890</v>
      </c>
      <c r="V1062" t="s">
        <v>4819</v>
      </c>
      <c r="W1062" t="s">
        <v>4833</v>
      </c>
      <c r="X1062" t="s">
        <v>79</v>
      </c>
    </row>
    <row r="1063" spans="1:24">
      <c r="A1063">
        <v>89027</v>
      </c>
      <c r="B1063" t="s">
        <v>4834</v>
      </c>
      <c r="C1063" t="s">
        <v>4542</v>
      </c>
      <c r="D1063" t="s">
        <v>10</v>
      </c>
      <c r="F1063" t="s">
        <v>4542</v>
      </c>
      <c r="G1063">
        <v>1800</v>
      </c>
      <c r="H1063">
        <v>6000</v>
      </c>
      <c r="I1063" t="s">
        <v>4174</v>
      </c>
      <c r="J1063" t="s">
        <v>10</v>
      </c>
      <c r="K1063">
        <v>168.17</v>
      </c>
      <c r="L1063">
        <v>8.5500000000000007</v>
      </c>
      <c r="M1063">
        <v>7322</v>
      </c>
      <c r="N1063" t="s">
        <v>79</v>
      </c>
      <c r="O1063">
        <v>3</v>
      </c>
      <c r="P1063" t="s">
        <v>2205</v>
      </c>
      <c r="Q1063" t="s">
        <v>2206</v>
      </c>
      <c r="R1063" t="s">
        <v>2199</v>
      </c>
      <c r="S1063">
        <v>1</v>
      </c>
      <c r="T1063">
        <v>1</v>
      </c>
      <c r="U1063">
        <v>890</v>
      </c>
      <c r="V1063" t="s">
        <v>4819</v>
      </c>
      <c r="W1063" t="s">
        <v>4835</v>
      </c>
      <c r="X1063" t="s">
        <v>79</v>
      </c>
    </row>
    <row r="1064" spans="1:24">
      <c r="A1064">
        <v>89030</v>
      </c>
      <c r="B1064" t="s">
        <v>4836</v>
      </c>
      <c r="C1064" t="s">
        <v>2162</v>
      </c>
      <c r="F1064" t="s">
        <v>2162</v>
      </c>
      <c r="G1064">
        <v>1</v>
      </c>
      <c r="H1064">
        <v>1</v>
      </c>
      <c r="I1064" t="s">
        <v>4825</v>
      </c>
      <c r="J1064" t="s">
        <v>2162</v>
      </c>
      <c r="K1064">
        <v>385806.5</v>
      </c>
      <c r="L1064">
        <v>27730.23</v>
      </c>
      <c r="M1064">
        <v>8921</v>
      </c>
      <c r="N1064" t="s">
        <v>79</v>
      </c>
      <c r="O1064">
        <v>3</v>
      </c>
      <c r="P1064" t="s">
        <v>4521</v>
      </c>
      <c r="Q1064" t="s">
        <v>4427</v>
      </c>
      <c r="R1064" t="s">
        <v>159</v>
      </c>
      <c r="S1064">
        <v>0</v>
      </c>
      <c r="T1064">
        <v>0</v>
      </c>
      <c r="U1064">
        <v>890</v>
      </c>
      <c r="V1064" t="s">
        <v>4819</v>
      </c>
      <c r="W1064" t="s">
        <v>4837</v>
      </c>
      <c r="X1064" t="s">
        <v>79</v>
      </c>
    </row>
    <row r="1065" spans="1:24">
      <c r="A1065">
        <v>89031</v>
      </c>
      <c r="B1065" t="s">
        <v>4838</v>
      </c>
      <c r="C1065" t="s">
        <v>2098</v>
      </c>
      <c r="F1065" t="s">
        <v>2098</v>
      </c>
      <c r="G1065">
        <v>1300</v>
      </c>
      <c r="H1065">
        <v>78000</v>
      </c>
      <c r="I1065" t="s">
        <v>4822</v>
      </c>
      <c r="J1065" t="s">
        <v>2098</v>
      </c>
      <c r="K1065">
        <v>67.150000000000006</v>
      </c>
      <c r="L1065">
        <v>0.11</v>
      </c>
      <c r="M1065">
        <v>8930</v>
      </c>
      <c r="N1065" t="s">
        <v>79</v>
      </c>
      <c r="O1065">
        <v>3</v>
      </c>
      <c r="P1065" t="s">
        <v>2545</v>
      </c>
      <c r="Q1065" t="s">
        <v>2460</v>
      </c>
      <c r="R1065" t="s">
        <v>2102</v>
      </c>
      <c r="S1065">
        <v>5</v>
      </c>
      <c r="T1065">
        <v>5</v>
      </c>
      <c r="U1065">
        <v>890</v>
      </c>
      <c r="V1065" t="s">
        <v>4819</v>
      </c>
      <c r="W1065" t="s">
        <v>4839</v>
      </c>
      <c r="X1065" t="s">
        <v>79</v>
      </c>
    </row>
    <row r="1066" spans="1:24">
      <c r="A1066">
        <v>89044</v>
      </c>
      <c r="B1066" t="s">
        <v>4840</v>
      </c>
      <c r="C1066" t="s">
        <v>10</v>
      </c>
      <c r="D1066" t="s">
        <v>10</v>
      </c>
      <c r="G1066">
        <v>2400</v>
      </c>
      <c r="H1066">
        <v>41000</v>
      </c>
      <c r="I1066" t="s">
        <v>2202</v>
      </c>
      <c r="J1066" t="s">
        <v>10</v>
      </c>
      <c r="K1066">
        <v>349.8</v>
      </c>
      <c r="L1066">
        <v>0.67</v>
      </c>
      <c r="M1066">
        <v>1459</v>
      </c>
      <c r="N1066" t="s">
        <v>79</v>
      </c>
      <c r="P1066" t="s">
        <v>4622</v>
      </c>
      <c r="Q1066" t="s">
        <v>4427</v>
      </c>
      <c r="R1066" t="s">
        <v>159</v>
      </c>
      <c r="S1066">
        <v>2</v>
      </c>
      <c r="T1066">
        <v>2</v>
      </c>
      <c r="U1066">
        <v>145</v>
      </c>
      <c r="V1066" t="s">
        <v>4841</v>
      </c>
      <c r="W1066" t="s">
        <v>4842</v>
      </c>
      <c r="X1066" t="s">
        <v>79</v>
      </c>
    </row>
    <row r="1067" spans="1:24">
      <c r="A1067">
        <v>89045</v>
      </c>
      <c r="B1067" t="s">
        <v>4843</v>
      </c>
      <c r="C1067" t="s">
        <v>10</v>
      </c>
      <c r="D1067" t="s">
        <v>10</v>
      </c>
      <c r="G1067">
        <v>1300</v>
      </c>
      <c r="H1067">
        <v>150000</v>
      </c>
      <c r="I1067" t="s">
        <v>4425</v>
      </c>
      <c r="J1067" t="s">
        <v>10</v>
      </c>
      <c r="K1067">
        <v>265.08</v>
      </c>
      <c r="L1067">
        <v>7.01</v>
      </c>
      <c r="M1067">
        <v>8910</v>
      </c>
      <c r="N1067" t="s">
        <v>79</v>
      </c>
      <c r="O1067">
        <v>3</v>
      </c>
      <c r="P1067" t="s">
        <v>4521</v>
      </c>
      <c r="Q1067" t="s">
        <v>4427</v>
      </c>
      <c r="R1067" t="s">
        <v>2199</v>
      </c>
      <c r="S1067">
        <v>96</v>
      </c>
      <c r="T1067">
        <v>97</v>
      </c>
      <c r="U1067">
        <v>890</v>
      </c>
      <c r="V1067" t="s">
        <v>4819</v>
      </c>
      <c r="W1067" t="s">
        <v>4844</v>
      </c>
      <c r="X1067" t="s">
        <v>125</v>
      </c>
    </row>
    <row r="1068" spans="1:24">
      <c r="A1068">
        <v>89046</v>
      </c>
      <c r="B1068" t="s">
        <v>4845</v>
      </c>
      <c r="C1068" t="s">
        <v>2098</v>
      </c>
      <c r="F1068" t="s">
        <v>2098</v>
      </c>
      <c r="G1068">
        <v>2000</v>
      </c>
      <c r="H1068">
        <v>48000</v>
      </c>
      <c r="I1068" t="s">
        <v>2252</v>
      </c>
      <c r="J1068" t="s">
        <v>2098</v>
      </c>
      <c r="K1068">
        <v>746.61</v>
      </c>
      <c r="L1068">
        <v>0.99</v>
      </c>
      <c r="M1068">
        <v>8931</v>
      </c>
      <c r="N1068" t="s">
        <v>79</v>
      </c>
      <c r="O1068">
        <v>3</v>
      </c>
      <c r="P1068" t="s">
        <v>4521</v>
      </c>
      <c r="Q1068" t="s">
        <v>4427</v>
      </c>
      <c r="R1068" t="s">
        <v>2102</v>
      </c>
      <c r="S1068">
        <v>99</v>
      </c>
      <c r="T1068">
        <v>99</v>
      </c>
      <c r="U1068">
        <v>890</v>
      </c>
      <c r="V1068" t="s">
        <v>4819</v>
      </c>
      <c r="W1068" t="s">
        <v>4846</v>
      </c>
      <c r="X1068" t="s">
        <v>125</v>
      </c>
    </row>
    <row r="1069" spans="1:24">
      <c r="A1069">
        <v>89050</v>
      </c>
      <c r="B1069" t="s">
        <v>4847</v>
      </c>
      <c r="C1069" t="s">
        <v>2364</v>
      </c>
      <c r="F1069" t="s">
        <v>2364</v>
      </c>
      <c r="G1069">
        <v>19</v>
      </c>
      <c r="H1069">
        <v>1000</v>
      </c>
      <c r="I1069" t="s">
        <v>2368</v>
      </c>
      <c r="J1069" t="s">
        <v>2364</v>
      </c>
      <c r="K1069">
        <v>379962.57</v>
      </c>
      <c r="M1069">
        <v>1353</v>
      </c>
      <c r="N1069" t="s">
        <v>79</v>
      </c>
      <c r="O1069">
        <v>3</v>
      </c>
      <c r="P1069" t="s">
        <v>2243</v>
      </c>
      <c r="Q1069" t="s">
        <v>2244</v>
      </c>
      <c r="R1069" t="s">
        <v>2102</v>
      </c>
      <c r="S1069">
        <v>32</v>
      </c>
      <c r="T1069">
        <v>43</v>
      </c>
      <c r="U1069">
        <v>890</v>
      </c>
      <c r="V1069" t="s">
        <v>4819</v>
      </c>
      <c r="W1069" t="s">
        <v>4848</v>
      </c>
      <c r="X1069" t="s">
        <v>79</v>
      </c>
    </row>
    <row r="1070" spans="1:24">
      <c r="A1070">
        <v>89051</v>
      </c>
      <c r="B1070" t="s">
        <v>4849</v>
      </c>
      <c r="C1070" t="s">
        <v>10</v>
      </c>
      <c r="D1070" t="s">
        <v>10</v>
      </c>
      <c r="G1070">
        <v>1300</v>
      </c>
      <c r="H1070">
        <v>150000</v>
      </c>
      <c r="I1070" t="s">
        <v>4425</v>
      </c>
      <c r="J1070" t="s">
        <v>10</v>
      </c>
      <c r="K1070">
        <v>265.08</v>
      </c>
      <c r="L1070">
        <v>7.01</v>
      </c>
      <c r="M1070">
        <v>8910</v>
      </c>
      <c r="N1070" t="s">
        <v>125</v>
      </c>
      <c r="O1070">
        <v>2</v>
      </c>
      <c r="P1070" t="s">
        <v>2243</v>
      </c>
      <c r="Q1070" t="s">
        <v>2244</v>
      </c>
      <c r="R1070" t="s">
        <v>2199</v>
      </c>
      <c r="S1070">
        <v>3</v>
      </c>
      <c r="T1070">
        <v>20</v>
      </c>
      <c r="U1070">
        <v>890</v>
      </c>
      <c r="V1070" t="s">
        <v>4819</v>
      </c>
      <c r="W1070" t="s">
        <v>4850</v>
      </c>
      <c r="X1070" t="s">
        <v>79</v>
      </c>
    </row>
    <row r="1071" spans="1:24">
      <c r="A1071">
        <v>89056</v>
      </c>
      <c r="B1071" t="s">
        <v>4851</v>
      </c>
      <c r="C1071" t="s">
        <v>2162</v>
      </c>
      <c r="F1071" t="s">
        <v>2162</v>
      </c>
      <c r="G1071">
        <v>1</v>
      </c>
      <c r="H1071">
        <v>6</v>
      </c>
      <c r="I1071" t="s">
        <v>4761</v>
      </c>
      <c r="J1071" t="s">
        <v>2162</v>
      </c>
      <c r="K1071">
        <v>77888.960000000006</v>
      </c>
      <c r="L1071">
        <v>7236.68</v>
      </c>
      <c r="M1071">
        <v>8923</v>
      </c>
      <c r="N1071" t="s">
        <v>79</v>
      </c>
      <c r="O1071">
        <v>3</v>
      </c>
      <c r="P1071" t="s">
        <v>2550</v>
      </c>
      <c r="Q1071" t="s">
        <v>2169</v>
      </c>
      <c r="R1071" t="s">
        <v>159</v>
      </c>
      <c r="S1071">
        <v>107</v>
      </c>
      <c r="T1071">
        <v>109</v>
      </c>
      <c r="U1071">
        <v>890</v>
      </c>
      <c r="V1071" t="s">
        <v>4819</v>
      </c>
      <c r="W1071" t="s">
        <v>4852</v>
      </c>
      <c r="X1071" t="s">
        <v>79</v>
      </c>
    </row>
    <row r="1072" spans="1:24">
      <c r="A1072">
        <v>89077</v>
      </c>
      <c r="B1072" t="s">
        <v>4853</v>
      </c>
      <c r="C1072" t="s">
        <v>10</v>
      </c>
      <c r="D1072" t="s">
        <v>10</v>
      </c>
      <c r="G1072">
        <v>1300</v>
      </c>
      <c r="H1072">
        <v>150000</v>
      </c>
      <c r="I1072" t="s">
        <v>4425</v>
      </c>
      <c r="J1072" t="s">
        <v>10</v>
      </c>
      <c r="K1072">
        <v>265.08</v>
      </c>
      <c r="L1072">
        <v>7.01</v>
      </c>
      <c r="M1072">
        <v>8910</v>
      </c>
      <c r="N1072" t="s">
        <v>125</v>
      </c>
      <c r="O1072">
        <v>3</v>
      </c>
      <c r="P1072" t="s">
        <v>4521</v>
      </c>
      <c r="Q1072" t="s">
        <v>4427</v>
      </c>
      <c r="R1072" t="s">
        <v>2199</v>
      </c>
      <c r="S1072">
        <v>53</v>
      </c>
      <c r="T1072">
        <v>61</v>
      </c>
      <c r="U1072">
        <v>890</v>
      </c>
      <c r="V1072" t="s">
        <v>4819</v>
      </c>
      <c r="W1072" t="s">
        <v>4854</v>
      </c>
      <c r="X1072" t="s">
        <v>125</v>
      </c>
    </row>
    <row r="1073" spans="1:24">
      <c r="A1073">
        <v>89210</v>
      </c>
      <c r="B1073" t="s">
        <v>4855</v>
      </c>
      <c r="C1073" t="s">
        <v>2162</v>
      </c>
      <c r="F1073" t="s">
        <v>2162</v>
      </c>
      <c r="G1073">
        <v>1</v>
      </c>
      <c r="H1073">
        <v>100</v>
      </c>
      <c r="I1073" t="s">
        <v>4856</v>
      </c>
      <c r="J1073" t="s">
        <v>2162</v>
      </c>
      <c r="K1073">
        <v>7512.58</v>
      </c>
      <c r="L1073">
        <v>39.42</v>
      </c>
      <c r="M1073">
        <v>8840</v>
      </c>
      <c r="N1073" t="s">
        <v>79</v>
      </c>
      <c r="O1073">
        <v>4</v>
      </c>
      <c r="P1073" t="s">
        <v>4178</v>
      </c>
      <c r="Q1073" t="s">
        <v>2206</v>
      </c>
      <c r="R1073" t="s">
        <v>159</v>
      </c>
      <c r="S1073">
        <v>44</v>
      </c>
      <c r="T1073">
        <v>44</v>
      </c>
      <c r="U1073">
        <v>892</v>
      </c>
      <c r="V1073" t="s">
        <v>3239</v>
      </c>
      <c r="W1073" t="s">
        <v>4857</v>
      </c>
      <c r="X1073" t="s">
        <v>79</v>
      </c>
    </row>
    <row r="1074" spans="1:24">
      <c r="A1074">
        <v>89320</v>
      </c>
      <c r="B1074" t="s">
        <v>4858</v>
      </c>
      <c r="C1074" t="s">
        <v>2098</v>
      </c>
      <c r="F1074" t="s">
        <v>2098</v>
      </c>
      <c r="G1074">
        <v>7500</v>
      </c>
      <c r="H1074">
        <v>110000</v>
      </c>
      <c r="I1074" t="s">
        <v>2258</v>
      </c>
      <c r="J1074" t="s">
        <v>2098</v>
      </c>
      <c r="K1074">
        <v>511.13</v>
      </c>
      <c r="L1074">
        <v>0.22</v>
      </c>
      <c r="M1074">
        <v>8932</v>
      </c>
      <c r="N1074" t="s">
        <v>79</v>
      </c>
      <c r="O1074">
        <v>1</v>
      </c>
      <c r="P1074" t="s">
        <v>4426</v>
      </c>
      <c r="Q1074" t="s">
        <v>4427</v>
      </c>
      <c r="R1074" t="s">
        <v>2102</v>
      </c>
      <c r="S1074">
        <v>22</v>
      </c>
      <c r="T1074">
        <v>23</v>
      </c>
      <c r="U1074">
        <v>893</v>
      </c>
      <c r="V1074" t="s">
        <v>2253</v>
      </c>
      <c r="W1074" t="s">
        <v>4859</v>
      </c>
      <c r="X1074" t="s">
        <v>79</v>
      </c>
    </row>
    <row r="1075" spans="1:24">
      <c r="A1075">
        <v>91110</v>
      </c>
      <c r="B1075" t="s">
        <v>4860</v>
      </c>
      <c r="C1075" t="s">
        <v>2802</v>
      </c>
      <c r="D1075" t="s">
        <v>2802</v>
      </c>
      <c r="H1075">
        <v>0</v>
      </c>
      <c r="I1075" t="s">
        <v>4861</v>
      </c>
      <c r="J1075" t="s">
        <v>2802</v>
      </c>
      <c r="K1075">
        <v>0</v>
      </c>
      <c r="L1075">
        <v>0</v>
      </c>
      <c r="M1075">
        <v>9110</v>
      </c>
      <c r="N1075" t="s">
        <v>79</v>
      </c>
      <c r="O1075">
        <v>4</v>
      </c>
      <c r="R1075" t="s">
        <v>4862</v>
      </c>
      <c r="S1075">
        <v>3</v>
      </c>
      <c r="T1075">
        <v>0</v>
      </c>
      <c r="U1075">
        <v>911</v>
      </c>
      <c r="V1075" t="s">
        <v>4863</v>
      </c>
      <c r="W1075" t="s">
        <v>4864</v>
      </c>
      <c r="X1075" t="s">
        <v>79</v>
      </c>
    </row>
    <row r="1076" spans="1:24">
      <c r="A1076">
        <v>91120</v>
      </c>
      <c r="B1076" t="s">
        <v>4865</v>
      </c>
      <c r="C1076" t="s">
        <v>2802</v>
      </c>
      <c r="D1076" t="s">
        <v>2802</v>
      </c>
      <c r="H1076">
        <v>0</v>
      </c>
      <c r="I1076" t="s">
        <v>4861</v>
      </c>
      <c r="J1076" t="s">
        <v>2802</v>
      </c>
      <c r="K1076">
        <v>0</v>
      </c>
      <c r="L1076">
        <v>0</v>
      </c>
      <c r="M1076">
        <v>9110</v>
      </c>
      <c r="N1076" t="s">
        <v>79</v>
      </c>
      <c r="O1076">
        <v>4</v>
      </c>
      <c r="R1076" t="s">
        <v>4862</v>
      </c>
      <c r="S1076">
        <v>2</v>
      </c>
      <c r="T1076">
        <v>0</v>
      </c>
      <c r="U1076">
        <v>911</v>
      </c>
      <c r="V1076" t="s">
        <v>4863</v>
      </c>
      <c r="W1076" t="s">
        <v>4866</v>
      </c>
      <c r="X1076" t="s">
        <v>79</v>
      </c>
    </row>
    <row r="1077" spans="1:24">
      <c r="A1077">
        <v>91130</v>
      </c>
      <c r="B1077" t="s">
        <v>4867</v>
      </c>
      <c r="C1077" t="s">
        <v>2802</v>
      </c>
      <c r="D1077" t="s">
        <v>2802</v>
      </c>
      <c r="H1077">
        <v>0</v>
      </c>
      <c r="I1077" t="s">
        <v>4861</v>
      </c>
      <c r="J1077" t="s">
        <v>2802</v>
      </c>
      <c r="K1077">
        <v>0</v>
      </c>
      <c r="L1077">
        <v>0</v>
      </c>
      <c r="M1077">
        <v>9110</v>
      </c>
      <c r="N1077" t="s">
        <v>79</v>
      </c>
      <c r="O1077">
        <v>4</v>
      </c>
      <c r="R1077" t="s">
        <v>4862</v>
      </c>
      <c r="S1077">
        <v>2</v>
      </c>
      <c r="T1077">
        <v>2</v>
      </c>
      <c r="U1077">
        <v>911</v>
      </c>
      <c r="V1077" t="s">
        <v>4863</v>
      </c>
      <c r="W1077" t="s">
        <v>4868</v>
      </c>
      <c r="X1077" t="s">
        <v>79</v>
      </c>
    </row>
    <row r="1078" spans="1:24">
      <c r="A1078">
        <v>91140</v>
      </c>
      <c r="B1078" t="s">
        <v>4869</v>
      </c>
      <c r="C1078" t="s">
        <v>2802</v>
      </c>
      <c r="D1078" t="s">
        <v>2802</v>
      </c>
      <c r="H1078">
        <v>0</v>
      </c>
      <c r="I1078" t="s">
        <v>4861</v>
      </c>
      <c r="J1078" t="s">
        <v>2802</v>
      </c>
      <c r="K1078">
        <v>0</v>
      </c>
      <c r="L1078">
        <v>0</v>
      </c>
      <c r="M1078">
        <v>9110</v>
      </c>
      <c r="N1078" t="s">
        <v>79</v>
      </c>
      <c r="O1078">
        <v>4</v>
      </c>
      <c r="R1078" t="s">
        <v>4862</v>
      </c>
      <c r="S1078">
        <v>31</v>
      </c>
      <c r="T1078">
        <v>1</v>
      </c>
      <c r="U1078">
        <v>911</v>
      </c>
      <c r="V1078" t="s">
        <v>4863</v>
      </c>
      <c r="W1078" t="s">
        <v>4870</v>
      </c>
      <c r="X1078" t="s">
        <v>79</v>
      </c>
    </row>
    <row r="1079" spans="1:24">
      <c r="A1079">
        <v>91150</v>
      </c>
      <c r="B1079" t="s">
        <v>4871</v>
      </c>
      <c r="C1079" t="s">
        <v>2802</v>
      </c>
      <c r="D1079" t="s">
        <v>2802</v>
      </c>
      <c r="H1079">
        <v>0</v>
      </c>
      <c r="I1079" t="s">
        <v>4861</v>
      </c>
      <c r="J1079" t="s">
        <v>2802</v>
      </c>
      <c r="K1079">
        <v>0</v>
      </c>
      <c r="L1079">
        <v>0</v>
      </c>
      <c r="M1079">
        <v>9110</v>
      </c>
      <c r="N1079" t="s">
        <v>79</v>
      </c>
      <c r="O1079">
        <v>4</v>
      </c>
      <c r="R1079" t="s">
        <v>4862</v>
      </c>
      <c r="S1079">
        <v>0</v>
      </c>
      <c r="T1079">
        <v>0</v>
      </c>
      <c r="U1079">
        <v>911</v>
      </c>
      <c r="V1079" t="s">
        <v>4863</v>
      </c>
      <c r="W1079" t="s">
        <v>4872</v>
      </c>
      <c r="X1079" t="s">
        <v>79</v>
      </c>
    </row>
    <row r="1080" spans="1:24">
      <c r="A1080">
        <v>91210</v>
      </c>
      <c r="B1080" t="s">
        <v>4873</v>
      </c>
      <c r="C1080" t="s">
        <v>2802</v>
      </c>
      <c r="D1080" t="s">
        <v>2802</v>
      </c>
      <c r="H1080">
        <v>0</v>
      </c>
      <c r="I1080" t="s">
        <v>4861</v>
      </c>
      <c r="J1080" t="s">
        <v>2802</v>
      </c>
      <c r="K1080">
        <v>0</v>
      </c>
      <c r="L1080">
        <v>0</v>
      </c>
      <c r="M1080">
        <v>9110</v>
      </c>
      <c r="N1080" t="s">
        <v>79</v>
      </c>
      <c r="O1080">
        <v>4</v>
      </c>
      <c r="R1080" t="s">
        <v>4862</v>
      </c>
      <c r="S1080">
        <v>0</v>
      </c>
      <c r="T1080">
        <v>0</v>
      </c>
      <c r="U1080">
        <v>912</v>
      </c>
      <c r="V1080" t="s">
        <v>4874</v>
      </c>
      <c r="W1080" t="s">
        <v>4875</v>
      </c>
      <c r="X1080" t="s">
        <v>79</v>
      </c>
    </row>
    <row r="1081" spans="1:24">
      <c r="A1081">
        <v>91215</v>
      </c>
      <c r="B1081" t="s">
        <v>4876</v>
      </c>
      <c r="C1081" t="s">
        <v>2802</v>
      </c>
      <c r="D1081" t="s">
        <v>2802</v>
      </c>
      <c r="H1081">
        <v>0</v>
      </c>
      <c r="I1081" t="s">
        <v>4861</v>
      </c>
      <c r="J1081" t="s">
        <v>2802</v>
      </c>
      <c r="K1081">
        <v>0</v>
      </c>
      <c r="L1081">
        <v>0</v>
      </c>
      <c r="M1081">
        <v>9110</v>
      </c>
      <c r="N1081" t="s">
        <v>79</v>
      </c>
      <c r="O1081">
        <v>4</v>
      </c>
      <c r="R1081" t="s">
        <v>4862</v>
      </c>
      <c r="S1081">
        <v>0</v>
      </c>
      <c r="T1081">
        <v>0</v>
      </c>
      <c r="U1081">
        <v>912</v>
      </c>
      <c r="V1081" t="s">
        <v>4874</v>
      </c>
      <c r="W1081" t="s">
        <v>4877</v>
      </c>
      <c r="X1081" t="s">
        <v>79</v>
      </c>
    </row>
    <row r="1082" spans="1:24">
      <c r="A1082">
        <v>91220</v>
      </c>
      <c r="B1082" t="s">
        <v>4878</v>
      </c>
      <c r="C1082" t="s">
        <v>2802</v>
      </c>
      <c r="D1082" t="s">
        <v>2802</v>
      </c>
      <c r="H1082">
        <v>0</v>
      </c>
      <c r="I1082" t="s">
        <v>4861</v>
      </c>
      <c r="J1082" t="s">
        <v>2802</v>
      </c>
      <c r="K1082">
        <v>0</v>
      </c>
      <c r="L1082">
        <v>0</v>
      </c>
      <c r="M1082">
        <v>9110</v>
      </c>
      <c r="N1082" t="s">
        <v>79</v>
      </c>
      <c r="O1082">
        <v>4</v>
      </c>
      <c r="R1082" t="s">
        <v>4862</v>
      </c>
      <c r="S1082">
        <v>0</v>
      </c>
      <c r="T1082">
        <v>0</v>
      </c>
      <c r="U1082">
        <v>912</v>
      </c>
      <c r="V1082" t="s">
        <v>4874</v>
      </c>
      <c r="W1082" t="s">
        <v>4879</v>
      </c>
      <c r="X1082" t="s">
        <v>79</v>
      </c>
    </row>
    <row r="1083" spans="1:24">
      <c r="A1083">
        <v>91310</v>
      </c>
      <c r="B1083" t="s">
        <v>4880</v>
      </c>
      <c r="C1083" t="s">
        <v>2802</v>
      </c>
      <c r="D1083" t="s">
        <v>2802</v>
      </c>
      <c r="H1083">
        <v>0</v>
      </c>
      <c r="I1083" t="s">
        <v>4861</v>
      </c>
      <c r="J1083" t="s">
        <v>2802</v>
      </c>
      <c r="K1083">
        <v>0</v>
      </c>
      <c r="L1083">
        <v>0</v>
      </c>
      <c r="M1083">
        <v>9110</v>
      </c>
      <c r="N1083" t="s">
        <v>79</v>
      </c>
      <c r="O1083">
        <v>4</v>
      </c>
      <c r="R1083" t="s">
        <v>4862</v>
      </c>
      <c r="S1083">
        <v>3</v>
      </c>
      <c r="T1083">
        <v>0</v>
      </c>
      <c r="U1083">
        <v>913</v>
      </c>
      <c r="V1083" t="s">
        <v>4881</v>
      </c>
      <c r="W1083" t="s">
        <v>4882</v>
      </c>
      <c r="X1083" t="s">
        <v>79</v>
      </c>
    </row>
    <row r="1084" spans="1:24">
      <c r="A1084">
        <v>91320</v>
      </c>
      <c r="B1084" t="s">
        <v>4883</v>
      </c>
      <c r="C1084" t="s">
        <v>2802</v>
      </c>
      <c r="D1084" t="s">
        <v>2802</v>
      </c>
      <c r="H1084">
        <v>0</v>
      </c>
      <c r="I1084" t="s">
        <v>4861</v>
      </c>
      <c r="J1084" t="s">
        <v>2802</v>
      </c>
      <c r="K1084">
        <v>0</v>
      </c>
      <c r="L1084">
        <v>0</v>
      </c>
      <c r="M1084">
        <v>9110</v>
      </c>
      <c r="N1084" t="s">
        <v>79</v>
      </c>
      <c r="O1084">
        <v>4</v>
      </c>
      <c r="R1084" t="s">
        <v>4862</v>
      </c>
      <c r="S1084">
        <v>0</v>
      </c>
      <c r="T1084">
        <v>0</v>
      </c>
      <c r="U1084">
        <v>913</v>
      </c>
      <c r="V1084" t="s">
        <v>4881</v>
      </c>
      <c r="W1084" t="s">
        <v>4884</v>
      </c>
      <c r="X1084" t="s">
        <v>79</v>
      </c>
    </row>
    <row r="1085" spans="1:24">
      <c r="A1085">
        <v>91410</v>
      </c>
      <c r="B1085" t="s">
        <v>4885</v>
      </c>
      <c r="C1085" t="s">
        <v>2802</v>
      </c>
      <c r="D1085" t="s">
        <v>2802</v>
      </c>
      <c r="H1085">
        <v>0</v>
      </c>
      <c r="I1085" t="s">
        <v>4861</v>
      </c>
      <c r="J1085" t="s">
        <v>2802</v>
      </c>
      <c r="K1085">
        <v>0</v>
      </c>
      <c r="L1085">
        <v>0</v>
      </c>
      <c r="M1085">
        <v>9110</v>
      </c>
      <c r="N1085" t="s">
        <v>79</v>
      </c>
      <c r="O1085">
        <v>4</v>
      </c>
      <c r="R1085" t="s">
        <v>4862</v>
      </c>
      <c r="S1085">
        <v>0</v>
      </c>
      <c r="T1085">
        <v>0</v>
      </c>
      <c r="U1085">
        <v>914</v>
      </c>
      <c r="V1085" t="s">
        <v>4886</v>
      </c>
      <c r="W1085" t="s">
        <v>4887</v>
      </c>
      <c r="X1085" t="s">
        <v>79</v>
      </c>
    </row>
    <row r="1086" spans="1:24">
      <c r="A1086">
        <v>91420</v>
      </c>
      <c r="B1086" t="s">
        <v>4888</v>
      </c>
      <c r="C1086" t="s">
        <v>2802</v>
      </c>
      <c r="D1086" t="s">
        <v>2802</v>
      </c>
      <c r="H1086">
        <v>0</v>
      </c>
      <c r="I1086" t="s">
        <v>4861</v>
      </c>
      <c r="J1086" t="s">
        <v>2802</v>
      </c>
      <c r="K1086">
        <v>0</v>
      </c>
      <c r="L1086">
        <v>0</v>
      </c>
      <c r="M1086">
        <v>9110</v>
      </c>
      <c r="N1086" t="s">
        <v>79</v>
      </c>
      <c r="O1086">
        <v>4</v>
      </c>
      <c r="R1086" t="s">
        <v>4862</v>
      </c>
      <c r="S1086">
        <v>0</v>
      </c>
      <c r="T1086">
        <v>0</v>
      </c>
      <c r="U1086">
        <v>914</v>
      </c>
      <c r="V1086" t="s">
        <v>4886</v>
      </c>
      <c r="W1086" t="s">
        <v>4889</v>
      </c>
      <c r="X1086" t="s">
        <v>79</v>
      </c>
    </row>
    <row r="1087" spans="1:24">
      <c r="A1087">
        <v>92110</v>
      </c>
      <c r="B1087" t="s">
        <v>4890</v>
      </c>
      <c r="C1087" t="s">
        <v>2802</v>
      </c>
      <c r="D1087" t="s">
        <v>2802</v>
      </c>
      <c r="I1087" t="s">
        <v>4891</v>
      </c>
      <c r="J1087" t="s">
        <v>2802</v>
      </c>
      <c r="K1087">
        <v>0</v>
      </c>
      <c r="L1087">
        <v>0</v>
      </c>
      <c r="M1087">
        <v>9900</v>
      </c>
      <c r="N1087" t="s">
        <v>79</v>
      </c>
      <c r="O1087">
        <v>4</v>
      </c>
      <c r="R1087" t="s">
        <v>4862</v>
      </c>
      <c r="S1087">
        <v>0</v>
      </c>
      <c r="T1087">
        <v>0</v>
      </c>
      <c r="U1087">
        <v>921</v>
      </c>
      <c r="V1087" t="s">
        <v>4892</v>
      </c>
      <c r="W1087" t="s">
        <v>4893</v>
      </c>
      <c r="X1087" t="s">
        <v>79</v>
      </c>
    </row>
    <row r="1088" spans="1:24">
      <c r="A1088">
        <v>92120</v>
      </c>
      <c r="B1088" t="s">
        <v>4894</v>
      </c>
      <c r="C1088" t="s">
        <v>2802</v>
      </c>
      <c r="D1088" t="s">
        <v>2802</v>
      </c>
      <c r="I1088" t="s">
        <v>4891</v>
      </c>
      <c r="J1088" t="s">
        <v>2802</v>
      </c>
      <c r="K1088">
        <v>0</v>
      </c>
      <c r="L1088">
        <v>0</v>
      </c>
      <c r="M1088">
        <v>9900</v>
      </c>
      <c r="N1088" t="s">
        <v>79</v>
      </c>
      <c r="O1088">
        <v>4</v>
      </c>
      <c r="R1088" t="s">
        <v>4862</v>
      </c>
      <c r="S1088">
        <v>2</v>
      </c>
      <c r="T1088">
        <v>0</v>
      </c>
      <c r="U1088">
        <v>921</v>
      </c>
      <c r="V1088" t="s">
        <v>4892</v>
      </c>
      <c r="W1088" t="s">
        <v>4895</v>
      </c>
      <c r="X1088" t="s">
        <v>79</v>
      </c>
    </row>
    <row r="1089" spans="1:24">
      <c r="A1089">
        <v>92130</v>
      </c>
      <c r="B1089" t="s">
        <v>4896</v>
      </c>
      <c r="C1089" t="s">
        <v>2802</v>
      </c>
      <c r="D1089" t="s">
        <v>2802</v>
      </c>
      <c r="H1089">
        <v>0</v>
      </c>
      <c r="I1089" t="s">
        <v>4861</v>
      </c>
      <c r="J1089" t="s">
        <v>2802</v>
      </c>
      <c r="K1089">
        <v>0</v>
      </c>
      <c r="L1089">
        <v>0</v>
      </c>
      <c r="M1089">
        <v>9110</v>
      </c>
      <c r="N1089" t="s">
        <v>79</v>
      </c>
      <c r="O1089">
        <v>4</v>
      </c>
      <c r="R1089" t="s">
        <v>4862</v>
      </c>
      <c r="S1089">
        <v>0</v>
      </c>
      <c r="T1089">
        <v>0</v>
      </c>
      <c r="U1089">
        <v>921</v>
      </c>
      <c r="V1089" t="s">
        <v>4892</v>
      </c>
      <c r="W1089" t="s">
        <v>4897</v>
      </c>
      <c r="X1089" t="s">
        <v>79</v>
      </c>
    </row>
    <row r="1090" spans="1:24">
      <c r="A1090">
        <v>92140</v>
      </c>
      <c r="B1090" t="s">
        <v>4898</v>
      </c>
      <c r="C1090" t="s">
        <v>2802</v>
      </c>
      <c r="D1090" t="s">
        <v>2802</v>
      </c>
      <c r="H1090">
        <v>0</v>
      </c>
      <c r="I1090" t="s">
        <v>4861</v>
      </c>
      <c r="J1090" t="s">
        <v>2802</v>
      </c>
      <c r="K1090">
        <v>0</v>
      </c>
      <c r="L1090">
        <v>0</v>
      </c>
      <c r="M1090">
        <v>9110</v>
      </c>
      <c r="N1090" t="s">
        <v>79</v>
      </c>
      <c r="O1090">
        <v>4</v>
      </c>
      <c r="R1090" t="s">
        <v>4862</v>
      </c>
      <c r="S1090">
        <v>7</v>
      </c>
      <c r="T1090">
        <v>0</v>
      </c>
      <c r="U1090">
        <v>921</v>
      </c>
      <c r="V1090" t="s">
        <v>4892</v>
      </c>
      <c r="W1090" t="s">
        <v>4899</v>
      </c>
      <c r="X1090" t="s">
        <v>79</v>
      </c>
    </row>
    <row r="1091" spans="1:24">
      <c r="A1091">
        <v>92150</v>
      </c>
      <c r="B1091" t="s">
        <v>4900</v>
      </c>
      <c r="C1091" t="s">
        <v>2802</v>
      </c>
      <c r="D1091" t="s">
        <v>2802</v>
      </c>
      <c r="H1091">
        <v>0</v>
      </c>
      <c r="I1091" t="s">
        <v>4861</v>
      </c>
      <c r="J1091" t="s">
        <v>2802</v>
      </c>
      <c r="K1091">
        <v>0</v>
      </c>
      <c r="L1091">
        <v>0</v>
      </c>
      <c r="M1091">
        <v>9110</v>
      </c>
      <c r="N1091" t="s">
        <v>79</v>
      </c>
      <c r="O1091">
        <v>4</v>
      </c>
      <c r="R1091" t="s">
        <v>4862</v>
      </c>
      <c r="S1091">
        <v>0</v>
      </c>
      <c r="T1091">
        <v>0</v>
      </c>
      <c r="U1091">
        <v>921</v>
      </c>
      <c r="V1091" t="s">
        <v>4892</v>
      </c>
      <c r="W1091" t="s">
        <v>4901</v>
      </c>
      <c r="X1091" t="s">
        <v>79</v>
      </c>
    </row>
    <row r="1092" spans="1:24">
      <c r="A1092">
        <v>92210</v>
      </c>
      <c r="B1092" t="s">
        <v>4902</v>
      </c>
      <c r="C1092" t="s">
        <v>2802</v>
      </c>
      <c r="D1092" t="s">
        <v>2802</v>
      </c>
      <c r="H1092">
        <v>0</v>
      </c>
      <c r="I1092" t="s">
        <v>4861</v>
      </c>
      <c r="J1092" t="s">
        <v>2802</v>
      </c>
      <c r="K1092">
        <v>0</v>
      </c>
      <c r="L1092">
        <v>0</v>
      </c>
      <c r="M1092">
        <v>9110</v>
      </c>
      <c r="N1092" t="s">
        <v>79</v>
      </c>
      <c r="O1092">
        <v>4</v>
      </c>
      <c r="R1092" t="s">
        <v>4862</v>
      </c>
      <c r="S1092">
        <v>1</v>
      </c>
      <c r="T1092">
        <v>0</v>
      </c>
      <c r="U1092">
        <v>922</v>
      </c>
      <c r="V1092" t="s">
        <v>4903</v>
      </c>
      <c r="W1092" t="s">
        <v>4904</v>
      </c>
      <c r="X1092" t="s">
        <v>79</v>
      </c>
    </row>
    <row r="1093" spans="1:24">
      <c r="A1093">
        <v>92220</v>
      </c>
      <c r="B1093" t="s">
        <v>4905</v>
      </c>
      <c r="C1093" t="s">
        <v>2802</v>
      </c>
      <c r="D1093" t="s">
        <v>2802</v>
      </c>
      <c r="H1093">
        <v>0</v>
      </c>
      <c r="I1093" t="s">
        <v>4861</v>
      </c>
      <c r="J1093" t="s">
        <v>2802</v>
      </c>
      <c r="K1093">
        <v>0</v>
      </c>
      <c r="L1093">
        <v>0</v>
      </c>
      <c r="M1093">
        <v>9110</v>
      </c>
      <c r="N1093" t="s">
        <v>79</v>
      </c>
      <c r="O1093">
        <v>4</v>
      </c>
      <c r="R1093" t="s">
        <v>4862</v>
      </c>
      <c r="S1093">
        <v>2</v>
      </c>
      <c r="T1093">
        <v>0</v>
      </c>
      <c r="U1093">
        <v>922</v>
      </c>
      <c r="V1093" t="s">
        <v>4903</v>
      </c>
      <c r="W1093" t="s">
        <v>4906</v>
      </c>
      <c r="X1093" t="s">
        <v>79</v>
      </c>
    </row>
    <row r="1094" spans="1:24">
      <c r="A1094">
        <v>92230</v>
      </c>
      <c r="B1094" t="s">
        <v>4907</v>
      </c>
      <c r="C1094" t="s">
        <v>2802</v>
      </c>
      <c r="D1094" t="s">
        <v>2802</v>
      </c>
      <c r="H1094">
        <v>0</v>
      </c>
      <c r="I1094" t="s">
        <v>4861</v>
      </c>
      <c r="J1094" t="s">
        <v>2802</v>
      </c>
      <c r="K1094">
        <v>0</v>
      </c>
      <c r="L1094">
        <v>0</v>
      </c>
      <c r="M1094">
        <v>9110</v>
      </c>
      <c r="N1094" t="s">
        <v>79</v>
      </c>
      <c r="O1094">
        <v>4</v>
      </c>
      <c r="R1094" t="s">
        <v>4862</v>
      </c>
      <c r="S1094">
        <v>0</v>
      </c>
      <c r="T1094">
        <v>0</v>
      </c>
      <c r="U1094">
        <v>922</v>
      </c>
      <c r="V1094" t="s">
        <v>4903</v>
      </c>
      <c r="W1094" t="s">
        <v>4908</v>
      </c>
      <c r="X1094" t="s">
        <v>79</v>
      </c>
    </row>
    <row r="1095" spans="1:24">
      <c r="A1095">
        <v>92310</v>
      </c>
      <c r="B1095" t="s">
        <v>4909</v>
      </c>
      <c r="C1095" t="s">
        <v>2802</v>
      </c>
      <c r="D1095" t="s">
        <v>2802</v>
      </c>
      <c r="H1095">
        <v>0</v>
      </c>
      <c r="I1095" t="s">
        <v>4861</v>
      </c>
      <c r="J1095" t="s">
        <v>2802</v>
      </c>
      <c r="K1095">
        <v>0</v>
      </c>
      <c r="L1095">
        <v>0</v>
      </c>
      <c r="M1095">
        <v>9110</v>
      </c>
      <c r="N1095" t="s">
        <v>79</v>
      </c>
      <c r="O1095">
        <v>4</v>
      </c>
      <c r="R1095" t="s">
        <v>4862</v>
      </c>
      <c r="S1095">
        <v>0</v>
      </c>
      <c r="T1095">
        <v>0</v>
      </c>
      <c r="U1095">
        <v>923</v>
      </c>
      <c r="V1095" t="s">
        <v>4910</v>
      </c>
      <c r="W1095" t="s">
        <v>4909</v>
      </c>
      <c r="X1095" t="s">
        <v>79</v>
      </c>
    </row>
    <row r="1096" spans="1:24">
      <c r="A1096">
        <v>92320</v>
      </c>
      <c r="B1096" t="s">
        <v>4911</v>
      </c>
      <c r="C1096" t="s">
        <v>2802</v>
      </c>
      <c r="D1096" t="s">
        <v>2802</v>
      </c>
      <c r="H1096">
        <v>0</v>
      </c>
      <c r="I1096" t="s">
        <v>4861</v>
      </c>
      <c r="J1096" t="s">
        <v>2802</v>
      </c>
      <c r="K1096">
        <v>0</v>
      </c>
      <c r="L1096">
        <v>0</v>
      </c>
      <c r="M1096">
        <v>9110</v>
      </c>
      <c r="N1096" t="s">
        <v>79</v>
      </c>
      <c r="O1096">
        <v>4</v>
      </c>
      <c r="R1096" t="s">
        <v>4862</v>
      </c>
      <c r="S1096">
        <v>0</v>
      </c>
      <c r="T1096">
        <v>0</v>
      </c>
      <c r="U1096">
        <v>923</v>
      </c>
      <c r="V1096" t="s">
        <v>4910</v>
      </c>
      <c r="W1096" t="s">
        <v>4911</v>
      </c>
      <c r="X1096" t="s">
        <v>79</v>
      </c>
    </row>
    <row r="1097" spans="1:24">
      <c r="A1097">
        <v>92330</v>
      </c>
      <c r="B1097" t="s">
        <v>4912</v>
      </c>
      <c r="C1097" t="s">
        <v>2802</v>
      </c>
      <c r="D1097" t="s">
        <v>2802</v>
      </c>
      <c r="H1097">
        <v>0</v>
      </c>
      <c r="I1097" t="s">
        <v>4861</v>
      </c>
      <c r="J1097" t="s">
        <v>2802</v>
      </c>
      <c r="K1097">
        <v>0</v>
      </c>
      <c r="L1097">
        <v>0</v>
      </c>
      <c r="M1097">
        <v>9110</v>
      </c>
      <c r="N1097" t="s">
        <v>79</v>
      </c>
      <c r="O1097">
        <v>4</v>
      </c>
      <c r="R1097" t="s">
        <v>4862</v>
      </c>
      <c r="S1097">
        <v>0</v>
      </c>
      <c r="T1097">
        <v>0</v>
      </c>
      <c r="U1097">
        <v>923</v>
      </c>
      <c r="V1097" t="s">
        <v>4910</v>
      </c>
      <c r="W1097" t="s">
        <v>4913</v>
      </c>
      <c r="X1097" t="s">
        <v>79</v>
      </c>
    </row>
    <row r="1098" spans="1:24">
      <c r="A1098">
        <v>92340</v>
      </c>
      <c r="B1098" t="s">
        <v>4914</v>
      </c>
      <c r="C1098" t="s">
        <v>2802</v>
      </c>
      <c r="D1098" t="s">
        <v>2802</v>
      </c>
      <c r="H1098">
        <v>0</v>
      </c>
      <c r="I1098" t="s">
        <v>4861</v>
      </c>
      <c r="J1098" t="s">
        <v>2802</v>
      </c>
      <c r="K1098">
        <v>0</v>
      </c>
      <c r="L1098">
        <v>0</v>
      </c>
      <c r="M1098">
        <v>9110</v>
      </c>
      <c r="N1098" t="s">
        <v>79</v>
      </c>
      <c r="O1098">
        <v>4</v>
      </c>
      <c r="R1098" t="s">
        <v>4862</v>
      </c>
      <c r="S1098">
        <v>0</v>
      </c>
      <c r="T1098">
        <v>0</v>
      </c>
      <c r="U1098">
        <v>923</v>
      </c>
      <c r="V1098" t="s">
        <v>4910</v>
      </c>
      <c r="W1098" t="s">
        <v>4914</v>
      </c>
      <c r="X1098" t="s">
        <v>79</v>
      </c>
    </row>
    <row r="1099" spans="1:24">
      <c r="A1099">
        <v>92350</v>
      </c>
      <c r="B1099" t="s">
        <v>4915</v>
      </c>
      <c r="C1099" t="s">
        <v>2802</v>
      </c>
      <c r="D1099" t="s">
        <v>2802</v>
      </c>
      <c r="H1099">
        <v>0</v>
      </c>
      <c r="I1099" t="s">
        <v>4861</v>
      </c>
      <c r="J1099" t="s">
        <v>2802</v>
      </c>
      <c r="K1099">
        <v>0</v>
      </c>
      <c r="L1099">
        <v>0</v>
      </c>
      <c r="M1099">
        <v>9110</v>
      </c>
      <c r="N1099" t="s">
        <v>79</v>
      </c>
      <c r="O1099">
        <v>4</v>
      </c>
      <c r="R1099" t="s">
        <v>4862</v>
      </c>
      <c r="S1099">
        <v>0</v>
      </c>
      <c r="T1099">
        <v>0</v>
      </c>
      <c r="U1099">
        <v>923</v>
      </c>
      <c r="V1099" t="s">
        <v>4910</v>
      </c>
      <c r="W1099" t="s">
        <v>4915</v>
      </c>
      <c r="X1099" t="s">
        <v>79</v>
      </c>
    </row>
    <row r="1100" spans="1:24">
      <c r="A1100">
        <v>92360</v>
      </c>
      <c r="B1100" t="s">
        <v>4916</v>
      </c>
      <c r="C1100" t="s">
        <v>2802</v>
      </c>
      <c r="D1100" t="s">
        <v>2802</v>
      </c>
      <c r="H1100">
        <v>0</v>
      </c>
      <c r="I1100" t="s">
        <v>4861</v>
      </c>
      <c r="J1100" t="s">
        <v>2802</v>
      </c>
      <c r="K1100">
        <v>0</v>
      </c>
      <c r="L1100">
        <v>0</v>
      </c>
      <c r="M1100">
        <v>9110</v>
      </c>
      <c r="N1100" t="s">
        <v>79</v>
      </c>
      <c r="O1100">
        <v>4</v>
      </c>
      <c r="R1100" t="s">
        <v>4862</v>
      </c>
      <c r="S1100">
        <v>0</v>
      </c>
      <c r="T1100">
        <v>0</v>
      </c>
      <c r="U1100">
        <v>923</v>
      </c>
      <c r="V1100" t="s">
        <v>4910</v>
      </c>
      <c r="W1100" t="s">
        <v>4916</v>
      </c>
      <c r="X1100" t="s">
        <v>79</v>
      </c>
    </row>
    <row r="1101" spans="1:24">
      <c r="A1101">
        <v>99001</v>
      </c>
      <c r="B1101" t="s">
        <v>4917</v>
      </c>
      <c r="C1101" t="s">
        <v>2802</v>
      </c>
      <c r="D1101" t="s">
        <v>2802</v>
      </c>
      <c r="I1101" t="s">
        <v>4891</v>
      </c>
      <c r="J1101" t="s">
        <v>2802</v>
      </c>
      <c r="K1101">
        <v>0</v>
      </c>
      <c r="L1101">
        <v>0</v>
      </c>
      <c r="M1101">
        <v>9900</v>
      </c>
      <c r="N1101" t="s">
        <v>79</v>
      </c>
      <c r="O1101">
        <v>4</v>
      </c>
      <c r="R1101" t="s">
        <v>4862</v>
      </c>
      <c r="S1101">
        <v>0</v>
      </c>
      <c r="T1101">
        <v>0</v>
      </c>
      <c r="U1101">
        <v>990</v>
      </c>
      <c r="V1101" t="s">
        <v>4891</v>
      </c>
      <c r="W1101" t="s">
        <v>4918</v>
      </c>
      <c r="X1101" t="s">
        <v>79</v>
      </c>
    </row>
    <row r="1102" spans="1:24">
      <c r="A1102">
        <v>99002</v>
      </c>
      <c r="B1102" t="s">
        <v>4919</v>
      </c>
      <c r="C1102" t="s">
        <v>2802</v>
      </c>
      <c r="D1102" t="s">
        <v>2802</v>
      </c>
      <c r="I1102" t="s">
        <v>4891</v>
      </c>
      <c r="J1102" t="s">
        <v>2802</v>
      </c>
      <c r="K1102">
        <v>0</v>
      </c>
      <c r="L1102">
        <v>0</v>
      </c>
      <c r="M1102">
        <v>9900</v>
      </c>
      <c r="N1102" t="s">
        <v>79</v>
      </c>
      <c r="R1102" t="s">
        <v>4862</v>
      </c>
      <c r="S1102">
        <v>0</v>
      </c>
      <c r="T1102">
        <v>0</v>
      </c>
      <c r="U1102">
        <v>990</v>
      </c>
      <c r="V1102" t="s">
        <v>4891</v>
      </c>
      <c r="W1102" t="s">
        <v>4920</v>
      </c>
      <c r="X1102" t="s">
        <v>79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A73738C4156A34EA20D97AC3D61E441" ma:contentTypeVersion="3" ma:contentTypeDescription="Create a new document." ma:contentTypeScope="" ma:versionID="4cf20ee449c19008f0287957040e4986">
  <xsd:schema xmlns:xsd="http://www.w3.org/2001/XMLSchema" xmlns:xs="http://www.w3.org/2001/XMLSchema" xmlns:p="http://schemas.microsoft.com/office/2006/metadata/properties" xmlns:ns2="78ca45da-4c0c-4c52-843c-de711b021460" targetNamespace="http://schemas.microsoft.com/office/2006/metadata/properties" ma:root="true" ma:fieldsID="2571966b4fe2152bab296b388cd5ac76" ns2:_="">
    <xsd:import namespace="78ca45da-4c0c-4c52-843c-de711b021460"/>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8ca45da-4c0c-4c52-843c-de711b02146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10136627-C579-4BD6-A0E1-50DC532DA705}"/>
</file>

<file path=customXml/itemProps2.xml><?xml version="1.0" encoding="utf-8"?>
<ds:datastoreItem xmlns:ds="http://schemas.openxmlformats.org/officeDocument/2006/customXml" ds:itemID="{2AF400C5-B368-4834-B3AD-7B03970B6FEA}"/>
</file>

<file path=customXml/itemProps3.xml><?xml version="1.0" encoding="utf-8"?>
<ds:datastoreItem xmlns:ds="http://schemas.openxmlformats.org/officeDocument/2006/customXml" ds:itemID="{7638CD16-A8BD-4E38-B58B-AA8F664286E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Rina Hartwell</dc:creator>
  <cp:keywords/>
  <dc:description/>
  <cp:lastModifiedBy>Talley CTR Thomas F</cp:lastModifiedBy>
  <cp:revision/>
  <dcterms:created xsi:type="dcterms:W3CDTF">2024-12-11T01:47:18Z</dcterms:created>
  <dcterms:modified xsi:type="dcterms:W3CDTF">2025-09-03T02:11:34Z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0x0101003A73738C4156A34EA20D97AC3D61E441</vt:lpwstr>
  </property>
  <property fmtid="{D5CDD505-2E9C-101B-9397-08002B2CF9AE}" pid="3" name="MediaServiceImageTags">
    <vt:lpwstr/>
  </property>
</Properties>
</file>