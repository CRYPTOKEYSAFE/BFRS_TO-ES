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TFSMS_Loading" sheetId="2" state="visible" r:id="rId2"/>
    <sheet name="Personnel" sheetId="3" state="visible" r:id="rId3"/>
    <sheet name="BFR_Calculator" sheetId="4" state="visible" r:id="rId4"/>
    <sheet name="Inventory" sheetId="5" state="visible" r:id="rId5"/>
    <sheet name="Okinawa_Adj" sheetId="6" state="visible" r:id="rId6"/>
    <sheet name="BFR_Summary" sheetId="7" state="visible" r:id="rId7"/>
    <sheet name="CCN_Library" sheetId="8" state="visible" r:id="rId8"/>
  </sheets>
  <definedNames>
    <definedName name="BFR_CCN" hidden="0" function="0" vbProcedure="0">BFR_Calculator!$B$7:$B$20</definedName>
    <definedName name="BFR_NAME" hidden="0" function="0" vbProcedure="0">BFR_Calculator!$C$7:$C$20</definedName>
    <definedName name="BFR_NOTE" hidden="0" function="0" vbProcedure="0">BFR_Calculator!$J$7:$J$20</definedName>
    <definedName name="BFR_OVR" hidden="0" function="0" vbProcedure="0">BFR_Calculator!$I$7:$I$20</definedName>
    <definedName name="BFR_REQ" hidden="0" function="0" vbProcedure="0">BFR_Calculator!$H$7:$H$20</definedName>
    <definedName name="BFR_UM" hidden="0" function="0" vbProcedure="0">BFR_Calculator!$D$7:$D$20</definedName>
    <definedName name="BLDG_NO" hidden="0" function="0" vbProcedure="0">Cover!$D$8</definedName>
    <definedName name="Contingency" hidden="0" function="0" vbProcedure="0">Okinawa_Adj!$C$10</definedName>
    <definedName name="Esc_Factor" hidden="0" function="0" vbProcedure="0">Okinawa_Adj!$C$9</definedName>
    <definedName name="HF" hidden="0" function="0" vbProcedure="0">Okinawa_Adj!$C$13</definedName>
    <definedName name="INSTALLATION" hidden="0" function="0" vbProcedure="0">Cover!$D$7</definedName>
    <definedName name="Okinawa_Navy_ACF" hidden="0" function="0" vbProcedure="0">Okinawa_Adj!$C$7</definedName>
    <definedName name="Okinawa_Sust_ACF" hidden="0" function="0" vbProcedure="0">Okinawa_Adj!$C$8</definedName>
    <definedName name="PD_Factor" hidden="0" function="0" vbProcedure="0">Okinawa_Adj!$C$12</definedName>
    <definedName name="PLANNER" hidden="0" function="0" vbProcedure="0">Cover!$D$12</definedName>
    <definedName name="PN_ENL" hidden="0" function="0" vbProcedure="0">Personnel!$C$29</definedName>
    <definedName name="PN_MIL" hidden="0" function="0" vbProcedure="0">Personnel!$C$33</definedName>
    <definedName name="PN_OFF" hidden="0" function="0" vbProcedure="0">Personnel!$C$28</definedName>
    <definedName name="PROG_FY" hidden="0" function="0" vbProcedure="0">Cover!$D$14</definedName>
    <definedName name="PROJ_DATE" hidden="0" function="0" vbProcedure="0">Cover!$D$13</definedName>
    <definedName name="PROJ_TITLE" hidden="0" function="0" vbProcedure="0">Cover!$D$6</definedName>
    <definedName name="REGION" hidden="0" function="0" vbProcedure="0">Cover!$D$9</definedName>
    <definedName name="SIOH" hidden="0" function="0" vbProcedure="0">Okinawa_Adj!$C$11</definedName>
    <definedName name="TENANT_UNIT" hidden="0" function="0" vbProcedure="0">Cover!$D$10</definedName>
    <definedName name="TFSMS_CIV" hidden="0" function="0" vbProcedure="0">TFSMS_Loading!$L$17</definedName>
    <definedName name="TFSMS_CTR" hidden="0" function="0" vbProcedure="0">TFSMS_Loading!$M$17</definedName>
    <definedName name="TFSMS_MAR_ENL" hidden="0" function="0" vbProcedure="0">TFSMS_Loading!$E$17</definedName>
    <definedName name="TFSMS_MAR_OFF" hidden="0" function="0" vbProcedure="0">TFSMS_Loading!$D$17</definedName>
    <definedName name="TFSMS_NAV_ENL" hidden="0" function="0" vbProcedure="0">TFSMS_Loading!$G$17</definedName>
    <definedName name="TFSMS_NAV_OFF" hidden="0" function="0" vbProcedure="0">TFSMS_Loading!$F$17</definedName>
    <definedName name="TFSMS_NC" hidden="0" function="0" vbProcedure="0">TFSMS_Loading!$N$17</definedName>
    <definedName name="TFSMS_OS_ENL" hidden="0" function="0" vbProcedure="0">TFSMS_Loading!$I$17</definedName>
    <definedName name="TFSMS_OS_OFF" hidden="0" function="0" vbProcedure="0">TFSMS_Loading!$H$17</definedName>
    <definedName name="TFSMS_RES_ENL" hidden="0" function="0" vbProcedure="0">TFSMS_Loading!$K$17</definedName>
    <definedName name="TFSMS_RES_OFF" hidden="0" function="0" vbProcedure="0">TFSMS_Loading!$J$17</definedName>
    <definedName name="TFSMS_TOTAL" hidden="0" function="0" vbProcedure="0">TFSMS_Loading!$O$17</definedName>
    <definedName name="UIC" hidden="0" function="0" vbProcedure="0">Cover!$D$11</definedName>
    <definedName name="CCN_TABLE">CCN_Library!$C$6:$I$1100</definedName>
    <definedName name="TFSMS_UNRECONCILED">TFSMS_Loading!$D$19</definedName>
    <definedName name="PN_MAR_OFF">TFSMS_Loading!$D$37</definedName>
    <definedName name="PN_MAR_ENL">TFSMS_Loading!$E$37</definedName>
    <definedName name="PN_NAV_OFF">TFSMS_Loading!$F$37</definedName>
    <definedName name="PN_NAV_ENL">TFSMS_Loading!$G$37</definedName>
    <definedName name="PN_OS_OFF">TFSMS_Loading!$H$37</definedName>
    <definedName name="PN_OS_ENL">TFSMS_Loading!$I$37</definedName>
    <definedName name="PN_RES_OFF">TFSMS_Loading!$J$37</definedName>
    <definedName name="PN_RES_ENL">TFSMS_Loading!$K$37</definedName>
    <definedName name="PN_CIV">TFSMS_Loading!$L$37</definedName>
    <definedName name="PN_CTR">TFSMS_Loading!$M$37</definedName>
    <definedName name="PN_NC">TFSMS_Loading!$N$37</definedName>
    <definedName name="PN_TOTAL">TFSMS_Loading!$O$37</definedName>
    <definedName name="_xlnm.Print_Titles" localSheetId="6">'BFR_Summary'!$1:$4</definedName>
    <definedName name="_xlnm.Print_Area" localSheetId="6">'BFR_Summary'!$B$2:$J$76</definedName>
  </definedNames>
  <calcPr calcId="124519" calcMode="auto" fullCalcOnLoad="1" refMode="A1" iterate="0" iterateCount="100" iterateDelta="0.0001"/>
</workbook>
</file>

<file path=xl/styles.xml><?xml version="1.0" encoding="utf-8"?>
<styleSheet xmlns="http://schemas.openxmlformats.org/spreadsheetml/2006/main">
  <numFmts count="5">
    <numFmt numFmtId="164" formatCode="yyyy\-mm\-dd"/>
    <numFmt numFmtId="165" formatCode="\+#,##0;\-#,##0;0"/>
    <numFmt numFmtId="166" formatCode="#,##0;[RED]\-#,##0"/>
    <numFmt numFmtId="167" formatCode="0.000"/>
    <numFmt numFmtId="168" formatCode="\$#,##0"/>
  </numFmts>
  <fonts count="18">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8"/>
    </font>
    <font>
      <name val="Calibri"/>
      <charset val="1"/>
      <family val="0"/>
      <i val="1"/>
      <color rgb="FFFFFFFF"/>
      <sz val="10"/>
    </font>
    <font>
      <name val="Calibri"/>
      <charset val="1"/>
      <family val="0"/>
      <b val="1"/>
      <color rgb="FFFFFFFF"/>
      <sz val="12"/>
    </font>
    <font>
      <name val="Calibri"/>
      <charset val="1"/>
      <family val="0"/>
      <b val="1"/>
      <color rgb="FF28251D"/>
      <sz val="10"/>
    </font>
    <font>
      <name val="Calibri"/>
      <charset val="1"/>
      <family val="0"/>
      <color rgb="FF28251D"/>
      <sz val="10"/>
    </font>
    <font>
      <name val="Calibri"/>
      <charset val="1"/>
      <family val="0"/>
      <b val="1"/>
      <color rgb="FF6B2A0A"/>
      <sz val="10"/>
    </font>
    <font>
      <name val="Calibri"/>
      <charset val="1"/>
      <family val="0"/>
      <b val="1"/>
      <color rgb="FF28251D"/>
      <sz val="11"/>
    </font>
    <font>
      <name val="Calibri"/>
      <charset val="1"/>
      <family val="0"/>
      <b val="1"/>
      <color rgb="FFFFFFFF"/>
      <sz val="11"/>
    </font>
    <font>
      <name val="Calibri"/>
      <charset val="1"/>
      <family val="0"/>
      <i val="1"/>
      <color rgb="FF7A7974"/>
      <sz val="9"/>
    </font>
    <font>
      <name val="Calibri"/>
      <charset val="1"/>
      <family val="0"/>
      <b val="1"/>
      <i val="1"/>
      <color rgb="FF6B2A0A"/>
      <sz val="10"/>
    </font>
    <font>
      <name val="Calibri"/>
      <charset val="1"/>
      <family val="0"/>
      <b val="1"/>
      <sz val="11"/>
    </font>
    <font>
      <name val="Calibri"/>
      <sz val="10"/>
    </font>
    <font>
      <name val="Calibri"/>
      <b val="1"/>
      <sz val="11"/>
    </font>
    <font>
      <name val="Calibri"/>
      <b val="1"/>
      <sz val="10"/>
    </font>
  </fonts>
  <fills count="14">
    <fill>
      <patternFill/>
    </fill>
    <fill>
      <patternFill patternType="gray125"/>
    </fill>
    <fill>
      <patternFill patternType="solid">
        <fgColor rgb="FF0C2340"/>
        <bgColor rgb="FF28251D"/>
      </patternFill>
    </fill>
    <fill>
      <patternFill patternType="solid">
        <fgColor rgb="FF1B3A5C"/>
        <bgColor rgb="FF0C2340"/>
      </patternFill>
    </fill>
    <fill>
      <patternFill patternType="solid">
        <fgColor rgb="FFEAEAE3"/>
        <bgColor rgb="FFEAF3F4"/>
      </patternFill>
    </fill>
    <fill>
      <patternFill patternType="solid">
        <fgColor rgb="FFFFF8DC"/>
        <bgColor rgb="FFF7F6F2"/>
      </patternFill>
    </fill>
    <fill>
      <patternFill patternType="solid">
        <fgColor rgb="FFF8E2D6"/>
        <bgColor rgb="FFEAEAE3"/>
      </patternFill>
    </fill>
    <fill>
      <patternFill patternType="solid">
        <fgColor rgb="FFEAF3F4"/>
        <bgColor rgb="FFF7F6F2"/>
      </patternFill>
    </fill>
    <fill>
      <patternFill patternType="solid">
        <fgColor rgb="FFDCE7C8"/>
        <bgColor rgb="FFEAEAE3"/>
      </patternFill>
    </fill>
    <fill>
      <patternFill patternType="solid">
        <fgColor rgb="FFF7F6F2"/>
        <bgColor rgb="FFEAF3F4"/>
      </patternFill>
    </fill>
    <fill>
      <patternFill patternType="solid">
        <fgColor rgb="00F2F2F2"/>
      </patternFill>
    </fill>
    <fill>
      <patternFill patternType="solid">
        <fgColor rgb="00FFF2CC"/>
      </patternFill>
    </fill>
    <fill>
      <patternFill patternType="solid">
        <fgColor rgb="00FFF8DC"/>
      </patternFill>
    </fill>
    <fill>
      <patternFill patternType="solid">
        <fgColor rgb="00EAF3F4"/>
      </patternFill>
    </fill>
  </fills>
  <borders count="16">
    <border>
      <left/>
      <right/>
      <top/>
      <bottom/>
      <diagonal/>
    </border>
    <border>
      <left style="thin">
        <color rgb="FFD4D1CA"/>
      </left>
      <right style="thin">
        <color rgb="FFD4D1CA"/>
      </right>
      <top style="thin">
        <color rgb="FFD4D1CA"/>
      </top>
      <bottom style="thin">
        <color rgb="FFD4D1CA"/>
      </bottom>
      <diagonal/>
    </border>
    <border>
      <left style="thin">
        <color rgb="FFD4D1CA"/>
      </left>
      <right/>
      <top style="thin">
        <color rgb="FFD4D1CA"/>
      </top>
      <bottom style="thin">
        <color rgb="FFD4D1CA"/>
      </bottom>
      <diagonal/>
    </border>
    <border>
      <left/>
      <right/>
      <top/>
      <bottom style="thin">
        <color rgb="FFD4D1CA"/>
      </bottom>
      <diagonal/>
    </border>
    <border>
      <left/>
      <right/>
      <top style="thin">
        <color rgb="FFD4D1CA"/>
      </top>
      <bottom style="thin">
        <color rgb="FFD4D1CA"/>
      </bottom>
      <diagonal/>
    </border>
    <border>
      <left style="thin">
        <color rgb="FFD4D1CA"/>
      </left>
      <right style="thin">
        <color rgb="FFD4D1CA"/>
      </right>
      <top/>
      <bottom/>
      <diagonal/>
    </border>
    <border>
      <left style="thin">
        <color rgb="FFD4D1CA"/>
      </left>
      <right/>
      <top style="thin">
        <color rgb="FFD4D1CA"/>
      </top>
      <bottom/>
      <diagonal/>
    </border>
    <border>
      <left/>
      <right/>
      <top style="thin">
        <color rgb="FFD4D1CA"/>
      </top>
      <bottom/>
      <diagonal/>
    </border>
    <border>
      <left/>
      <right style="thin">
        <color rgb="FFD4D1CA"/>
      </right>
      <top style="thin">
        <color rgb="FFD4D1CA"/>
      </top>
      <bottom/>
      <diagonal/>
    </border>
    <border>
      <left/>
      <right style="thin">
        <color rgb="FFD4D1CA"/>
      </right>
      <top style="thin">
        <color rgb="FFD4D1CA"/>
      </top>
      <bottom style="thin">
        <color rgb="FFD4D1CA"/>
      </bottom>
      <diagonal/>
    </border>
    <border>
      <left style="thin">
        <color rgb="FFD4D1CA"/>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top style="thin">
        <color rgb="00000000"/>
      </top>
      <bottom style="thin">
        <color rgb="0000000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6" fillId="2" borderId="0" applyAlignment="1" pivotButton="0" quotePrefix="0" xfId="0">
      <alignment horizontal="left" vertical="center" wrapText="1"/>
    </xf>
    <xf numFmtId="0" fontId="7" fillId="4" borderId="1" applyAlignment="1" pivotButton="0" quotePrefix="0" xfId="0">
      <alignment horizontal="left" vertical="center" wrapText="1"/>
    </xf>
    <xf numFmtId="0" fontId="8" fillId="5" borderId="2" applyAlignment="1" pivotButton="0" quotePrefix="0" xfId="0">
      <alignment horizontal="left" vertical="center" wrapText="1"/>
    </xf>
    <xf numFmtId="0" fontId="8" fillId="0" borderId="0" applyAlignment="1" pivotButton="0" quotePrefix="0" xfId="0">
      <alignment horizontal="left" vertical="top" wrapText="1"/>
    </xf>
    <xf numFmtId="0" fontId="9" fillId="6" borderId="2" applyAlignment="1" pivotButton="0" quotePrefix="0" xfId="0">
      <alignment horizontal="left" vertical="top" wrapText="1"/>
    </xf>
    <xf numFmtId="0" fontId="0" fillId="0" borderId="0" applyAlignment="1" pivotButton="0" quotePrefix="0" xfId="0">
      <alignment horizontal="general" vertical="bottom"/>
    </xf>
    <xf numFmtId="0" fontId="6" fillId="2" borderId="0" applyAlignment="1" pivotButton="0" quotePrefix="0" xfId="0">
      <alignment horizontal="left" vertical="center" wrapText="1"/>
    </xf>
    <xf numFmtId="0" fontId="0" fillId="5" borderId="1" applyAlignment="1" pivotButton="0" quotePrefix="0" xfId="0">
      <alignment horizontal="general" vertical="bottom"/>
    </xf>
    <xf numFmtId="0" fontId="8" fillId="0" borderId="0" applyAlignment="1" pivotButton="0" quotePrefix="0" xfId="0">
      <alignment horizontal="general" vertical="bottom"/>
    </xf>
    <xf numFmtId="0" fontId="0" fillId="7" borderId="1" applyAlignment="1" pivotButton="0" quotePrefix="0" xfId="0">
      <alignment horizontal="general" vertical="bottom"/>
    </xf>
    <xf numFmtId="0" fontId="0" fillId="8" borderId="1" applyAlignment="1" pivotButton="0" quotePrefix="0" xfId="0">
      <alignment horizontal="general" vertical="bottom"/>
    </xf>
    <xf numFmtId="0" fontId="0" fillId="6" borderId="1" applyAlignment="1" pivotButton="0" quotePrefix="0" xfId="0">
      <alignment horizontal="general" vertical="bottom"/>
    </xf>
    <xf numFmtId="0" fontId="8" fillId="0" borderId="0" applyAlignment="1" pivotButton="0" quotePrefix="0" xfId="0">
      <alignment horizontal="general" vertical="bottom"/>
    </xf>
    <xf numFmtId="0" fontId="8" fillId="0" borderId="0" applyAlignment="1" pivotButton="0" quotePrefix="0" xfId="0">
      <alignment horizontal="left" vertical="center" wrapText="1"/>
    </xf>
    <xf numFmtId="0" fontId="8" fillId="0" borderId="0" applyAlignment="1" pivotButton="0" quotePrefix="0" xfId="0">
      <alignment horizontal="left" vertical="center" wrapText="1"/>
    </xf>
    <xf numFmtId="0" fontId="0" fillId="0" borderId="3" applyAlignment="1" pivotButton="0" quotePrefix="0" xfId="0">
      <alignment horizontal="general" vertical="bottom"/>
    </xf>
    <xf numFmtId="0" fontId="10" fillId="4" borderId="2" applyAlignment="1" pivotButton="0" quotePrefix="0" xfId="0">
      <alignment horizontal="center" vertical="center" wrapText="1"/>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3" fontId="8" fillId="5" borderId="1" applyAlignment="1" pivotButton="0" quotePrefix="0" xfId="0">
      <alignment horizontal="right" vertical="center" wrapText="1"/>
    </xf>
    <xf numFmtId="3" fontId="7" fillId="8" borderId="1" applyAlignment="1" pivotButton="0" quotePrefix="0" xfId="0">
      <alignment horizontal="right" vertical="center" wrapText="1"/>
    </xf>
    <xf numFmtId="164" fontId="8" fillId="5" borderId="1" applyAlignment="1" pivotButton="0" quotePrefix="0" xfId="0">
      <alignment horizontal="center" vertical="center" wrapText="1"/>
    </xf>
    <xf numFmtId="165" fontId="8" fillId="5" borderId="1" applyAlignment="1" pivotButton="0" quotePrefix="0" xfId="0">
      <alignment horizontal="center" vertical="center" wrapText="1"/>
    </xf>
    <xf numFmtId="0" fontId="11" fillId="2" borderId="0" applyAlignment="1" pivotButton="0" quotePrefix="0" xfId="0">
      <alignment horizontal="left" vertical="center" wrapText="1"/>
    </xf>
    <xf numFmtId="0" fontId="7" fillId="4" borderId="2" applyAlignment="1" pivotButton="0" quotePrefix="0" xfId="0">
      <alignment horizontal="left" vertical="center" wrapText="1"/>
    </xf>
    <xf numFmtId="0" fontId="13" fillId="0" borderId="0" applyAlignment="1" pivotButton="0" quotePrefix="0" xfId="0">
      <alignment horizontal="left" vertical="center" wrapText="1"/>
    </xf>
    <xf numFmtId="0" fontId="10" fillId="4" borderId="1" applyAlignment="1" pivotButton="0" quotePrefix="0" xfId="0">
      <alignment horizontal="center" vertical="center" wrapText="1"/>
    </xf>
    <xf numFmtId="3" fontId="8" fillId="5" borderId="1" applyAlignment="1" pivotButton="0" quotePrefix="0" xfId="0">
      <alignment horizontal="left" vertical="center" wrapText="1"/>
    </xf>
    <xf numFmtId="3" fontId="8" fillId="7" borderId="1" applyAlignment="1" pivotButton="0" quotePrefix="0" xfId="0">
      <alignment horizontal="right" vertical="center" wrapText="1"/>
    </xf>
    <xf numFmtId="0" fontId="11" fillId="2" borderId="1" applyAlignment="1" pivotButton="0" quotePrefix="0" xfId="0">
      <alignment horizontal="left" vertical="center" wrapText="1"/>
    </xf>
    <xf numFmtId="0" fontId="12" fillId="0" borderId="0" applyAlignment="1" pivotButton="0" quotePrefix="0" xfId="0">
      <alignment horizontal="lef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4" fillId="4" borderId="1" applyAlignment="1" pivotButton="0" quotePrefix="0" xfId="0">
      <alignment horizontal="center" vertical="center" wrapText="1"/>
    </xf>
    <xf numFmtId="4" fontId="8" fillId="5" borderId="1" applyAlignment="1" pivotButton="0" quotePrefix="0" xfId="0">
      <alignment horizontal="left" vertical="center" wrapText="1"/>
    </xf>
    <xf numFmtId="2" fontId="8" fillId="5" borderId="1" applyAlignment="1" pivotButton="0" quotePrefix="0" xfId="0">
      <alignment horizontal="left" vertical="center" wrapText="1"/>
    </xf>
    <xf numFmtId="0" fontId="0" fillId="0" borderId="1" applyAlignment="1" pivotButton="0" quotePrefix="0" xfId="0">
      <alignment horizontal="center" vertical="center" wrapText="1"/>
    </xf>
    <xf numFmtId="0" fontId="8" fillId="0" borderId="1" applyAlignment="1" pivotButton="0" quotePrefix="0" xfId="0">
      <alignment horizontal="general" vertical="bottom"/>
    </xf>
    <xf numFmtId="3" fontId="0" fillId="0" borderId="1" applyAlignment="1" pivotButton="0" quotePrefix="0" xfId="0">
      <alignment horizontal="general" vertical="bottom"/>
    </xf>
    <xf numFmtId="0" fontId="12" fillId="0" borderId="0" applyAlignment="1" pivotButton="0" quotePrefix="0" xfId="0">
      <alignment horizontal="general" vertical="bottom"/>
    </xf>
    <xf numFmtId="166" fontId="7" fillId="8" borderId="1" applyAlignment="1" pivotButton="0" quotePrefix="0" xfId="0">
      <alignment horizontal="right" vertical="center" wrapText="1"/>
    </xf>
    <xf numFmtId="167" fontId="8" fillId="5" borderId="1" applyAlignment="1" pivotButton="0" quotePrefix="0" xfId="0">
      <alignment horizontal="left" vertical="center" wrapText="1"/>
    </xf>
    <xf numFmtId="0" fontId="12" fillId="0" borderId="1" applyAlignment="1" pivotButton="0" quotePrefix="0" xfId="0">
      <alignment horizontal="left" vertical="center" wrapText="1"/>
    </xf>
    <xf numFmtId="0" fontId="8" fillId="9" borderId="2" applyAlignment="1" pivotButton="0" quotePrefix="0" xfId="0">
      <alignment horizontal="left" vertical="center" wrapText="1"/>
    </xf>
    <xf numFmtId="168" fontId="8" fillId="5" borderId="1" applyAlignment="1" pivotButton="0" quotePrefix="0" xfId="0">
      <alignment horizontal="left" vertical="center" wrapText="1"/>
    </xf>
    <xf numFmtId="168" fontId="8" fillId="7" borderId="1" applyAlignment="1" pivotButton="0" quotePrefix="0" xfId="0">
      <alignment horizontal="right" vertical="center" wrapText="1"/>
    </xf>
    <xf numFmtId="2" fontId="8" fillId="7" borderId="1" applyAlignment="1" pivotButton="0" quotePrefix="0" xfId="0">
      <alignment horizontal="right" vertical="center" wrapText="1"/>
    </xf>
    <xf numFmtId="168" fontId="7" fillId="8" borderId="1" applyAlignment="1" pivotButton="0" quotePrefix="0" xfId="0">
      <alignment horizontal="right" vertical="center" wrapText="1"/>
    </xf>
    <xf numFmtId="0" fontId="8" fillId="9" borderId="6" applyAlignment="1" pivotButton="0" quotePrefix="0" xfId="0">
      <alignment horizontal="left" vertical="top" wrapText="1"/>
    </xf>
    <xf numFmtId="0" fontId="14"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9" borderId="1" applyAlignment="1" pivotButton="0" quotePrefix="0" xfId="0">
      <alignment horizontal="center" vertical="center" wrapText="1"/>
    </xf>
    <xf numFmtId="4" fontId="8" fillId="9" borderId="1" applyAlignment="1" pivotButton="0" quotePrefix="0" xfId="0">
      <alignment horizontal="center" vertical="center" wrapText="1"/>
    </xf>
    <xf numFmtId="2" fontId="0" fillId="9" borderId="1" applyAlignment="1" pivotButton="0" quotePrefix="0" xfId="0">
      <alignment horizontal="center" vertical="center" wrapText="1"/>
    </xf>
    <xf numFmtId="0" fontId="8"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8" fillId="4" borderId="1" applyAlignment="1" pivotButton="0" quotePrefix="0" xfId="0">
      <alignment horizontal="center" vertical="center" wrapText="1"/>
    </xf>
    <xf numFmtId="2" fontId="0" fillId="4" borderId="1" applyAlignment="1" pivotButton="0" quotePrefix="0" xfId="0">
      <alignment horizontal="center" vertical="center" wrapText="1"/>
    </xf>
    <xf numFmtId="0" fontId="8" fillId="9" borderId="1" applyAlignment="1" pivotButton="0" quotePrefix="0" xfId="0">
      <alignment horizontal="center" vertical="center" wrapText="1"/>
    </xf>
    <xf numFmtId="4" fontId="8" fillId="4"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6" fillId="2" borderId="0" applyAlignment="1" pivotButton="0" quotePrefix="0" xfId="0">
      <alignment horizontal="left" vertical="center" wrapText="1"/>
    </xf>
    <xf numFmtId="0" fontId="7" fillId="4" borderId="1" applyAlignment="1" pivotButton="0" quotePrefix="0" xfId="0">
      <alignment horizontal="left" vertical="center" wrapText="1"/>
    </xf>
    <xf numFmtId="0" fontId="8" fillId="5" borderId="2" applyAlignment="1" pivotButton="0" quotePrefix="0" xfId="0">
      <alignment horizontal="left" vertical="center" wrapText="1"/>
    </xf>
    <xf numFmtId="0" fontId="0" fillId="0" borderId="4" pivotButton="0" quotePrefix="0" xfId="0"/>
    <xf numFmtId="0" fontId="8" fillId="0" borderId="0" applyAlignment="1" pivotButton="0" quotePrefix="0" xfId="0">
      <alignment horizontal="left" vertical="top" wrapText="1"/>
    </xf>
    <xf numFmtId="0" fontId="9" fillId="6" borderId="2" applyAlignment="1" pivotButton="0" quotePrefix="0" xfId="0">
      <alignment horizontal="left" vertical="top" wrapText="1"/>
    </xf>
    <xf numFmtId="0" fontId="0" fillId="5" borderId="1" applyAlignment="1" pivotButton="0" quotePrefix="0" xfId="0">
      <alignment horizontal="general" vertical="bottom"/>
    </xf>
    <xf numFmtId="0" fontId="8" fillId="0" borderId="0" applyAlignment="1" pivotButton="0" quotePrefix="0" xfId="0">
      <alignment horizontal="general" vertical="bottom"/>
    </xf>
    <xf numFmtId="0" fontId="0" fillId="7" borderId="1" applyAlignment="1" pivotButton="0" quotePrefix="0" xfId="0">
      <alignment horizontal="general" vertical="bottom"/>
    </xf>
    <xf numFmtId="0" fontId="0" fillId="8" borderId="1" applyAlignment="1" pivotButton="0" quotePrefix="0" xfId="0">
      <alignment horizontal="general" vertical="bottom"/>
    </xf>
    <xf numFmtId="0" fontId="0" fillId="6" borderId="1" applyAlignment="1" pivotButton="0" quotePrefix="0" xfId="0">
      <alignment horizontal="general" vertical="bottom"/>
    </xf>
    <xf numFmtId="0" fontId="8" fillId="0" borderId="0" applyAlignment="1" pivotButton="0" quotePrefix="0" xfId="0">
      <alignment horizontal="left" vertical="center" wrapText="1"/>
    </xf>
    <xf numFmtId="0" fontId="0" fillId="0" borderId="3" applyAlignment="1" pivotButton="0" quotePrefix="0" xfId="0">
      <alignment horizontal="general" vertical="bottom"/>
    </xf>
    <xf numFmtId="0" fontId="10" fillId="4" borderId="2" applyAlignment="1" pivotButton="0" quotePrefix="0" xfId="0">
      <alignment horizontal="center" vertical="center" wrapText="1"/>
    </xf>
    <xf numFmtId="0" fontId="0" fillId="0" borderId="4" applyAlignment="1" pivotButton="0" quotePrefix="0" xfId="0">
      <alignment horizontal="general" vertical="bottom"/>
    </xf>
    <xf numFmtId="0" fontId="0" fillId="0" borderId="3" pivotButton="0" quotePrefix="0" xfId="0"/>
    <xf numFmtId="0" fontId="0" fillId="0" borderId="5" applyAlignment="1" pivotButton="0" quotePrefix="0" xfId="0">
      <alignment horizontal="general" vertical="bottom"/>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5" borderId="1" applyAlignment="1" pivotButton="0" quotePrefix="0" xfId="0">
      <alignment horizontal="left" vertical="center" wrapText="1"/>
    </xf>
    <xf numFmtId="3" fontId="8" fillId="5" borderId="1" applyAlignment="1" pivotButton="0" quotePrefix="0" xfId="0">
      <alignment horizontal="right" vertical="center" wrapText="1"/>
    </xf>
    <xf numFmtId="3" fontId="7" fillId="8" borderId="1" applyAlignment="1" pivotButton="0" quotePrefix="0" xfId="0">
      <alignment horizontal="right" vertical="center" wrapText="1"/>
    </xf>
    <xf numFmtId="164" fontId="8" fillId="5" borderId="1" applyAlignment="1" pivotButton="0" quotePrefix="0" xfId="0">
      <alignment horizontal="center" vertical="center" wrapText="1"/>
    </xf>
    <xf numFmtId="165" fontId="8" fillId="5" borderId="1" applyAlignment="1" pivotButton="0" quotePrefix="0" xfId="0">
      <alignment horizontal="center" vertical="center" wrapText="1"/>
    </xf>
    <xf numFmtId="0" fontId="0" fillId="0" borderId="9" pivotButton="0" quotePrefix="0" xfId="0"/>
    <xf numFmtId="0" fontId="11" fillId="2" borderId="0" applyAlignment="1" pivotButton="0" quotePrefix="0" xfId="0">
      <alignment horizontal="left" vertical="center" wrapText="1"/>
    </xf>
    <xf numFmtId="0" fontId="7" fillId="4" borderId="2" applyAlignment="1" pivotButton="0" quotePrefix="0" xfId="0">
      <alignment horizontal="left" vertical="center" wrapText="1"/>
    </xf>
    <xf numFmtId="0" fontId="13" fillId="0" borderId="0" applyAlignment="1" pivotButton="0" quotePrefix="0" xfId="0">
      <alignment horizontal="left" vertical="center" wrapText="1"/>
    </xf>
    <xf numFmtId="0" fontId="10" fillId="4" borderId="1" applyAlignment="1" pivotButton="0" quotePrefix="0" xfId="0">
      <alignment horizontal="center" vertical="center" wrapText="1"/>
    </xf>
    <xf numFmtId="3" fontId="8" fillId="5" borderId="1" applyAlignment="1" pivotButton="0" quotePrefix="0" xfId="0">
      <alignment horizontal="left" vertical="center" wrapText="1"/>
    </xf>
    <xf numFmtId="3" fontId="8" fillId="7" borderId="1" applyAlignment="1" pivotButton="0" quotePrefix="0" xfId="0">
      <alignment horizontal="right" vertical="center" wrapText="1"/>
    </xf>
    <xf numFmtId="0" fontId="11" fillId="2" borderId="1" applyAlignment="1" pivotButton="0" quotePrefix="0" xfId="0">
      <alignment horizontal="left" vertical="center" wrapText="1"/>
    </xf>
    <xf numFmtId="0" fontId="12" fillId="0" borderId="0" applyAlignment="1" pivotButton="0" quotePrefix="0" xfId="0">
      <alignment horizontal="lef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4" fillId="4" borderId="1" applyAlignment="1" pivotButton="0" quotePrefix="0" xfId="0">
      <alignment horizontal="center" vertical="center" wrapText="1"/>
    </xf>
    <xf numFmtId="4" fontId="8" fillId="5" borderId="1" applyAlignment="1" pivotButton="0" quotePrefix="0" xfId="0">
      <alignment horizontal="left" vertical="center" wrapText="1"/>
    </xf>
    <xf numFmtId="2" fontId="8" fillId="5" borderId="1" applyAlignment="1" pivotButton="0" quotePrefix="0" xfId="0">
      <alignment horizontal="left" vertical="center" wrapText="1"/>
    </xf>
    <xf numFmtId="0" fontId="0" fillId="0" borderId="1" applyAlignment="1" pivotButton="0" quotePrefix="0" xfId="0">
      <alignment horizontal="center" vertical="center" wrapText="1"/>
    </xf>
    <xf numFmtId="0" fontId="8" fillId="0" borderId="1" applyAlignment="1" pivotButton="0" quotePrefix="0" xfId="0">
      <alignment horizontal="general" vertical="bottom"/>
    </xf>
    <xf numFmtId="3" fontId="0" fillId="0" borderId="1" applyAlignment="1" pivotButton="0" quotePrefix="0" xfId="0">
      <alignment horizontal="general" vertical="bottom"/>
    </xf>
    <xf numFmtId="0" fontId="12" fillId="0" borderId="0" applyAlignment="1" pivotButton="0" quotePrefix="0" xfId="0">
      <alignment horizontal="general" vertical="bottom"/>
    </xf>
    <xf numFmtId="166" fontId="7" fillId="8" borderId="1" applyAlignment="1" pivotButton="0" quotePrefix="0" xfId="0">
      <alignment horizontal="right" vertical="center" wrapText="1"/>
    </xf>
    <xf numFmtId="167" fontId="8" fillId="5" borderId="1" applyAlignment="1" pivotButton="0" quotePrefix="0" xfId="0">
      <alignment horizontal="left" vertical="center" wrapText="1"/>
    </xf>
    <xf numFmtId="0" fontId="12" fillId="0" borderId="1" applyAlignment="1" pivotButton="0" quotePrefix="0" xfId="0">
      <alignment horizontal="left" vertical="center" wrapText="1"/>
    </xf>
    <xf numFmtId="0" fontId="8" fillId="9" borderId="2" applyAlignment="1" pivotButton="0" quotePrefix="0" xfId="0">
      <alignment horizontal="left" vertical="center" wrapText="1"/>
    </xf>
    <xf numFmtId="168" fontId="8" fillId="5" borderId="1" applyAlignment="1" pivotButton="0" quotePrefix="0" xfId="0">
      <alignment horizontal="left" vertical="center" wrapText="1"/>
    </xf>
    <xf numFmtId="168" fontId="8" fillId="7" borderId="1" applyAlignment="1" pivotButton="0" quotePrefix="0" xfId="0">
      <alignment horizontal="right" vertical="center" wrapText="1"/>
    </xf>
    <xf numFmtId="2" fontId="8" fillId="7" borderId="1" applyAlignment="1" pivotButton="0" quotePrefix="0" xfId="0">
      <alignment horizontal="right" vertical="center" wrapText="1"/>
    </xf>
    <xf numFmtId="168" fontId="7" fillId="8" borderId="1" applyAlignment="1" pivotButton="0" quotePrefix="0" xfId="0">
      <alignment horizontal="right" vertical="center" wrapText="1"/>
    </xf>
    <xf numFmtId="0" fontId="8" fillId="9" borderId="6" applyAlignment="1" pivotButton="0" quotePrefix="0" xfId="0">
      <alignment horizontal="left" vertical="top" wrapText="1"/>
    </xf>
    <xf numFmtId="0" fontId="0" fillId="0" borderId="7" pivotButton="0" quotePrefix="0" xfId="0"/>
    <xf numFmtId="0" fontId="0" fillId="0" borderId="10" pivotButton="0" quotePrefix="0" xfId="0"/>
    <xf numFmtId="0" fontId="14"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9" borderId="1" applyAlignment="1" pivotButton="0" quotePrefix="0" xfId="0">
      <alignment horizontal="center" vertical="center" wrapText="1"/>
    </xf>
    <xf numFmtId="4" fontId="8" fillId="9" borderId="1" applyAlignment="1" pivotButton="0" quotePrefix="0" xfId="0">
      <alignment horizontal="center" vertical="center" wrapText="1"/>
    </xf>
    <xf numFmtId="2" fontId="0" fillId="9" borderId="1" applyAlignment="1" pivotButton="0" quotePrefix="0" xfId="0">
      <alignment horizontal="center" vertical="center" wrapText="1"/>
    </xf>
    <xf numFmtId="0" fontId="8"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8" fillId="4" borderId="1" applyAlignment="1" pivotButton="0" quotePrefix="0" xfId="0">
      <alignment horizontal="center" vertical="center" wrapText="1"/>
    </xf>
    <xf numFmtId="2" fontId="0" fillId="4" borderId="1" applyAlignment="1" pivotButton="0" quotePrefix="0" xfId="0">
      <alignment horizontal="center" vertical="center" wrapText="1"/>
    </xf>
    <xf numFmtId="0" fontId="8" fillId="9" borderId="1" applyAlignment="1" pivotButton="0" quotePrefix="0" xfId="0">
      <alignment horizontal="center" vertical="center" wrapText="1"/>
    </xf>
    <xf numFmtId="4" fontId="8" fillId="4" borderId="1" applyAlignment="1" pivotButton="0" quotePrefix="0" xfId="0">
      <alignment horizontal="center" vertical="center" wrapText="1"/>
    </xf>
    <xf numFmtId="0" fontId="15" fillId="9" borderId="11" applyAlignment="1" pivotButton="0" quotePrefix="0" xfId="0">
      <alignment horizontal="left" vertical="top" wrapText="1"/>
    </xf>
    <xf numFmtId="4" fontId="15" fillId="9" borderId="11" applyAlignment="1" pivotButton="0" quotePrefix="0" xfId="0">
      <alignment horizontal="left" vertical="top" wrapText="1"/>
    </xf>
    <xf numFmtId="2" fontId="15" fillId="9" borderId="11" applyAlignment="1" pivotButton="0" quotePrefix="0" xfId="0">
      <alignment horizontal="left" vertical="top" wrapText="1"/>
    </xf>
    <xf numFmtId="0" fontId="15" fillId="4" borderId="11" applyAlignment="1" pivotButton="0" quotePrefix="0" xfId="0">
      <alignment horizontal="left" vertical="top" wrapText="1"/>
    </xf>
    <xf numFmtId="2" fontId="15" fillId="4" borderId="11" applyAlignment="1" pivotButton="0" quotePrefix="0" xfId="0">
      <alignment horizontal="left" vertical="top" wrapText="1"/>
    </xf>
    <xf numFmtId="4" fontId="15" fillId="4" borderId="11" applyAlignment="1" pivotButton="0" quotePrefix="0" xfId="0">
      <alignment horizontal="left" vertical="top" wrapText="1"/>
    </xf>
    <xf numFmtId="0" fontId="15" fillId="0" borderId="11" applyAlignment="1" pivotButton="0" quotePrefix="0" xfId="0">
      <alignment horizontal="left" vertical="top" wrapText="1"/>
    </xf>
    <xf numFmtId="3" fontId="15" fillId="0" borderId="11" applyAlignment="1" pivotButton="0" quotePrefix="0" xfId="0">
      <alignment horizontal="left" vertical="top" wrapText="1"/>
    </xf>
    <xf numFmtId="0" fontId="16" fillId="10" borderId="11" applyAlignment="1" pivotButton="0" quotePrefix="0" xfId="0">
      <alignment horizontal="right" vertical="center"/>
    </xf>
    <xf numFmtId="0" fontId="0" fillId="0" borderId="14" pivotButton="0" quotePrefix="0" xfId="0"/>
    <xf numFmtId="0" fontId="16" fillId="11" borderId="11" applyAlignment="1" pivotButton="0" quotePrefix="0" xfId="0">
      <alignment horizontal="center" vertical="center"/>
    </xf>
    <xf numFmtId="0" fontId="0" fillId="0" borderId="15" pivotButton="0" quotePrefix="0" xfId="0"/>
    <xf numFmtId="0" fontId="16" fillId="10" borderId="0" pivotButton="0" quotePrefix="0" xfId="0"/>
    <xf numFmtId="0" fontId="17" fillId="10" borderId="0" pivotButton="0" quotePrefix="0" xfId="0"/>
    <xf numFmtId="0" fontId="17" fillId="10" borderId="11" applyAlignment="1" pivotButton="0" quotePrefix="0" xfId="0">
      <alignment horizontal="center" vertical="center"/>
    </xf>
    <xf numFmtId="0" fontId="0" fillId="12" borderId="11" pivotButton="0" quotePrefix="0" xfId="0"/>
    <xf numFmtId="0" fontId="15" fillId="12" borderId="11" applyAlignment="1" pivotButton="0" quotePrefix="0" xfId="0">
      <alignment horizontal="center" vertical="center"/>
    </xf>
    <xf numFmtId="0" fontId="15" fillId="13" borderId="11" applyAlignment="1" pivotButton="0" quotePrefix="0" xfId="0">
      <alignment horizontal="center" vertical="center"/>
    </xf>
    <xf numFmtId="0" fontId="17" fillId="13" borderId="11" applyAlignment="1" pivotButton="0" quotePrefix="0" xfId="0">
      <alignment horizontal="center" vertical="center"/>
    </xf>
    <xf numFmtId="0" fontId="15" fillId="0" borderId="11" pivotButton="0" quotePrefix="0" xfId="0"/>
    <xf numFmtId="0" fontId="15" fillId="0" borderId="1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bgColor rgb="FFF8E2D6"/>
        </patternFill>
      </fill>
    </dxf>
    <dxf>
      <fill>
        <patternFill>
          <bgColor rgb="FFF8E2D6"/>
        </patternFill>
      </fill>
    </dxf>
    <dxf>
      <fill>
        <patternFill>
          <bgColor rgb="FFDCE7C8"/>
        </patternFill>
      </fill>
    </dxf>
    <dxf>
      <fill>
        <patternFill patternType="solid">
          <fgColor rgb="00C6EFCE"/>
        </patternFill>
      </fill>
    </dxf>
    <dxf>
      <fill>
        <patternFill patternType="solid">
          <fgColor rgb="00FFC7CE"/>
        </patternFill>
      </fill>
    </dxf>
    <dxf>
      <fill>
        <patternFill patternType="solid">
          <fgColor rgb="00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4D1CA"/>
      <rgbColor rgb="FF7A7974"/>
      <rgbColor rgb="FF9999FF"/>
      <rgbColor rgb="FF993366"/>
      <rgbColor rgb="FFFFF8DC"/>
      <rgbColor rgb="FFEAF3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EAE3"/>
      <rgbColor rgb="FFDCE7C8"/>
      <rgbColor rgb="FFF7F6F2"/>
      <rgbColor rgb="FF99CCFF"/>
      <rgbColor rgb="FFFF99CC"/>
      <rgbColor rgb="FFCC99FF"/>
      <rgbColor rgb="FFF8E2D6"/>
      <rgbColor rgb="FF3366FF"/>
      <rgbColor rgb="FF33CCCC"/>
      <rgbColor rgb="FF99CC00"/>
      <rgbColor rgb="FFFFCC00"/>
      <rgbColor rgb="FFFF9900"/>
      <rgbColor rgb="FFFF6600"/>
      <rgbColor rgb="FF666699"/>
      <rgbColor rgb="FF969696"/>
      <rgbColor rgb="FF1B3A5C"/>
      <rgbColor rgb="FF339966"/>
      <rgbColor rgb="FF0C2340"/>
      <rgbColor rgb="FF333300"/>
      <rgbColor rgb="FF6B2A0A"/>
      <rgbColor rgb="FF993366"/>
      <rgbColor rgb="FF333399"/>
      <rgbColor rgb="FF28251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Apex Omega</author>
  </authors>
  <commentList>
    <comment ref="D19" authorId="0" shapeId="0">
      <text>
        <t>TFSMS to ASR Reconciliation Gate (Apex Omega Sec.5.6).
Three states:
  PENDING - ASR not yet provided; BFR held; planning OK
  FALSE - RECONCILED - TFSMS=ASR; BFR releasable per DoD item 6
  TRUE - UNRECONCILED - TFSMS&lt;&gt;ASR; see per-bucket diagnostic
Workbook usable for planning in PENDING state but BFR cannot
be released until gate reads "FALSE - RECONCILED".</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2:G4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68" min="1" max="2"/>
    <col width="24" customWidth="1" style="68" min="3" max="7"/>
  </cols>
  <sheetData>
    <row r="1" ht="7.5" customHeight="1" s="69"/>
    <row r="2" ht="30" customHeight="1" s="69">
      <c r="B2" s="70" t="inlineStr">
        <is>
          <t>Marine Corps Basic Facility Requirement (BFR) Generator</t>
        </is>
      </c>
    </row>
    <row r="3" ht="18" customHeight="1" s="69">
      <c r="B3" s="71" t="inlineStr">
        <is>
          <t>FC 2-000-05N · Series 100 — Operational &amp; Training Facilities · MCIPAC · Okinawa, Japan</t>
        </is>
      </c>
    </row>
    <row r="5" ht="21.75" customHeight="1" s="69">
      <c r="B5" s="72" t="inlineStr">
        <is>
          <t>Project Information</t>
        </is>
      </c>
    </row>
    <row r="6" ht="15" customHeight="1" s="69">
      <c r="C6" s="73" t="inlineStr">
        <is>
          <t>Project Title</t>
        </is>
      </c>
      <c r="D6" s="74" t="n"/>
      <c r="E6" s="75" t="n"/>
      <c r="F6" s="75" t="n"/>
      <c r="G6" s="75" t="n"/>
    </row>
    <row r="7" ht="15" customHeight="1" s="69">
      <c r="C7" s="73" t="inlineStr">
        <is>
          <t>Installation</t>
        </is>
      </c>
      <c r="D7" s="74" t="inlineStr">
        <is>
          <t>Camp Foster, Okinawa, JP</t>
        </is>
      </c>
      <c r="E7" s="75" t="n"/>
      <c r="F7" s="75" t="n"/>
      <c r="G7" s="75" t="n"/>
    </row>
    <row r="8" ht="15" customHeight="1" s="69">
      <c r="C8" s="73" t="inlineStr">
        <is>
          <t>Building No.</t>
        </is>
      </c>
      <c r="D8" s="74" t="n"/>
      <c r="E8" s="75" t="n"/>
      <c r="F8" s="75" t="n"/>
      <c r="G8" s="75" t="n"/>
    </row>
    <row r="9" ht="15" customHeight="1" s="69">
      <c r="C9" s="73" t="inlineStr">
        <is>
          <t>Region / Command</t>
        </is>
      </c>
      <c r="D9" s="74" t="inlineStr">
        <is>
          <t>MCIPAC — 3d MLG / CLR-3</t>
        </is>
      </c>
      <c r="E9" s="75" t="n"/>
      <c r="F9" s="75" t="n"/>
      <c r="G9" s="75" t="n"/>
    </row>
    <row r="10" ht="15" customHeight="1" s="69">
      <c r="C10" s="73" t="inlineStr">
        <is>
          <t>Tenant Unit (Activity)</t>
        </is>
      </c>
      <c r="D10" s="74" t="inlineStr">
        <is>
          <t>CLB-4 (UIC M29110)</t>
        </is>
      </c>
      <c r="E10" s="75" t="n"/>
      <c r="F10" s="75" t="n"/>
      <c r="G10" s="75" t="n"/>
    </row>
    <row r="11" ht="15" customHeight="1" s="69">
      <c r="C11" s="73" t="inlineStr">
        <is>
          <t>UIC / RUC</t>
        </is>
      </c>
      <c r="D11" s="74" t="inlineStr">
        <is>
          <t>M29110 (CLB-4 — composite of M29111/12/13/14)</t>
        </is>
      </c>
      <c r="E11" s="75" t="n"/>
      <c r="F11" s="75" t="n"/>
      <c r="G11" s="75" t="n"/>
    </row>
    <row r="12" ht="15" customHeight="1" s="69">
      <c r="C12" s="73" t="inlineStr">
        <is>
          <t>Planner (Name / Office)</t>
        </is>
      </c>
      <c r="D12" s="74" t="n"/>
      <c r="E12" s="75" t="n"/>
      <c r="F12" s="75" t="n"/>
      <c r="G12" s="75" t="n"/>
    </row>
    <row r="13" ht="15" customHeight="1" s="69">
      <c r="C13" s="73" t="inlineStr">
        <is>
          <t>Date Prepared</t>
        </is>
      </c>
      <c r="D13" s="74" t="n"/>
      <c r="E13" s="75" t="n"/>
      <c r="F13" s="75" t="n"/>
      <c r="G13" s="75" t="n"/>
    </row>
    <row r="14" ht="15" customHeight="1" s="69">
      <c r="C14" s="73" t="inlineStr">
        <is>
          <t>FY (Program Year)</t>
        </is>
      </c>
      <c r="D14" s="74" t="n"/>
      <c r="E14" s="75" t="n"/>
      <c r="F14" s="75" t="n"/>
      <c r="G14" s="75" t="n"/>
    </row>
    <row r="15" ht="15" customHeight="1" s="69">
      <c r="C15" s="73" t="n"/>
      <c r="D15" s="74" t="n"/>
      <c r="E15" s="75" t="n"/>
      <c r="F15" s="75" t="n"/>
      <c r="G15" s="75" t="n"/>
    </row>
    <row r="17" ht="21.75" customHeight="1" s="69">
      <c r="B17" s="72" t="inlineStr">
        <is>
          <t>How to Use This Workbook</t>
        </is>
      </c>
    </row>
    <row r="18" ht="30" customHeight="1" s="69">
      <c r="B18" s="76" t="inlineStr">
        <is>
          <t>1. Fill in Project Information above.</t>
        </is>
      </c>
    </row>
    <row r="19" ht="30" customHeight="1" s="69">
      <c r="B19" s="76" t="inlineStr">
        <is>
          <t>2. Go to the Personnel sheet and enter unit personnel loading (officers, enlisted, civilians, contractors). The Authorized Strength Report (ASR) / TFSD projection is the official source per FC 2-000-05N §61010-3.</t>
        </is>
      </c>
    </row>
    <row r="20" ht="30" customHeight="1" s="69">
      <c r="B20" s="76" t="inlineStr">
        <is>
          <t>3. Open the BFR Calculator. Each row references a Series 100 Category Code (CCN). Enter quantity drivers (e.g., # of vehicles by type, # of student stations, # of weapons). Required SF / SY / EA is computed automatically using the planning factors stored in the CCN Library.</t>
        </is>
      </c>
    </row>
    <row r="21" ht="30" customHeight="1" s="69">
      <c r="B21" s="76" t="inlineStr">
        <is>
          <t>4. Open the Inventory sheet and enter existing iNFADS assets for each CCN. Surplus / Deficit is computed automatically.</t>
        </is>
      </c>
    </row>
    <row r="22" ht="30" customHeight="1" s="69">
      <c r="B22" s="76" t="inlineStr">
        <is>
          <t>5. Open the Okinawa Adjustments sheet. Confirm the MILCON Area Cost Factor (Okinawa Navy ACF), ATFP setbacks (UFC 4-010-01), seismic/typhoon premiums, and any host-nation siting constraints.</t>
        </is>
      </c>
    </row>
    <row r="23" ht="30" customHeight="1" s="69">
      <c r="B23" s="76" t="inlineStr">
        <is>
          <t>6. Open the BFR Summary. This is the print-ready output: total requirements, deficits, programmed cost, and justification narrative for the DD Form 1391 attachment.</t>
        </is>
      </c>
    </row>
    <row r="24" ht="30" customHeight="1" s="69">
      <c r="B24" s="76" t="inlineStr">
        <is>
          <t>7. Cell colors: cream = INPUT (you fill in), light teal = CALCULATED, light green = OUTPUT / TOTAL.</t>
        </is>
      </c>
    </row>
    <row r="25" ht="30" customHeight="1" s="69">
      <c r="B25" s="76" t="inlineStr">
        <is>
          <t>8. Do not overwrite formula cells. To add a CCN that is not listed, copy a row in the BFR Calculator and add the CCN code from the CCN Library.</t>
        </is>
      </c>
    </row>
    <row r="26" ht="36" customHeight="1" s="69">
      <c r="B26" s="77" t="inlineStr">
        <is>
          <t>DATA QUALITY: Treat all TFSMS / TO&amp;E exports as DRAFT. Reconcile every UIC row on TFSMS_Loading against the current Authorized Strength Report (ASR) before relying on BFR outputs. Unreconciled rows are flagged on the Personnel sheet header.</t>
        </is>
      </c>
      <c r="C26" s="75" t="n"/>
      <c r="D26" s="75" t="n"/>
      <c r="E26" s="75" t="n"/>
      <c r="F26" s="75" t="n"/>
      <c r="G26" s="75" t="n"/>
    </row>
    <row r="27" ht="21.75" customHeight="1" s="69">
      <c r="B27" s="68" t="n"/>
    </row>
    <row r="28" ht="15" customHeight="1" s="69">
      <c r="B28" s="72" t="inlineStr">
        <is>
          <t>Cell Color Legend</t>
        </is>
      </c>
      <c r="D28" s="68" t="n"/>
    </row>
    <row r="29" ht="15" customHeight="1" s="69">
      <c r="C29" s="78" t="inlineStr">
        <is>
          <t> </t>
        </is>
      </c>
      <c r="D29" s="79" t="inlineStr">
        <is>
          <t>INPUT — user-editable</t>
        </is>
      </c>
    </row>
    <row r="30" ht="15" customHeight="1" s="69">
      <c r="C30" s="80" t="inlineStr">
        <is>
          <t> </t>
        </is>
      </c>
      <c r="D30" s="79" t="inlineStr">
        <is>
          <t>CALCULATED — formula</t>
        </is>
      </c>
    </row>
    <row r="31" ht="15" customHeight="1" s="69">
      <c r="C31" s="81" t="inlineStr">
        <is>
          <t> </t>
        </is>
      </c>
      <c r="D31" s="79" t="inlineStr">
        <is>
          <t>OUTPUT / TOTAL</t>
        </is>
      </c>
    </row>
    <row r="32" ht="15" customHeight="1" s="69">
      <c r="C32" s="82" t="inlineStr">
        <is>
          <t> </t>
        </is>
      </c>
      <c r="D32" s="79" t="inlineStr">
        <is>
          <t>REVIEW REQUIRED</t>
        </is>
      </c>
    </row>
    <row r="33" ht="21.75" customHeight="1" s="69">
      <c r="B33" s="68" t="n"/>
    </row>
    <row r="34" ht="18" customHeight="1" s="69">
      <c r="B34" s="72" t="inlineStr">
        <is>
          <t>Authoritative References</t>
        </is>
      </c>
    </row>
    <row r="35" ht="18" customHeight="1" s="69">
      <c r="B35" s="83" t="inlineStr">
        <is>
          <t>• FC 2-000-05N — Facility Planning for Navy and Marine Corps Shore Installations (formerly NAVFAC P-80) — Series 100, dated 11 Feb 2026</t>
        </is>
      </c>
    </row>
    <row r="36" ht="18" customHeight="1" s="69">
      <c r="B36" s="83" t="inlineStr">
        <is>
          <t>• MCO 11000.12 — Real Property Facilities Manual, Facilities Planning and Programming</t>
        </is>
      </c>
    </row>
    <row r="37" ht="18" customHeight="1" s="69">
      <c r="B37" s="83" t="inlineStr">
        <is>
          <t>• MCO P11000.5x — Real Property Facilities Manual series</t>
        </is>
      </c>
    </row>
    <row r="38" ht="18" customHeight="1" s="69">
      <c r="B38" s="83" t="inlineStr">
        <is>
          <t>• UFC 4-010-01 — DoD Minimum Antiterrorism Standards for Buildings</t>
        </is>
      </c>
    </row>
    <row r="39" ht="18" customHeight="1" s="69">
      <c r="B39" s="83" t="inlineStr">
        <is>
          <t>• UFC 4-020-01 — DoD Security Engineering Facilities Planning Manual</t>
        </is>
      </c>
    </row>
    <row r="40" ht="18" customHeight="1" s="69">
      <c r="B40" s="83" t="inlineStr">
        <is>
          <t>• UFS 3-701-01 — DoD Facilities Pricing Guide (ACFs in Table 4-1)</t>
        </is>
      </c>
    </row>
    <row r="41" ht="18" customHeight="1" s="69">
      <c r="B41" s="83" t="inlineStr">
        <is>
          <t>• UFS 3-730-01 — Programming Cost Estimates for Military Construction</t>
        </is>
      </c>
    </row>
    <row r="42" ht="314.9" customHeight="1" s="69">
      <c r="B42" s="83" t="inlineStr">
        <is>
          <t>• DoD Real Property Classification System (RPCS) / iNFADS CCN module</t>
        </is>
      </c>
    </row>
  </sheetData>
  <mergeCells count="37">
    <mergeCell ref="B2:G2"/>
    <mergeCell ref="D9:G9"/>
    <mergeCell ref="D12:G12"/>
    <mergeCell ref="D8:G8"/>
    <mergeCell ref="B17:G17"/>
    <mergeCell ref="B23:G23"/>
    <mergeCell ref="D30:G30"/>
    <mergeCell ref="D15:G15"/>
    <mergeCell ref="D29:G29"/>
    <mergeCell ref="D14:G14"/>
    <mergeCell ref="B38:G38"/>
    <mergeCell ref="B19:G19"/>
    <mergeCell ref="B34:G34"/>
    <mergeCell ref="B37:G37"/>
    <mergeCell ref="B40:G40"/>
    <mergeCell ref="D10:G10"/>
    <mergeCell ref="B33:G33"/>
    <mergeCell ref="B24:G24"/>
    <mergeCell ref="B20:G20"/>
    <mergeCell ref="D31:G31"/>
    <mergeCell ref="B5:G5"/>
    <mergeCell ref="B36:G36"/>
    <mergeCell ref="D6:G6"/>
    <mergeCell ref="B41:G41"/>
    <mergeCell ref="B35:G35"/>
    <mergeCell ref="B26:G26"/>
    <mergeCell ref="D11:G11"/>
    <mergeCell ref="D13:G13"/>
    <mergeCell ref="D28:G28"/>
    <mergeCell ref="B25:G25"/>
    <mergeCell ref="B3:G3"/>
    <mergeCell ref="B22:G22"/>
    <mergeCell ref="B27:G27"/>
    <mergeCell ref="D7:G7"/>
    <mergeCell ref="B18:G18"/>
    <mergeCell ref="B21:G21"/>
    <mergeCell ref="B39:G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S51"/>
  <sheetViews>
    <sheetView showFormulas="0" showGridLines="0" showRowColHeaders="1" showZeros="1" rightToLeft="0" tabSelected="0" showOutlineSymbols="1" defaultGridColor="1"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baseColWidth="8" defaultColWidth="8.6796875" defaultRowHeight="15" customHeight="1" zeroHeight="0" outlineLevelRow="0"/>
  <cols>
    <col width="3" customWidth="1" style="68" min="1" max="1"/>
    <col width="12" customWidth="1" style="68" min="2" max="2"/>
    <col width="36" customWidth="1" style="68" min="3" max="3"/>
    <col width="10" customWidth="1" style="68" min="4" max="14"/>
    <col width="12" customWidth="1" style="68" min="15" max="15"/>
    <col width="14" customWidth="1" style="68" min="16" max="18"/>
    <col width="50" customWidth="1" style="68" min="19" max="19"/>
  </cols>
  <sheetData>
    <row r="1" ht="7.5" customHeight="1" s="69"/>
    <row r="2" ht="30" customHeight="1" s="69">
      <c r="B2" s="70" t="inlineStr">
        <is>
          <t>TFSMS / TO&amp;E Loading by Sub-Unit (UIC)</t>
        </is>
      </c>
    </row>
    <row r="3" ht="18" customHeight="1" s="69">
      <c r="B3" s="71" t="inlineStr">
        <is>
          <t>Paste RecapMCC chargeable + non-chargeable counts. Roll-up populates the Personnel sheet automatically.</t>
        </is>
      </c>
    </row>
    <row r="5" ht="42" customHeight="1" s="69">
      <c r="B5" s="77" t="inlineStr">
        <is>
          <t>DATA QUALITY NOTICE — TFSMS exports are 'Published Average' snapshots and may include stale T/O lines, mis-coded FAP/collateral billets, or units detached from the parent UIC. Reconcile every row against the current Authorized Strength Report (ASR) and on-hand strength before treating these numbers as authoritative for the BFR.</t>
        </is>
      </c>
      <c r="C5" s="75" t="n"/>
      <c r="D5" s="75" t="n"/>
      <c r="E5" s="75" t="n"/>
      <c r="F5" s="75" t="n"/>
      <c r="G5" s="75" t="n"/>
      <c r="H5" s="75" t="n"/>
      <c r="I5" s="75" t="n"/>
      <c r="J5" s="75" t="n"/>
      <c r="K5" s="75" t="n"/>
      <c r="L5" s="75" t="n"/>
      <c r="M5" s="75" t="n"/>
      <c r="N5" s="75" t="n"/>
      <c r="O5" s="75" t="n"/>
    </row>
    <row r="6" ht="15" customHeight="1" s="69">
      <c r="B6" s="72" t="inlineStr">
        <is>
          <t>Per-UIC Loading</t>
        </is>
      </c>
      <c r="C6" s="68" t="n"/>
      <c r="D6" s="68" t="n"/>
      <c r="F6" s="68" t="n"/>
      <c r="H6" s="68" t="n"/>
      <c r="J6" s="68" t="n"/>
      <c r="L6" s="68" t="n"/>
      <c r="M6" s="68" t="n"/>
      <c r="N6" s="68" t="n"/>
      <c r="O6" s="68" t="n"/>
      <c r="P6" s="84" t="n"/>
      <c r="Q6" s="84" t="n"/>
      <c r="R6" s="84" t="n"/>
      <c r="S6" s="84" t="n"/>
    </row>
    <row r="7" ht="15" customHeight="1" s="69">
      <c r="D7" s="85" t="inlineStr">
        <is>
          <t>Marine Active</t>
        </is>
      </c>
      <c r="E7" s="86" t="n"/>
      <c r="F7" s="85" t="inlineStr">
        <is>
          <t>Navy Active</t>
        </is>
      </c>
      <c r="G7" s="86" t="n"/>
      <c r="H7" s="85" t="inlineStr">
        <is>
          <t>Other Service</t>
        </is>
      </c>
      <c r="I7" s="86" t="n"/>
      <c r="J7" s="85" t="inlineStr">
        <is>
          <t>Reserve / FAP</t>
        </is>
      </c>
      <c r="K7" s="86" t="n"/>
      <c r="P7" s="87" t="n"/>
      <c r="Q7" s="87" t="n"/>
      <c r="R7" s="87" t="n"/>
      <c r="S7" s="87" t="n"/>
    </row>
    <row r="8" ht="19.5" customHeight="1" s="69">
      <c r="B8" s="88" t="n"/>
      <c r="C8" s="88" t="n"/>
      <c r="D8" s="89" t="inlineStr">
        <is>
          <t>Off</t>
        </is>
      </c>
      <c r="E8" s="89" t="inlineStr">
        <is>
          <t>Enl</t>
        </is>
      </c>
      <c r="F8" s="89" t="inlineStr">
        <is>
          <t>Off</t>
        </is>
      </c>
      <c r="G8" s="89" t="inlineStr">
        <is>
          <t>Enl</t>
        </is>
      </c>
      <c r="H8" s="89" t="inlineStr">
        <is>
          <t>Off</t>
        </is>
      </c>
      <c r="I8" s="89" t="inlineStr">
        <is>
          <t>Enl</t>
        </is>
      </c>
      <c r="J8" s="89" t="inlineStr">
        <is>
          <t>Off</t>
        </is>
      </c>
      <c r="K8" s="89" t="inlineStr">
        <is>
          <t>Enl</t>
        </is>
      </c>
      <c r="L8" s="88" t="n"/>
      <c r="M8" s="88" t="n"/>
      <c r="N8" s="88" t="n"/>
      <c r="O8" s="88" t="n"/>
    </row>
    <row r="9" ht="19.5" customHeight="1" s="69">
      <c r="B9" s="90" t="inlineStr">
        <is>
          <t>M29111</t>
        </is>
      </c>
      <c r="C9" s="91" t="inlineStr">
        <is>
          <t>HQ Co CLB-4 / CLR-3 / 3d MLG</t>
        </is>
      </c>
      <c r="D9" s="92" t="n">
        <v>12</v>
      </c>
      <c r="E9" s="92" t="n">
        <v>60</v>
      </c>
      <c r="F9" s="92" t="n">
        <v>2</v>
      </c>
      <c r="G9" s="92" t="n">
        <v>11</v>
      </c>
      <c r="H9" s="92" t="n">
        <v>0</v>
      </c>
      <c r="I9" s="92" t="n">
        <v>0</v>
      </c>
      <c r="J9" s="92" t="n">
        <v>0</v>
      </c>
      <c r="K9" s="92" t="n">
        <v>0</v>
      </c>
      <c r="L9" s="92" t="n">
        <v>0</v>
      </c>
      <c r="M9" s="92" t="n">
        <v>0</v>
      </c>
      <c r="N9" s="92" t="n">
        <v>0</v>
      </c>
      <c r="O9" s="93">
        <f>SUM(D8:N8)</f>
        <v/>
      </c>
      <c r="P9" s="94" t="inlineStr">
        <is>
          <t>2026-02-25</t>
        </is>
      </c>
      <c r="Q9" s="90" t="inlineStr">
        <is>
          <t>Pending</t>
        </is>
      </c>
      <c r="R9" s="95" t="n"/>
      <c r="S9" s="91" t="inlineStr">
        <is>
          <t>TFSMS export 25 Feb 2026; HQ Co — verify Navy RP/Chaplain billets are still chargeable to CLB-4 vs. detached.</t>
        </is>
      </c>
    </row>
    <row r="10" ht="19.5" customHeight="1" s="69">
      <c r="B10" s="90" t="inlineStr">
        <is>
          <t>M29112</t>
        </is>
      </c>
      <c r="C10" s="91" t="inlineStr">
        <is>
          <t>CLC A CLB-4 / CLR-3 / 3d MLG</t>
        </is>
      </c>
      <c r="D10" s="92" t="n">
        <v>3</v>
      </c>
      <c r="E10" s="92" t="n">
        <v>55</v>
      </c>
      <c r="F10" s="92" t="n">
        <v>0</v>
      </c>
      <c r="G10" s="92" t="n">
        <v>0</v>
      </c>
      <c r="H10" s="92" t="n">
        <v>0</v>
      </c>
      <c r="I10" s="92" t="n">
        <v>0</v>
      </c>
      <c r="J10" s="92" t="n">
        <v>0</v>
      </c>
      <c r="K10" s="92" t="n">
        <v>0</v>
      </c>
      <c r="L10" s="92" t="n">
        <v>0</v>
      </c>
      <c r="M10" s="92" t="n">
        <v>0</v>
      </c>
      <c r="N10" s="92" t="n">
        <v>0</v>
      </c>
      <c r="O10" s="93">
        <f>SUM(D9:N9)</f>
        <v/>
      </c>
      <c r="P10" s="94" t="inlineStr">
        <is>
          <t>2026-02-25</t>
        </is>
      </c>
      <c r="Q10" s="90" t="inlineStr">
        <is>
          <t>Pending</t>
        </is>
      </c>
      <c r="R10" s="95" t="n"/>
      <c r="S10" s="91" t="inlineStr">
        <is>
          <t>TFSMS export 25 Feb 2026; CLC A — confirm operations chief billet (3537/0477) is filled per current ASR.</t>
        </is>
      </c>
    </row>
    <row r="11" ht="19.5" customHeight="1" s="69">
      <c r="B11" s="90" t="inlineStr">
        <is>
          <t>M29113</t>
        </is>
      </c>
      <c r="C11" s="91" t="inlineStr">
        <is>
          <t>CLC B CLB-4 / CLR-3 / 3d MLG</t>
        </is>
      </c>
      <c r="D11" s="92" t="n">
        <v>3</v>
      </c>
      <c r="E11" s="92" t="n">
        <v>55</v>
      </c>
      <c r="F11" s="92" t="n">
        <v>0</v>
      </c>
      <c r="G11" s="92" t="n">
        <v>0</v>
      </c>
      <c r="H11" s="92" t="n">
        <v>0</v>
      </c>
      <c r="I11" s="92" t="n">
        <v>0</v>
      </c>
      <c r="J11" s="92" t="n">
        <v>0</v>
      </c>
      <c r="K11" s="92" t="n">
        <v>0</v>
      </c>
      <c r="L11" s="92" t="n">
        <v>0</v>
      </c>
      <c r="M11" s="92" t="n">
        <v>0</v>
      </c>
      <c r="N11" s="92" t="n">
        <v>0</v>
      </c>
      <c r="O11" s="93">
        <f>SUM(D10:N10)</f>
        <v/>
      </c>
      <c r="P11" s="94" t="inlineStr">
        <is>
          <t>2026-02-25</t>
        </is>
      </c>
      <c r="Q11" s="90" t="inlineStr">
        <is>
          <t>Pending</t>
        </is>
      </c>
      <c r="R11" s="95" t="n"/>
      <c r="S11" s="91" t="inlineStr">
        <is>
          <t>TFSMS export 25 Feb 2026; CLC B — verify it is identical to CLC A as published; reconcile against on-hand.</t>
        </is>
      </c>
    </row>
    <row r="12" ht="19.5" customHeight="1" s="69">
      <c r="B12" s="90" t="inlineStr">
        <is>
          <t>M29114</t>
        </is>
      </c>
      <c r="C12" s="91" t="inlineStr">
        <is>
          <t>GS Co CLB-4 / CLR-3 / 3d MLG</t>
        </is>
      </c>
      <c r="D12" s="92" t="n">
        <v>4</v>
      </c>
      <c r="E12" s="92" t="n">
        <v>79</v>
      </c>
      <c r="F12" s="92" t="n">
        <v>6</v>
      </c>
      <c r="G12" s="92" t="n">
        <v>17</v>
      </c>
      <c r="H12" s="92" t="n">
        <v>0</v>
      </c>
      <c r="I12" s="92" t="n">
        <v>0</v>
      </c>
      <c r="J12" s="92" t="n">
        <v>0</v>
      </c>
      <c r="K12" s="92" t="n">
        <v>0</v>
      </c>
      <c r="L12" s="92" t="n">
        <v>0</v>
      </c>
      <c r="M12" s="92" t="n">
        <v>0</v>
      </c>
      <c r="N12" s="92" t="n">
        <v>3</v>
      </c>
      <c r="O12" s="93">
        <f>SUM(D11:N11)</f>
        <v/>
      </c>
      <c r="P12" s="94" t="inlineStr">
        <is>
          <t>2026-02-25</t>
        </is>
      </c>
      <c r="Q12" s="90" t="inlineStr">
        <is>
          <t>Pending</t>
        </is>
      </c>
      <c r="R12" s="95" t="n"/>
      <c r="S12" s="91" t="inlineStr">
        <is>
          <t>TFSMS export 25 Feb 2026; GS Co — confirm 3 collateral-duty enlisted (K15) are not double-counted in chargeable.</t>
        </is>
      </c>
    </row>
    <row r="13" ht="19.5" customHeight="1" s="69">
      <c r="B13" s="90" t="n"/>
      <c r="C13" s="91" t="n"/>
      <c r="D13" s="92" t="n">
        <v>0</v>
      </c>
      <c r="E13" s="92" t="n">
        <v>0</v>
      </c>
      <c r="F13" s="92" t="n">
        <v>0</v>
      </c>
      <c r="G13" s="92" t="n">
        <v>0</v>
      </c>
      <c r="H13" s="92" t="n">
        <v>0</v>
      </c>
      <c r="I13" s="92" t="n">
        <v>0</v>
      </c>
      <c r="J13" s="92" t="n">
        <v>0</v>
      </c>
      <c r="K13" s="92" t="n">
        <v>0</v>
      </c>
      <c r="L13" s="92" t="n">
        <v>0</v>
      </c>
      <c r="M13" s="92" t="n">
        <v>0</v>
      </c>
      <c r="N13" s="92" t="n">
        <v>0</v>
      </c>
      <c r="O13" s="93">
        <f>SUM(D12:N12)</f>
        <v/>
      </c>
      <c r="P13" s="94" t="n"/>
      <c r="Q13" s="90" t="n"/>
      <c r="R13" s="95" t="n"/>
      <c r="S13" s="91" t="n"/>
    </row>
    <row r="14" ht="19.5" customHeight="1" s="69">
      <c r="B14" s="90" t="n"/>
      <c r="C14" s="91" t="n"/>
      <c r="D14" s="92" t="n">
        <v>0</v>
      </c>
      <c r="E14" s="92" t="n">
        <v>0</v>
      </c>
      <c r="F14" s="92" t="n">
        <v>0</v>
      </c>
      <c r="G14" s="92" t="n">
        <v>0</v>
      </c>
      <c r="H14" s="92" t="n">
        <v>0</v>
      </c>
      <c r="I14" s="92" t="n">
        <v>0</v>
      </c>
      <c r="J14" s="92" t="n">
        <v>0</v>
      </c>
      <c r="K14" s="92" t="n">
        <v>0</v>
      </c>
      <c r="L14" s="92" t="n">
        <v>0</v>
      </c>
      <c r="M14" s="92" t="n">
        <v>0</v>
      </c>
      <c r="N14" s="92" t="n">
        <v>0</v>
      </c>
      <c r="O14" s="93">
        <f>SUM(D13:N13)</f>
        <v/>
      </c>
      <c r="P14" s="94" t="n"/>
      <c r="Q14" s="90" t="n"/>
      <c r="R14" s="95" t="n"/>
      <c r="S14" s="91" t="n"/>
    </row>
    <row r="15" ht="19.5" customHeight="1" s="69">
      <c r="B15" s="90" t="n"/>
      <c r="C15" s="91" t="n"/>
      <c r="D15" s="92" t="n">
        <v>0</v>
      </c>
      <c r="E15" s="92" t="n">
        <v>0</v>
      </c>
      <c r="F15" s="92" t="n">
        <v>0</v>
      </c>
      <c r="G15" s="92" t="n">
        <v>0</v>
      </c>
      <c r="H15" s="92" t="n">
        <v>0</v>
      </c>
      <c r="I15" s="92" t="n">
        <v>0</v>
      </c>
      <c r="J15" s="92" t="n">
        <v>0</v>
      </c>
      <c r="K15" s="92" t="n">
        <v>0</v>
      </c>
      <c r="L15" s="92" t="n">
        <v>0</v>
      </c>
      <c r="M15" s="92" t="n">
        <v>0</v>
      </c>
      <c r="N15" s="92" t="n">
        <v>0</v>
      </c>
      <c r="O15" s="93">
        <f>SUM(D14:N14)</f>
        <v/>
      </c>
      <c r="P15" s="94" t="n"/>
      <c r="Q15" s="90" t="n"/>
      <c r="R15" s="95" t="n"/>
      <c r="S15" s="91" t="n"/>
    </row>
    <row r="16" ht="24" customHeight="1" s="69">
      <c r="B16" s="90" t="n"/>
      <c r="C16" s="96" t="n"/>
      <c r="D16" s="92" t="n">
        <v>0</v>
      </c>
      <c r="E16" s="92" t="n">
        <v>0</v>
      </c>
      <c r="F16" s="92" t="n">
        <v>0</v>
      </c>
      <c r="G16" s="92" t="n">
        <v>0</v>
      </c>
      <c r="H16" s="92" t="n">
        <v>0</v>
      </c>
      <c r="I16" s="92" t="n">
        <v>0</v>
      </c>
      <c r="J16" s="92" t="n">
        <v>0</v>
      </c>
      <c r="K16" s="92" t="n">
        <v>0</v>
      </c>
      <c r="L16" s="92" t="n">
        <v>0</v>
      </c>
      <c r="M16" s="92" t="n">
        <v>0</v>
      </c>
      <c r="N16" s="92" t="n">
        <v>0</v>
      </c>
      <c r="O16" s="93">
        <f>SUM(D15:N15)</f>
        <v/>
      </c>
      <c r="P16" s="94" t="n"/>
      <c r="Q16" s="90" t="n"/>
      <c r="R16" s="95" t="n"/>
      <c r="S16" s="91" t="n"/>
    </row>
    <row r="17" ht="28.35" customHeight="1" s="69">
      <c r="B17" s="97" t="inlineStr">
        <is>
          <t>UNIT TOTAL (e.g., CLB-4)</t>
        </is>
      </c>
      <c r="D17" s="93">
        <f>SUM(D8:D15)</f>
        <v/>
      </c>
      <c r="E17" s="93">
        <f>SUM(E8:E15)</f>
        <v/>
      </c>
      <c r="F17" s="93">
        <f>SUM(F8:F15)</f>
        <v/>
      </c>
      <c r="G17" s="93">
        <f>SUM(G8:G15)</f>
        <v/>
      </c>
      <c r="H17" s="93">
        <f>SUM(H8:H15)</f>
        <v/>
      </c>
      <c r="I17" s="93">
        <f>SUM(I8:I15)</f>
        <v/>
      </c>
      <c r="J17" s="93">
        <f>SUM(J8:J15)</f>
        <v/>
      </c>
      <c r="K17" s="93">
        <f>SUM(K8:K15)</f>
        <v/>
      </c>
      <c r="L17" s="93">
        <f>SUM(L8:L15)</f>
        <v/>
      </c>
      <c r="M17" s="93">
        <f>SUM(M8:M15)</f>
        <v/>
      </c>
      <c r="N17" s="93">
        <f>SUM(N8:N15)</f>
        <v/>
      </c>
      <c r="O17" s="93">
        <f>SUM(O8:O15)</f>
        <v/>
      </c>
    </row>
    <row r="18" ht="15" customHeight="1" s="69"/>
    <row r="19" ht="24" customHeight="1" s="69">
      <c r="B19" s="145" t="inlineStr">
        <is>
          <t>Reconciliation Gate</t>
        </is>
      </c>
      <c r="C19" s="146" t="n"/>
      <c r="D19" s="147">
        <f>IF(O37=0,"PENDING - ASR not yet provided",IF(O17=O37,"FALSE - RECONCILED","TRUE - UNRECONCILED"))</f>
        <v/>
      </c>
      <c r="E19" s="148" t="n"/>
      <c r="F19" s="148" t="n"/>
      <c r="G19" s="148" t="n"/>
      <c r="H19" s="148" t="n"/>
      <c r="I19" s="148" t="n"/>
      <c r="J19" s="148" t="n"/>
      <c r="K19" s="148" t="n"/>
      <c r="L19" s="148" t="n"/>
      <c r="M19" s="148" t="n"/>
      <c r="N19" s="148" t="n"/>
      <c r="O19" s="146" t="n"/>
    </row>
    <row r="20" ht="15" customHeight="1" s="69">
      <c r="B20" s="72" t="inlineStr">
        <is>
          <t>How to Populate This Sheet</t>
        </is>
      </c>
    </row>
    <row r="21" ht="15" customHeight="1" s="69"/>
    <row r="22" ht="15" customHeight="1" s="69"/>
    <row r="23" ht="15" customHeight="1" s="69"/>
    <row r="24" ht="15" customHeight="1" s="69"/>
    <row r="25" ht="15" customHeight="1" s="69"/>
    <row r="26">
      <c r="B26" s="149" t="inlineStr">
        <is>
          <t>ASR Authorized Strength (paste TO&amp;E-derived authorized counts below; gate at D19 auto-checks)</t>
        </is>
      </c>
    </row>
    <row r="27">
      <c r="B27" s="150" t="inlineStr">
        <is>
          <t>Per-UIC ASR Loading</t>
        </is>
      </c>
    </row>
    <row r="28">
      <c r="D28" s="151" t="inlineStr">
        <is>
          <t>Marine Active</t>
        </is>
      </c>
      <c r="E28" s="146" t="n"/>
      <c r="F28" s="151" t="inlineStr">
        <is>
          <t>Navy Active</t>
        </is>
      </c>
      <c r="G28" s="146" t="n"/>
      <c r="H28" s="151" t="inlineStr">
        <is>
          <t>Other Service</t>
        </is>
      </c>
      <c r="I28" s="146" t="n"/>
      <c r="J28" s="151" t="inlineStr">
        <is>
          <t>Reserve / FAP</t>
        </is>
      </c>
      <c r="K28" s="146" t="n"/>
    </row>
    <row r="29">
      <c r="B29" s="151" t="inlineStr">
        <is>
          <t>UIC</t>
        </is>
      </c>
      <c r="C29" s="151" t="inlineStr">
        <is>
          <t>Unit Name</t>
        </is>
      </c>
      <c r="D29" s="151" t="inlineStr">
        <is>
          <t>Off</t>
        </is>
      </c>
      <c r="E29" s="151" t="inlineStr">
        <is>
          <t>Enl</t>
        </is>
      </c>
      <c r="F29" s="151" t="inlineStr">
        <is>
          <t>Off</t>
        </is>
      </c>
      <c r="G29" s="151" t="inlineStr">
        <is>
          <t>Enl</t>
        </is>
      </c>
      <c r="H29" s="151" t="inlineStr">
        <is>
          <t>Off</t>
        </is>
      </c>
      <c r="I29" s="151" t="inlineStr">
        <is>
          <t>Enl</t>
        </is>
      </c>
      <c r="J29" s="151" t="inlineStr">
        <is>
          <t>Off</t>
        </is>
      </c>
      <c r="K29" s="151" t="inlineStr">
        <is>
          <t>Enl</t>
        </is>
      </c>
      <c r="L29" s="151" t="inlineStr">
        <is>
          <t>Civ</t>
        </is>
      </c>
      <c r="M29" s="151" t="inlineStr">
        <is>
          <t>Ctr</t>
        </is>
      </c>
      <c r="N29" s="151" t="inlineStr">
        <is>
          <t>NC</t>
        </is>
      </c>
      <c r="O29" s="151" t="inlineStr">
        <is>
          <t>Total</t>
        </is>
      </c>
    </row>
    <row r="30">
      <c r="B30" s="152" t="n"/>
      <c r="C30" s="152" t="n"/>
      <c r="D30" s="153" t="n"/>
      <c r="E30" s="153" t="n"/>
      <c r="F30" s="153" t="n"/>
      <c r="G30" s="153" t="n"/>
      <c r="H30" s="153" t="n"/>
      <c r="I30" s="153" t="n"/>
      <c r="J30" s="153" t="n"/>
      <c r="K30" s="153" t="n"/>
      <c r="L30" s="153" t="n"/>
      <c r="M30" s="153" t="n"/>
      <c r="N30" s="153" t="n"/>
      <c r="O30" s="154">
        <f>SUM(D30:N30)</f>
        <v/>
      </c>
    </row>
    <row r="31">
      <c r="B31" s="152" t="n"/>
      <c r="C31" s="152" t="n"/>
      <c r="D31" s="153" t="n"/>
      <c r="E31" s="153" t="n"/>
      <c r="F31" s="153" t="n"/>
      <c r="G31" s="153" t="n"/>
      <c r="H31" s="153" t="n"/>
      <c r="I31" s="153" t="n"/>
      <c r="J31" s="153" t="n"/>
      <c r="K31" s="153" t="n"/>
      <c r="L31" s="153" t="n"/>
      <c r="M31" s="153" t="n"/>
      <c r="N31" s="153" t="n"/>
      <c r="O31" s="154">
        <f>SUM(D31:N31)</f>
        <v/>
      </c>
    </row>
    <row r="32">
      <c r="B32" s="152" t="n"/>
      <c r="C32" s="152" t="n"/>
      <c r="D32" s="153" t="n"/>
      <c r="E32" s="153" t="n"/>
      <c r="F32" s="153" t="n"/>
      <c r="G32" s="153" t="n"/>
      <c r="H32" s="153" t="n"/>
      <c r="I32" s="153" t="n"/>
      <c r="J32" s="153" t="n"/>
      <c r="K32" s="153" t="n"/>
      <c r="L32" s="153" t="n"/>
      <c r="M32" s="153" t="n"/>
      <c r="N32" s="153" t="n"/>
      <c r="O32" s="154">
        <f>SUM(D32:N32)</f>
        <v/>
      </c>
    </row>
    <row r="33">
      <c r="B33" s="152" t="n"/>
      <c r="C33" s="152" t="n"/>
      <c r="D33" s="153" t="n"/>
      <c r="E33" s="153" t="n"/>
      <c r="F33" s="153" t="n"/>
      <c r="G33" s="153" t="n"/>
      <c r="H33" s="153" t="n"/>
      <c r="I33" s="153" t="n"/>
      <c r="J33" s="153" t="n"/>
      <c r="K33" s="153" t="n"/>
      <c r="L33" s="153" t="n"/>
      <c r="M33" s="153" t="n"/>
      <c r="N33" s="153" t="n"/>
      <c r="O33" s="154">
        <f>SUM(D33:N33)</f>
        <v/>
      </c>
    </row>
    <row r="34">
      <c r="B34" s="152" t="n"/>
      <c r="C34" s="152" t="n"/>
      <c r="D34" s="153" t="n"/>
      <c r="E34" s="153" t="n"/>
      <c r="F34" s="153" t="n"/>
      <c r="G34" s="153" t="n"/>
      <c r="H34" s="153" t="n"/>
      <c r="I34" s="153" t="n"/>
      <c r="J34" s="153" t="n"/>
      <c r="K34" s="153" t="n"/>
      <c r="L34" s="153" t="n"/>
      <c r="M34" s="153" t="n"/>
      <c r="N34" s="153" t="n"/>
      <c r="O34" s="154">
        <f>SUM(D34:N34)</f>
        <v/>
      </c>
    </row>
    <row r="35">
      <c r="B35" s="152" t="n"/>
      <c r="C35" s="152" t="n"/>
      <c r="D35" s="153" t="n"/>
      <c r="E35" s="153" t="n"/>
      <c r="F35" s="153" t="n"/>
      <c r="G35" s="153" t="n"/>
      <c r="H35" s="153" t="n"/>
      <c r="I35" s="153" t="n"/>
      <c r="J35" s="153" t="n"/>
      <c r="K35" s="153" t="n"/>
      <c r="L35" s="153" t="n"/>
      <c r="M35" s="153" t="n"/>
      <c r="N35" s="153" t="n"/>
      <c r="O35" s="154">
        <f>SUM(D35:N35)</f>
        <v/>
      </c>
    </row>
    <row r="36">
      <c r="B36" s="152" t="n"/>
      <c r="C36" s="152" t="n"/>
      <c r="D36" s="153" t="n"/>
      <c r="E36" s="153" t="n"/>
      <c r="F36" s="153" t="n"/>
      <c r="G36" s="153" t="n"/>
      <c r="H36" s="153" t="n"/>
      <c r="I36" s="153" t="n"/>
      <c r="J36" s="153" t="n"/>
      <c r="K36" s="153" t="n"/>
      <c r="L36" s="153" t="n"/>
      <c r="M36" s="153" t="n"/>
      <c r="N36" s="153" t="n"/>
      <c r="O36" s="154">
        <f>SUM(D36:N36)</f>
        <v/>
      </c>
    </row>
    <row r="37">
      <c r="B37" s="145" t="inlineStr">
        <is>
          <t>UNIT TOTAL (ASR)</t>
        </is>
      </c>
      <c r="D37" s="155">
        <f>SUM(D30:D36)</f>
        <v/>
      </c>
      <c r="E37" s="155">
        <f>SUM(E30:E36)</f>
        <v/>
      </c>
      <c r="F37" s="155">
        <f>SUM(F30:F36)</f>
        <v/>
      </c>
      <c r="G37" s="155">
        <f>SUM(G30:G36)</f>
        <v/>
      </c>
      <c r="H37" s="155">
        <f>SUM(H30:H36)</f>
        <v/>
      </c>
      <c r="I37" s="155">
        <f>SUM(I30:I36)</f>
        <v/>
      </c>
      <c r="J37" s="155">
        <f>SUM(J30:J36)</f>
        <v/>
      </c>
      <c r="K37" s="155">
        <f>SUM(K30:K36)</f>
        <v/>
      </c>
      <c r="L37" s="155">
        <f>SUM(L30:L36)</f>
        <v/>
      </c>
      <c r="M37" s="155">
        <f>SUM(M30:M36)</f>
        <v/>
      </c>
      <c r="N37" s="155">
        <f>SUM(N30:N36)</f>
        <v/>
      </c>
      <c r="O37" s="155">
        <f>SUM(O30:O36)</f>
        <v/>
      </c>
    </row>
    <row r="39">
      <c r="B39" s="149" t="inlineStr">
        <is>
          <t>Per-Bucket Reconciliation Diagnostic</t>
        </is>
      </c>
    </row>
    <row r="40">
      <c r="B40" s="151" t="inlineStr">
        <is>
          <t>Bucket</t>
        </is>
      </c>
      <c r="C40" s="151" t="inlineStr">
        <is>
          <t>TFSMS</t>
        </is>
      </c>
      <c r="D40" s="151" t="inlineStr">
        <is>
          <t>ASR</t>
        </is>
      </c>
      <c r="E40" s="151" t="inlineStr">
        <is>
          <t>Delta</t>
        </is>
      </c>
      <c r="F40" s="151" t="inlineStr">
        <is>
          <t>Status</t>
        </is>
      </c>
    </row>
    <row r="41">
      <c r="B41" s="156" t="inlineStr">
        <is>
          <t>Marine Officer</t>
        </is>
      </c>
      <c r="C41" s="154">
        <f>D17</f>
        <v/>
      </c>
      <c r="D41" s="154">
        <f>D37</f>
        <v/>
      </c>
      <c r="E41" s="154">
        <f>D17-D37</f>
        <v/>
      </c>
      <c r="F41" s="157">
        <f>IF(D37=0,"PENDING",IF(D17=D37,"OK","MISMATCH"))</f>
        <v/>
      </c>
    </row>
    <row r="42">
      <c r="B42" s="156" t="inlineStr">
        <is>
          <t>Marine Enlisted</t>
        </is>
      </c>
      <c r="C42" s="154">
        <f>E17</f>
        <v/>
      </c>
      <c r="D42" s="154">
        <f>E37</f>
        <v/>
      </c>
      <c r="E42" s="154">
        <f>E17-E37</f>
        <v/>
      </c>
      <c r="F42" s="157">
        <f>IF(E37=0,"PENDING",IF(E17=E37,"OK","MISMATCH"))</f>
        <v/>
      </c>
    </row>
    <row r="43">
      <c r="B43" s="156" t="inlineStr">
        <is>
          <t>Navy Officer</t>
        </is>
      </c>
      <c r="C43" s="154">
        <f>F17</f>
        <v/>
      </c>
      <c r="D43" s="154">
        <f>F37</f>
        <v/>
      </c>
      <c r="E43" s="154">
        <f>F17-F37</f>
        <v/>
      </c>
      <c r="F43" s="157">
        <f>IF(F37=0,"PENDING",IF(F17=F37,"OK","MISMATCH"))</f>
        <v/>
      </c>
    </row>
    <row r="44">
      <c r="B44" s="156" t="inlineStr">
        <is>
          <t>Navy Enlisted</t>
        </is>
      </c>
      <c r="C44" s="154">
        <f>G17</f>
        <v/>
      </c>
      <c r="D44" s="154">
        <f>G37</f>
        <v/>
      </c>
      <c r="E44" s="154">
        <f>G17-G37</f>
        <v/>
      </c>
      <c r="F44" s="157">
        <f>IF(G37=0,"PENDING",IF(G17=G37,"OK","MISMATCH"))</f>
        <v/>
      </c>
    </row>
    <row r="45">
      <c r="B45" s="156" t="inlineStr">
        <is>
          <t>Other Service Officer</t>
        </is>
      </c>
      <c r="C45" s="154">
        <f>H17</f>
        <v/>
      </c>
      <c r="D45" s="154">
        <f>H37</f>
        <v/>
      </c>
      <c r="E45" s="154">
        <f>H17-H37</f>
        <v/>
      </c>
      <c r="F45" s="157">
        <f>IF(H37=0,"PENDING",IF(H17=H37,"OK","MISMATCH"))</f>
        <v/>
      </c>
    </row>
    <row r="46">
      <c r="B46" s="156" t="inlineStr">
        <is>
          <t>Other Service Enlisted</t>
        </is>
      </c>
      <c r="C46" s="154">
        <f>I17</f>
        <v/>
      </c>
      <c r="D46" s="154">
        <f>I37</f>
        <v/>
      </c>
      <c r="E46" s="154">
        <f>I17-I37</f>
        <v/>
      </c>
      <c r="F46" s="157">
        <f>IF(I37=0,"PENDING",IF(I17=I37,"OK","MISMATCH"))</f>
        <v/>
      </c>
    </row>
    <row r="47">
      <c r="B47" s="156" t="inlineStr">
        <is>
          <t>Reserve / FAP Officer</t>
        </is>
      </c>
      <c r="C47" s="154">
        <f>J17</f>
        <v/>
      </c>
      <c r="D47" s="154">
        <f>J37</f>
        <v/>
      </c>
      <c r="E47" s="154">
        <f>J17-J37</f>
        <v/>
      </c>
      <c r="F47" s="157">
        <f>IF(J37=0,"PENDING",IF(J17=J37,"OK","MISMATCH"))</f>
        <v/>
      </c>
    </row>
    <row r="48">
      <c r="B48" s="156" t="inlineStr">
        <is>
          <t>Reserve / FAP Enlisted</t>
        </is>
      </c>
      <c r="C48" s="154">
        <f>K17</f>
        <v/>
      </c>
      <c r="D48" s="154">
        <f>K37</f>
        <v/>
      </c>
      <c r="E48" s="154">
        <f>K17-K37</f>
        <v/>
      </c>
      <c r="F48" s="157">
        <f>IF(K37=0,"PENDING",IF(K17=K37,"OK","MISMATCH"))</f>
        <v/>
      </c>
    </row>
    <row r="49">
      <c r="B49" s="156" t="inlineStr">
        <is>
          <t>Civilian</t>
        </is>
      </c>
      <c r="C49" s="154">
        <f>L17</f>
        <v/>
      </c>
      <c r="D49" s="154">
        <f>L37</f>
        <v/>
      </c>
      <c r="E49" s="154">
        <f>L17-L37</f>
        <v/>
      </c>
      <c r="F49" s="157">
        <f>IF(L37=0,"PENDING",IF(L17=L37,"OK","MISMATCH"))</f>
        <v/>
      </c>
    </row>
    <row r="50">
      <c r="B50" s="156" t="inlineStr">
        <is>
          <t>Contractor</t>
        </is>
      </c>
      <c r="C50" s="154">
        <f>M17</f>
        <v/>
      </c>
      <c r="D50" s="154">
        <f>M37</f>
        <v/>
      </c>
      <c r="E50" s="154">
        <f>M17-M37</f>
        <v/>
      </c>
      <c r="F50" s="157">
        <f>IF(M37=0,"PENDING",IF(M17=M37,"OK","MISMATCH"))</f>
        <v/>
      </c>
    </row>
    <row r="51">
      <c r="B51" s="156" t="inlineStr">
        <is>
          <t>Non-Chargeable</t>
        </is>
      </c>
      <c r="C51" s="154">
        <f>N17</f>
        <v/>
      </c>
      <c r="D51" s="154">
        <f>N37</f>
        <v/>
      </c>
      <c r="E51" s="154">
        <f>N17-N37</f>
        <v/>
      </c>
      <c r="F51" s="157">
        <f>IF(N37=0,"PENDING",IF(N17=N37,"OK","MISMATCH"))</f>
        <v/>
      </c>
    </row>
  </sheetData>
  <mergeCells count="27">
    <mergeCell ref="B26:O26"/>
    <mergeCell ref="B16:C16"/>
    <mergeCell ref="B20:O24"/>
    <mergeCell ref="B3:O3"/>
    <mergeCell ref="F6:G6"/>
    <mergeCell ref="P6:P7"/>
    <mergeCell ref="J28:K28"/>
    <mergeCell ref="R6:R7"/>
    <mergeCell ref="D6:E6"/>
    <mergeCell ref="H6:I6"/>
    <mergeCell ref="J6:K6"/>
    <mergeCell ref="B2:O2"/>
    <mergeCell ref="M6:M7"/>
    <mergeCell ref="Q6:Q7"/>
    <mergeCell ref="B6:B7"/>
    <mergeCell ref="S6:S7"/>
    <mergeCell ref="B19:C19"/>
    <mergeCell ref="L6:L7"/>
    <mergeCell ref="D28:E28"/>
    <mergeCell ref="F28:G28"/>
    <mergeCell ref="N6:N7"/>
    <mergeCell ref="H28:I28"/>
    <mergeCell ref="D19:O19"/>
    <mergeCell ref="B5:O5"/>
    <mergeCell ref="C6:C7"/>
    <mergeCell ref="O6:O7"/>
    <mergeCell ref="B39:G39"/>
  </mergeCells>
  <conditionalFormatting sqref="Q8:Q15">
    <cfRule type="expression" rank="0" priority="2" equalAverage="0" aboveAverage="0" dxfId="0" text="" percent="0" bottom="0">
      <formula>NOT(OR(Q8="Yes",Q8="N/A"))</formula>
    </cfRule>
  </conditionalFormatting>
  <conditionalFormatting sqref="R8:R15">
    <cfRule type="cellIs" rank="0" priority="3" equalAverage="0" operator="notEqual" aboveAverage="0" dxfId="0" text="" percent="0" bottom="0">
      <formula>0</formula>
    </cfRule>
  </conditionalFormatting>
  <conditionalFormatting sqref="D19">
    <cfRule type="expression" priority="3" dxfId="3" stopIfTrue="1">
      <formula>ISNUMBER(SEARCH("FALSE",$D$19))</formula>
    </cfRule>
    <cfRule type="expression" priority="4" dxfId="4" stopIfTrue="1">
      <formula>ISNUMBER(SEARCH("TRUE",$D$19))</formula>
    </cfRule>
  </conditionalFormatting>
  <conditionalFormatting sqref="F41">
    <cfRule type="expression" priority="5" dxfId="3" stopIfTrue="1">
      <formula>$F$41="OK"</formula>
    </cfRule>
    <cfRule type="expression" priority="6" dxfId="4" stopIfTrue="1">
      <formula>$F$41="MISMATCH"</formula>
    </cfRule>
    <cfRule type="expression" priority="7" dxfId="5" stopIfTrue="1">
      <formula>$F$41="PENDING"</formula>
    </cfRule>
  </conditionalFormatting>
  <conditionalFormatting sqref="F42">
    <cfRule type="expression" priority="8" dxfId="3" stopIfTrue="1">
      <formula>$F$42="OK"</formula>
    </cfRule>
    <cfRule type="expression" priority="9" dxfId="4" stopIfTrue="1">
      <formula>$F$42="MISMATCH"</formula>
    </cfRule>
    <cfRule type="expression" priority="10" dxfId="5" stopIfTrue="1">
      <formula>$F$42="PENDING"</formula>
    </cfRule>
  </conditionalFormatting>
  <conditionalFormatting sqref="F43">
    <cfRule type="expression" priority="11" dxfId="3" stopIfTrue="1">
      <formula>$F$43="OK"</formula>
    </cfRule>
    <cfRule type="expression" priority="12" dxfId="4" stopIfTrue="1">
      <formula>$F$43="MISMATCH"</formula>
    </cfRule>
    <cfRule type="expression" priority="13" dxfId="5" stopIfTrue="1">
      <formula>$F$43="PENDING"</formula>
    </cfRule>
  </conditionalFormatting>
  <conditionalFormatting sqref="F44">
    <cfRule type="expression" priority="14" dxfId="3" stopIfTrue="1">
      <formula>$F$44="OK"</formula>
    </cfRule>
    <cfRule type="expression" priority="15" dxfId="4" stopIfTrue="1">
      <formula>$F$44="MISMATCH"</formula>
    </cfRule>
    <cfRule type="expression" priority="16" dxfId="5" stopIfTrue="1">
      <formula>$F$44="PENDING"</formula>
    </cfRule>
  </conditionalFormatting>
  <conditionalFormatting sqref="F45">
    <cfRule type="expression" priority="17" dxfId="3" stopIfTrue="1">
      <formula>$F$45="OK"</formula>
    </cfRule>
    <cfRule type="expression" priority="18" dxfId="4" stopIfTrue="1">
      <formula>$F$45="MISMATCH"</formula>
    </cfRule>
    <cfRule type="expression" priority="19" dxfId="5" stopIfTrue="1">
      <formula>$F$45="PENDING"</formula>
    </cfRule>
  </conditionalFormatting>
  <conditionalFormatting sqref="F46">
    <cfRule type="expression" priority="20" dxfId="3" stopIfTrue="1">
      <formula>$F$46="OK"</formula>
    </cfRule>
    <cfRule type="expression" priority="21" dxfId="4" stopIfTrue="1">
      <formula>$F$46="MISMATCH"</formula>
    </cfRule>
    <cfRule type="expression" priority="22" dxfId="5" stopIfTrue="1">
      <formula>$F$46="PENDING"</formula>
    </cfRule>
  </conditionalFormatting>
  <conditionalFormatting sqref="F47">
    <cfRule type="expression" priority="23" dxfId="3" stopIfTrue="1">
      <formula>$F$47="OK"</formula>
    </cfRule>
    <cfRule type="expression" priority="24" dxfId="4" stopIfTrue="1">
      <formula>$F$47="MISMATCH"</formula>
    </cfRule>
    <cfRule type="expression" priority="25" dxfId="5" stopIfTrue="1">
      <formula>$F$47="PENDING"</formula>
    </cfRule>
  </conditionalFormatting>
  <conditionalFormatting sqref="F48">
    <cfRule type="expression" priority="26" dxfId="3" stopIfTrue="1">
      <formula>$F$48="OK"</formula>
    </cfRule>
    <cfRule type="expression" priority="27" dxfId="4" stopIfTrue="1">
      <formula>$F$48="MISMATCH"</formula>
    </cfRule>
    <cfRule type="expression" priority="28" dxfId="5" stopIfTrue="1">
      <formula>$F$48="PENDING"</formula>
    </cfRule>
  </conditionalFormatting>
  <conditionalFormatting sqref="F49">
    <cfRule type="expression" priority="29" dxfId="3" stopIfTrue="1">
      <formula>$F$49="OK"</formula>
    </cfRule>
    <cfRule type="expression" priority="30" dxfId="4" stopIfTrue="1">
      <formula>$F$49="MISMATCH"</formula>
    </cfRule>
    <cfRule type="expression" priority="31" dxfId="5" stopIfTrue="1">
      <formula>$F$49="PENDING"</formula>
    </cfRule>
  </conditionalFormatting>
  <conditionalFormatting sqref="F50">
    <cfRule type="expression" priority="32" dxfId="3" stopIfTrue="1">
      <formula>$F$50="OK"</formula>
    </cfRule>
    <cfRule type="expression" priority="33" dxfId="4" stopIfTrue="1">
      <formula>$F$50="MISMATCH"</formula>
    </cfRule>
    <cfRule type="expression" priority="34" dxfId="5" stopIfTrue="1">
      <formula>$F$50="PENDING"</formula>
    </cfRule>
  </conditionalFormatting>
  <conditionalFormatting sqref="F51">
    <cfRule type="expression" priority="35" dxfId="3" stopIfTrue="1">
      <formula>$F$51="OK"</formula>
    </cfRule>
    <cfRule type="expression" priority="36" dxfId="4" stopIfTrue="1">
      <formula>$F$51="MISMATCH"</formula>
    </cfRule>
    <cfRule type="expression" priority="37" dxfId="5" stopIfTrue="1">
      <formula>$F$51="PENDING"</formula>
    </cfRule>
  </conditionalFormatting>
  <dataValidations count="1">
    <dataValidation sqref="Q8:Q15" showDropDown="0" showInputMessage="0" showErrorMessage="0" allowBlank="1" type="list" errorStyle="stop" operator="between">
      <formula1>"Yes,No,Pending,N/A"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B2:I41"/>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34" customWidth="1" style="68" min="3" max="3"/>
    <col width="14" customWidth="1" style="68" min="4" max="7"/>
    <col width="18" customWidth="1" style="68" min="8" max="8"/>
  </cols>
  <sheetData>
    <row r="1" ht="7.5" customHeight="1" s="69"/>
    <row r="2" ht="30" customHeight="1" s="69">
      <c r="B2" s="70" t="inlineStr">
        <is>
          <t>Unit Personnel Loading</t>
        </is>
      </c>
    </row>
    <row r="3" ht="18" customHeight="1" s="69">
      <c r="B3" s="71" t="inlineStr">
        <is>
          <t>Per FC 2-000-05N §61010-3 — Personnel loading must come from an official source (ASR / TFSD).</t>
        </is>
      </c>
    </row>
    <row r="4" ht="68.25" customHeight="1" s="69">
      <c r="B4" s="73" t="inlineStr">
        <is>
          <t>Loading Source</t>
        </is>
      </c>
      <c r="C4" s="90" t="inlineStr">
        <is>
          <t>TFSMS</t>
        </is>
      </c>
      <c r="D4" s="99">
        <f>IF(TFSMS_UNRECONCILED&gt;0,"⚠ "&amp;TFSMS_UNRECONCILED&amp;" TFSMS rows are NOT yet reconciled against the ASR — review before treating BFR outputs as authoritative.","TFSMS data marked reconciled or not in use.")</f>
        <v/>
      </c>
    </row>
    <row r="5" ht="21.75" customHeight="1" s="69">
      <c r="B5" s="72" t="inlineStr">
        <is>
          <t>Personnel by Category</t>
        </is>
      </c>
    </row>
    <row r="6" ht="41.25" customHeight="1" s="69">
      <c r="B6" s="100" t="inlineStr">
        <is>
          <t>Group</t>
        </is>
      </c>
      <c r="C6" s="100" t="inlineStr">
        <is>
          <t>Category</t>
        </is>
      </c>
      <c r="D6" s="100" t="inlineStr">
        <is>
          <t>Officers</t>
        </is>
      </c>
      <c r="E6" s="100" t="inlineStr">
        <is>
          <t>Enlisted</t>
        </is>
      </c>
      <c r="F6" s="100" t="inlineStr">
        <is>
          <t>Civilians</t>
        </is>
      </c>
      <c r="G6" s="100" t="inlineStr">
        <is>
          <t>Contractors</t>
        </is>
      </c>
      <c r="H6" s="100" t="inlineStr">
        <is>
          <t>Total</t>
        </is>
      </c>
    </row>
    <row r="7" ht="147" customHeight="1" s="69">
      <c r="B7" s="73" t="inlineStr">
        <is>
          <t>Headquarters / Command Element</t>
        </is>
      </c>
      <c r="C7" s="101" t="n">
        <v>2</v>
      </c>
      <c r="D7" s="101" t="n">
        <v>12</v>
      </c>
      <c r="E7" s="101" t="n">
        <v>2</v>
      </c>
      <c r="F7" s="101" t="n">
        <v>1</v>
      </c>
      <c r="G7" s="102">
        <f>SUM(C7:F7)</f>
        <v/>
      </c>
    </row>
    <row r="8" ht="147" customHeight="1" s="69">
      <c r="B8" s="73" t="inlineStr">
        <is>
          <t>Operations (S-3) / Line Companies</t>
        </is>
      </c>
      <c r="C8" s="101" t="n">
        <v>4</v>
      </c>
      <c r="D8" s="101" t="n">
        <v>120</v>
      </c>
      <c r="E8" s="101" t="n">
        <v>0</v>
      </c>
      <c r="F8" s="101" t="n">
        <v>0</v>
      </c>
      <c r="G8" s="102">
        <f>SUM(C8:F8)</f>
        <v/>
      </c>
    </row>
    <row r="9" ht="79.5" customHeight="1" s="69">
      <c r="B9" s="73" t="inlineStr">
        <is>
          <t>Intelligence (S-2)</t>
        </is>
      </c>
      <c r="C9" s="101" t="n">
        <v>1</v>
      </c>
      <c r="D9" s="101" t="n">
        <v>8</v>
      </c>
      <c r="E9" s="101" t="n">
        <v>1</v>
      </c>
      <c r="F9" s="101" t="n">
        <v>0</v>
      </c>
      <c r="G9" s="102">
        <f>SUM(C9:F9)</f>
        <v/>
      </c>
    </row>
    <row r="10" ht="113.25" customHeight="1" s="69">
      <c r="B10" s="73" t="inlineStr">
        <is>
          <t>Logistics (S-4) / Supply</t>
        </is>
      </c>
      <c r="C10" s="101" t="n">
        <v>2</v>
      </c>
      <c r="D10" s="101" t="n">
        <v>24</v>
      </c>
      <c r="E10" s="101" t="n">
        <v>3</v>
      </c>
      <c r="F10" s="101" t="n">
        <v>2</v>
      </c>
      <c r="G10" s="102">
        <f>SUM(C10:F10)</f>
        <v/>
      </c>
    </row>
    <row r="11" ht="102" customHeight="1" s="69">
      <c r="B11" s="73" t="inlineStr">
        <is>
          <t>Communications (S-6)</t>
        </is>
      </c>
      <c r="C11" s="101" t="n">
        <v>1</v>
      </c>
      <c r="D11" s="101" t="n">
        <v>14</v>
      </c>
      <c r="E11" s="101" t="n">
        <v>1</v>
      </c>
      <c r="F11" s="101" t="n">
        <v>1</v>
      </c>
      <c r="G11" s="102">
        <f>SUM(C11:F11)</f>
        <v/>
      </c>
    </row>
    <row r="12" ht="113.25" customHeight="1" s="69">
      <c r="B12" s="73" t="inlineStr">
        <is>
          <t>Maintenance / Motor T</t>
        </is>
      </c>
      <c r="C12" s="101" t="n">
        <v>1</v>
      </c>
      <c r="D12" s="101" t="n">
        <v>18</v>
      </c>
      <c r="E12" s="101" t="n">
        <v>0</v>
      </c>
      <c r="F12" s="101" t="n">
        <v>4</v>
      </c>
      <c r="G12" s="102">
        <f>SUM(C12:F12)</f>
        <v/>
      </c>
    </row>
    <row r="13" ht="113.25" customHeight="1" s="69">
      <c r="B13" s="73" t="inlineStr">
        <is>
          <t>Medical / Dental Section</t>
        </is>
      </c>
      <c r="C13" s="101" t="n">
        <v>1</v>
      </c>
      <c r="D13" s="101" t="n">
        <v>6</v>
      </c>
      <c r="E13" s="101" t="n">
        <v>2</v>
      </c>
      <c r="F13" s="101" t="n">
        <v>0</v>
      </c>
      <c r="G13" s="102">
        <f>SUM(C13:F13)</f>
        <v/>
      </c>
    </row>
    <row r="14" ht="79.5" customHeight="1" s="69">
      <c r="B14" s="73" t="inlineStr">
        <is>
          <t>Other / Attached</t>
        </is>
      </c>
      <c r="C14" s="101" t="n">
        <v>0</v>
      </c>
      <c r="D14" s="101" t="n">
        <v>0</v>
      </c>
      <c r="E14" s="101" t="n">
        <v>0</v>
      </c>
      <c r="F14" s="101" t="n">
        <v>0</v>
      </c>
      <c r="G14" s="102">
        <f>SUM(C14:F14)</f>
        <v/>
      </c>
    </row>
    <row r="15" ht="162" customHeight="1" s="69">
      <c r="B15" s="103" t="inlineStr">
        <is>
          <t>TOTAL UNIT PERSONNEL</t>
        </is>
      </c>
      <c r="C15" s="93">
        <f>SUM(C7:C14)</f>
        <v/>
      </c>
      <c r="D15" s="93">
        <f>SUM(D7:D14)</f>
        <v/>
      </c>
      <c r="E15" s="93">
        <f>SUM(E7:E14)</f>
        <v/>
      </c>
      <c r="F15" s="93">
        <f>SUM(F7:F14)</f>
        <v/>
      </c>
      <c r="G15" s="93">
        <f>SUM(G7:G14)</f>
        <v/>
      </c>
    </row>
    <row r="18" ht="21.75" customHeight="1" s="69">
      <c r="B18" s="72" t="inlineStr">
        <is>
          <t>Derived Loading Metrics</t>
        </is>
      </c>
    </row>
    <row r="19" ht="135.75" customHeight="1" s="69">
      <c r="B19" s="73" t="inlineStr">
        <is>
          <t>Total Military Strength (Off + Enl)</t>
        </is>
      </c>
      <c r="C19" s="93">
        <f>C15+D15</f>
        <v/>
      </c>
    </row>
    <row r="20" ht="191.25" customHeight="1" s="69">
      <c r="B20" s="73" t="inlineStr">
        <is>
          <t>Personnel Loading (PN) for BFR (FC §61010-3)</t>
        </is>
      </c>
      <c r="C20" s="93">
        <f>G15</f>
        <v/>
      </c>
      <c r="D20" s="104" t="inlineStr">
        <is>
          <t>All military, civilian, and other personnel associated with the organization.</t>
        </is>
      </c>
    </row>
    <row r="23" ht="21.75" customHeight="1" s="69">
      <c r="B23" s="72" t="inlineStr">
        <is>
          <t>Loading Source &amp; Notes</t>
        </is>
      </c>
    </row>
    <row r="24" ht="15" customHeight="1" s="69">
      <c r="B24" s="76" t="inlineStr">
        <is>
          <t>Authoritative source for personnel loading per FC 2-000-05N §61010-3: Authorized Strength Report (ASR) validated by Total Force Structure Division (TFSD) per MCO 11000.12. Tenant loading reports must be provided as a separate attachment for project-level BFRs.</t>
        </is>
      </c>
    </row>
    <row r="25" ht="15" customHeight="1" s="69"/>
    <row r="26" ht="15" customHeight="1" s="69"/>
    <row r="27" ht="21.75" customHeight="1" s="69">
      <c r="B27" s="72" t="inlineStr">
        <is>
          <t>Effective Loading (used by BFR formulas)</t>
        </is>
      </c>
    </row>
    <row r="28" ht="79.5" customHeight="1" s="69">
      <c r="B28" s="73" t="inlineStr">
        <is>
          <t>Officers (effective)</t>
        </is>
      </c>
      <c r="C28" s="93">
        <f>IF($C$4="TFSMS",TFSMS_MAR_OFF+TFSMS_NAV_OFF+TFSMS_OS_OFF+TFSMS_RES_OFF,C15)</f>
        <v/>
      </c>
    </row>
    <row r="29" ht="79.5" customHeight="1" s="69">
      <c r="B29" s="73" t="inlineStr">
        <is>
          <t>Enlisted (effective)</t>
        </is>
      </c>
      <c r="C29" s="93">
        <f>IF($C$4="TFSMS",TFSMS_MAR_ENL+TFSMS_NAV_ENL+TFSMS_OS_ENL+TFSMS_RES_ENL,D15)</f>
        <v/>
      </c>
    </row>
    <row r="30" ht="79.5" customHeight="1" s="69">
      <c r="B30" s="73" t="inlineStr">
        <is>
          <t>Civilians (effective)</t>
        </is>
      </c>
      <c r="C30" s="93">
        <f>IF($C$4="TFSMS",TFSMS_CIV,E15)</f>
        <v/>
      </c>
    </row>
    <row r="31" ht="90.75" customHeight="1" s="69">
      <c r="B31" s="73" t="inlineStr">
        <is>
          <t>Contractors (effective)</t>
        </is>
      </c>
      <c r="C31" s="93">
        <f>IF($C$4="TFSMS",TFSMS_CTR,F15)</f>
        <v/>
      </c>
    </row>
    <row r="32" ht="79.5" customHeight="1" s="69">
      <c r="B32" s="73" t="inlineStr">
        <is>
          <t>Total PN (effective)</t>
        </is>
      </c>
      <c r="C32" s="93">
        <f>IF($C$4="TFSMS",TFSMS_TOTAL,G15)</f>
        <v/>
      </c>
    </row>
    <row r="33" ht="113.25" customHeight="1" s="69">
      <c r="B33" s="73" t="inlineStr">
        <is>
          <t>Military Strength (effective)</t>
        </is>
      </c>
      <c r="C33" s="93">
        <f>IF($C$4="TFSMS",TFSMS_MAR_OFF+TFSMS_MAR_ENL+TFSMS_NAV_OFF+TFSMS_NAV_ENL+TFSMS_OS_OFF+TFSMS_OS_ENL+TFSMS_RES_OFF+TFSMS_RES_ENL,C15+D15)</f>
        <v/>
      </c>
    </row>
    <row r="36" ht="21.75" customHeight="1" s="69">
      <c r="B36" s="72" t="inlineStr">
        <is>
          <t>Sub-Unit Snapshot (from TFSMS_Loading)</t>
        </is>
      </c>
    </row>
    <row r="37" ht="27.75" customHeight="1" s="69">
      <c r="B37" s="100" t="inlineStr">
        <is>
          <t>UIC</t>
        </is>
      </c>
      <c r="C37" s="100" t="inlineStr">
        <is>
          <t>Sub-Unit</t>
        </is>
      </c>
      <c r="D37" s="100" t="inlineStr">
        <is>
          <t>Mar Off</t>
        </is>
      </c>
      <c r="E37" s="100" t="inlineStr">
        <is>
          <t>Mar Enl</t>
        </is>
      </c>
      <c r="F37" s="100" t="inlineStr">
        <is>
          <t>Navy Off</t>
        </is>
      </c>
      <c r="G37" s="100" t="inlineStr">
        <is>
          <t>Navy Enl</t>
        </is>
      </c>
      <c r="H37" s="100" t="inlineStr">
        <is>
          <t>Civ</t>
        </is>
      </c>
      <c r="I37" s="100" t="inlineStr">
        <is>
          <t>Total PN</t>
        </is>
      </c>
    </row>
    <row r="38" ht="34.5" customHeight="1" s="69">
      <c r="B38" s="105">
        <f>TFSMS_Loading!B8</f>
        <v/>
      </c>
      <c r="C38" s="106">
        <f>TFSMS_Loading!C8</f>
        <v/>
      </c>
      <c r="D38" s="102">
        <f>TFSMS_Loading!D8</f>
        <v/>
      </c>
      <c r="E38" s="102">
        <f>TFSMS_Loading!E8</f>
        <v/>
      </c>
      <c r="F38" s="102">
        <f>TFSMS_Loading!F8</f>
        <v/>
      </c>
      <c r="G38" s="102">
        <f>TFSMS_Loading!G8</f>
        <v/>
      </c>
      <c r="H38" s="102">
        <f>TFSMS_Loading!L8</f>
        <v/>
      </c>
    </row>
    <row r="39" ht="34.5" customHeight="1" s="69">
      <c r="B39" s="105">
        <f>TFSMS_Loading!B9</f>
        <v/>
      </c>
      <c r="C39" s="106">
        <f>TFSMS_Loading!C9</f>
        <v/>
      </c>
      <c r="D39" s="102">
        <f>TFSMS_Loading!D9</f>
        <v/>
      </c>
      <c r="E39" s="102">
        <f>TFSMS_Loading!E9</f>
        <v/>
      </c>
      <c r="F39" s="102">
        <f>TFSMS_Loading!F9</f>
        <v/>
      </c>
      <c r="G39" s="102">
        <f>TFSMS_Loading!G9</f>
        <v/>
      </c>
      <c r="H39" s="102">
        <f>TFSMS_Loading!L9</f>
        <v/>
      </c>
    </row>
    <row r="40" ht="34.5" customHeight="1" s="69">
      <c r="B40" s="105">
        <f>TFSMS_Loading!B10</f>
        <v/>
      </c>
      <c r="C40" s="106">
        <f>TFSMS_Loading!C10</f>
        <v/>
      </c>
      <c r="D40" s="102">
        <f>TFSMS_Loading!D10</f>
        <v/>
      </c>
      <c r="E40" s="102">
        <f>TFSMS_Loading!E10</f>
        <v/>
      </c>
      <c r="F40" s="102">
        <f>TFSMS_Loading!F10</f>
        <v/>
      </c>
      <c r="G40" s="102">
        <f>TFSMS_Loading!G10</f>
        <v/>
      </c>
      <c r="H40" s="102">
        <f>TFSMS_Loading!L10</f>
        <v/>
      </c>
    </row>
    <row r="41" ht="34.5" customHeight="1" s="69">
      <c r="B41" s="105">
        <f>TFSMS_Loading!B11</f>
        <v/>
      </c>
      <c r="C41" s="106">
        <f>TFSMS_Loading!C11</f>
        <v/>
      </c>
      <c r="D41" s="102">
        <f>TFSMS_Loading!D11</f>
        <v/>
      </c>
      <c r="E41" s="102">
        <f>TFSMS_Loading!E11</f>
        <v/>
      </c>
      <c r="F41" s="102">
        <f>TFSMS_Loading!F11</f>
        <v/>
      </c>
      <c r="G41" s="102">
        <f>TFSMS_Loading!G11</f>
        <v/>
      </c>
      <c r="H41" s="102">
        <f>TFSMS_Loading!L11</f>
        <v/>
      </c>
    </row>
  </sheetData>
  <mergeCells count="10">
    <mergeCell ref="B36:H36"/>
    <mergeCell ref="D20:H20"/>
    <mergeCell ref="B27:H27"/>
    <mergeCell ref="B18:H18"/>
    <mergeCell ref="B2:H2"/>
    <mergeCell ref="B24:H26"/>
    <mergeCell ref="D4:H4"/>
    <mergeCell ref="B3:H3"/>
    <mergeCell ref="B5:H5"/>
    <mergeCell ref="B23:H23"/>
  </mergeCells>
  <dataValidations count="1">
    <dataValidation sqref="C4" showDropDown="0" showInputMessage="0" showErrorMessage="0" allowBlank="0" type="list" errorStyle="stop" operator="between">
      <formula1>"Manual,TFSMS"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J33"/>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10" customWidth="1" style="68" min="3" max="3"/>
    <col width="36" customWidth="1" style="68" min="4" max="4"/>
    <col width="8" customWidth="1" style="68" min="5" max="5"/>
    <col width="12" customWidth="1" style="68" min="6" max="9"/>
    <col width="34" customWidth="1" style="68" min="10" max="10"/>
  </cols>
  <sheetData>
    <row r="1" ht="7.5" customHeight="1" s="69"/>
    <row r="2" ht="30" customHeight="1" s="69">
      <c r="B2" s="70" t="inlineStr">
        <is>
          <t>BFR Calculator — Series 100</t>
        </is>
      </c>
    </row>
    <row r="3" ht="18" customHeight="1" s="69">
      <c r="B3" s="71" t="inlineStr">
        <is>
          <t>Required = Driver × Planning Factor × NTG. Enter quantities in the cream cells.</t>
        </is>
      </c>
    </row>
    <row r="5" ht="21.75" customHeight="1" s="69">
      <c r="B5" s="72" t="inlineStr">
        <is>
          <t>Per-CCN Requirements</t>
        </is>
      </c>
    </row>
    <row r="6" ht="41.25" customHeight="1" s="69">
      <c r="B6" s="107" t="inlineStr">
        <is>
          <t>CCN</t>
        </is>
      </c>
      <c r="C6" s="107" t="inlineStr">
        <is>
          <t>Facility Name</t>
        </is>
      </c>
      <c r="D6" s="107" t="inlineStr">
        <is>
          <t>UM</t>
        </is>
      </c>
      <c r="E6" s="107" t="inlineStr">
        <is>
          <t>Driver Qty</t>
        </is>
      </c>
      <c r="F6" s="107" t="inlineStr">
        <is>
          <t>Factor</t>
        </is>
      </c>
      <c r="G6" s="107" t="inlineStr">
        <is>
          <t>NTG</t>
        </is>
      </c>
      <c r="H6" s="107" t="inlineStr">
        <is>
          <t>Required</t>
        </is>
      </c>
      <c r="I6" s="107" t="inlineStr">
        <is>
          <t>Total Required (UM)</t>
        </is>
      </c>
      <c r="J6" s="107" t="inlineStr">
        <is>
          <t>Justification / Notes</t>
        </is>
      </c>
    </row>
    <row r="7" ht="21.75" customHeight="1" s="69">
      <c r="B7" s="108" t="inlineStr">
        <is>
          <t>143 10</t>
        </is>
      </c>
      <c r="C7" s="106">
        <f>IFERROR(VLOOKUP(B7,CCN_TABLE,2,FALSE()),"")</f>
        <v/>
      </c>
      <c r="D7" s="105">
        <f>IFERROR(VLOOKUP(B7,CCN_TABLE,3,FALSE()),"")</f>
        <v/>
      </c>
      <c r="E7" s="109" t="n">
        <v>0</v>
      </c>
      <c r="F7" s="109" t="n"/>
      <c r="G7" s="110" t="n">
        <v>1</v>
      </c>
      <c r="H7" s="102">
        <f>IFERROR(E7*F7*G7,0)</f>
        <v/>
      </c>
      <c r="I7" s="101" t="n"/>
      <c r="J7" s="106" t="inlineStr">
        <is>
          <t>Emergency Vehicle Garage — engineering analysis required.</t>
        </is>
      </c>
    </row>
    <row r="8" ht="21.75" customHeight="1" s="69">
      <c r="B8" s="108" t="inlineStr">
        <is>
          <t>143 11</t>
        </is>
      </c>
      <c r="C8" s="106">
        <f>IFERROR(VLOOKUP(B8,CCN_TABLE,2,FALSE()),"")</f>
        <v/>
      </c>
      <c r="D8" s="105">
        <f>IFERROR(VLOOKUP(B8,CCN_TABLE,3,FALSE()),"")</f>
        <v/>
      </c>
      <c r="E8" s="109" t="n">
        <v>1</v>
      </c>
      <c r="F8" s="109">
        <f>BFR_Calculator!G33</f>
        <v/>
      </c>
      <c r="G8" s="110" t="n">
        <v>1.2</v>
      </c>
      <c r="H8" s="102">
        <f>IFERROR(E8*F8*G8,0)</f>
        <v/>
      </c>
      <c r="I8" s="101" t="n"/>
      <c r="J8" s="106" t="inlineStr">
        <is>
          <t>Operational Vehicle Garage — sum of all type allowances + 250 SF mech room.</t>
        </is>
      </c>
    </row>
    <row r="9" ht="21.75" customHeight="1" s="69">
      <c r="B9" s="108" t="inlineStr">
        <is>
          <t>143 12</t>
        </is>
      </c>
      <c r="C9" s="106">
        <f>IFERROR(VLOOKUP(B9,CCN_TABLE,2,FALSE()),"")</f>
        <v/>
      </c>
      <c r="D9" s="105">
        <f>IFERROR(VLOOKUP(B9,CCN_TABLE,3,FALSE()),"")</f>
        <v/>
      </c>
      <c r="E9" s="109" t="n">
        <v>1</v>
      </c>
      <c r="F9" s="109">
        <f>BFR_Calculator!H33</f>
        <v/>
      </c>
      <c r="G9" s="110" t="n">
        <v>1</v>
      </c>
      <c r="H9" s="102">
        <f>IFERROR(E9*F9*G9,0)</f>
        <v/>
      </c>
      <c r="I9" s="101" t="n"/>
      <c r="J9" s="106" t="inlineStr">
        <is>
          <t>Operational Vehicle Laydown Area (SY).</t>
        </is>
      </c>
    </row>
    <row r="10" ht="21.75" customHeight="1" s="69">
      <c r="B10" s="108" t="inlineStr">
        <is>
          <t>143 24</t>
        </is>
      </c>
      <c r="C10" s="106">
        <f>IFERROR(VLOOKUP(B10,CCN_TABLE,2,FALSE()),"")</f>
        <v/>
      </c>
      <c r="D10" s="105">
        <f>IFERROR(VLOOKUP(B10,CCN_TABLE,3,FALSE()),"")</f>
        <v/>
      </c>
      <c r="E10" s="109" t="n">
        <v>1</v>
      </c>
      <c r="F10" s="109" t="n">
        <v>7204</v>
      </c>
      <c r="G10" s="110" t="n">
        <v>1</v>
      </c>
      <c r="H10" s="102">
        <f>IFERROR(E10*F10*G10,0)</f>
        <v/>
      </c>
      <c r="I10" s="101" t="n"/>
      <c r="J10" s="106" t="inlineStr">
        <is>
          <t>Marine Corps EOD Facility — 7,000 GSF EOD bldg + 204 GSF Haz/Flam.</t>
        </is>
      </c>
    </row>
    <row r="11" ht="21.75" customHeight="1" s="69">
      <c r="B11" s="108" t="inlineStr">
        <is>
          <t>143 45</t>
        </is>
      </c>
      <c r="C11" s="106">
        <f>IFERROR(VLOOKUP(B11,CCN_TABLE,2,FALSE()),"")</f>
        <v/>
      </c>
      <c r="D11" s="105">
        <f>IFERROR(VLOOKUP(B11,CCN_TABLE,3,FALSE()),"")</f>
        <v/>
      </c>
      <c r="E11" s="109">
        <f>PN_MIL</f>
        <v/>
      </c>
      <c r="F11" s="109" t="n"/>
      <c r="G11" s="110" t="n">
        <v>1</v>
      </c>
      <c r="H11" s="102">
        <f>IFERROR(E11*F11*G11,0)</f>
        <v/>
      </c>
      <c r="I11" s="101" t="n"/>
      <c r="J11" s="106" t="inlineStr">
        <is>
          <t>Armory — sized via Table 14345-1; engineering analysis if outside scope.</t>
        </is>
      </c>
    </row>
    <row r="12" ht="21.75" customHeight="1" s="69">
      <c r="B12" s="108" t="inlineStr">
        <is>
          <t>143 46</t>
        </is>
      </c>
      <c r="C12" s="106">
        <f>IFERROR(VLOOKUP(B12,CCN_TABLE,2,FALSE()),"")</f>
        <v/>
      </c>
      <c r="D12" s="105">
        <f>IFERROR(VLOOKUP(B12,CCN_TABLE,3,FALSE()),"")</f>
        <v/>
      </c>
      <c r="E12" s="109" t="n">
        <v>0</v>
      </c>
      <c r="F12" s="109" t="n"/>
      <c r="G12" s="110" t="n">
        <v>1</v>
      </c>
      <c r="H12" s="102">
        <f>IFERROR(E12*F12*G12,0)</f>
        <v/>
      </c>
      <c r="I12" s="101" t="n"/>
      <c r="J12" s="106" t="inlineStr">
        <is>
          <t>Marine Barracks — only if barracking is required.</t>
        </is>
      </c>
    </row>
    <row r="13" ht="21.75" customHeight="1" s="69">
      <c r="B13" s="108" t="inlineStr">
        <is>
          <t>171 10</t>
        </is>
      </c>
      <c r="C13" s="106">
        <f>IFERROR(VLOOKUP(B13,CCN_TABLE,2,FALSE()),"")</f>
        <v/>
      </c>
      <c r="D13" s="105">
        <f>IFERROR(VLOOKUP(B13,CCN_TABLE,3,FALSE()),"")</f>
        <v/>
      </c>
      <c r="E13" s="109" t="n">
        <v>0</v>
      </c>
      <c r="F13" s="109" t="n">
        <v>45</v>
      </c>
      <c r="G13" s="110" t="n">
        <v>1.33</v>
      </c>
      <c r="H13" s="102">
        <f>IFERROR(E13*F13*G13,0)</f>
        <v/>
      </c>
      <c r="I13" s="101" t="n"/>
      <c r="J13" s="106" t="inlineStr">
        <is>
          <t>Academic Instruction — # of student stations × 45 GSF.</t>
        </is>
      </c>
    </row>
    <row r="14" ht="21.75" customHeight="1" s="69">
      <c r="B14" s="108" t="inlineStr">
        <is>
          <t>171 20</t>
        </is>
      </c>
      <c r="C14" s="106">
        <f>IFERROR(VLOOKUP(B14,CCN_TABLE,2,FALSE()),"")</f>
        <v/>
      </c>
      <c r="D14" s="105">
        <f>IFERROR(VLOOKUP(B14,CCN_TABLE,3,FALSE()),"")</f>
        <v/>
      </c>
      <c r="E14" s="109" t="n">
        <v>0</v>
      </c>
      <c r="F14" s="109" t="n">
        <v>150</v>
      </c>
      <c r="G14" s="110" t="n">
        <v>1.25</v>
      </c>
      <c r="H14" s="102">
        <f>IFERROR(E14*F14*G14,0)</f>
        <v/>
      </c>
      <c r="I14" s="101" t="n"/>
      <c r="J14" s="106" t="inlineStr">
        <is>
          <t>Applied Instruction — # of student stations × 150 GSF.</t>
        </is>
      </c>
    </row>
    <row r="15" ht="21.75" customHeight="1" s="69">
      <c r="B15" s="108" t="inlineStr">
        <is>
          <t>171 50</t>
        </is>
      </c>
      <c r="C15" s="106">
        <f>IFERROR(VLOOKUP(B15,CCN_TABLE,2,FALSE()),"")</f>
        <v/>
      </c>
      <c r="D15" s="105">
        <f>IFERROR(VLOOKUP(B15,CCN_TABLE,3,FALSE()),"")</f>
        <v/>
      </c>
      <c r="E15" s="109" t="n">
        <v>0</v>
      </c>
      <c r="F15" s="109" t="n"/>
      <c r="G15" s="110" t="n">
        <v>1</v>
      </c>
      <c r="H15" s="102">
        <f>IFERROR(E15*F15*G15,0)</f>
        <v/>
      </c>
      <c r="I15" s="101" t="n"/>
      <c r="J15" s="106" t="inlineStr">
        <is>
          <t>Indoor Small Arms Range — engineering analysis.</t>
        </is>
      </c>
    </row>
    <row r="16" ht="21.75" customHeight="1" s="69">
      <c r="B16" s="108" t="inlineStr">
        <is>
          <t>173 10</t>
        </is>
      </c>
      <c r="C16" s="106">
        <f>IFERROR(VLOOKUP(B16,CCN_TABLE,2,FALSE()),"")</f>
        <v/>
      </c>
      <c r="D16" s="105">
        <f>IFERROR(VLOOKUP(B16,CCN_TABLE,3,FALSE()),"")</f>
        <v/>
      </c>
      <c r="E16" s="109" t="n">
        <v>0</v>
      </c>
      <c r="F16" s="109" t="n"/>
      <c r="G16" s="110" t="n">
        <v>1</v>
      </c>
      <c r="H16" s="102">
        <f>IFERROR(E16*F16*G16,0)</f>
        <v/>
      </c>
      <c r="I16" s="101" t="n"/>
      <c r="J16" s="106" t="inlineStr">
        <is>
          <t>Range Operations Building — engineering analysis.</t>
        </is>
      </c>
    </row>
    <row r="17" ht="21.75" customHeight="1" s="69">
      <c r="B17" s="108" t="inlineStr">
        <is>
          <t>173 11</t>
        </is>
      </c>
      <c r="C17" s="106">
        <f>IFERROR(VLOOKUP(B17,CCN_TABLE,2,FALSE()),"")</f>
        <v/>
      </c>
      <c r="D17" s="105">
        <f>IFERROR(VLOOKUP(B17,CCN_TABLE,3,FALSE()),"")</f>
        <v/>
      </c>
      <c r="E17" s="109" t="n">
        <v>0</v>
      </c>
      <c r="F17" s="109" t="n"/>
      <c r="G17" s="110" t="n">
        <v>1</v>
      </c>
      <c r="H17" s="102">
        <f>IFERROR(E17*F17*G17,0)</f>
        <v/>
      </c>
      <c r="I17" s="101" t="n"/>
      <c r="J17" s="106" t="inlineStr">
        <is>
          <t>Range Support Building — engineering analysis.</t>
        </is>
      </c>
    </row>
    <row r="18" ht="21.75" customHeight="1" s="69">
      <c r="B18" s="108" t="inlineStr">
        <is>
          <t>179 60</t>
        </is>
      </c>
      <c r="C18" s="106">
        <f>IFERROR(VLOOKUP(B18,CCN_TABLE,2,FALSE()),"")</f>
        <v/>
      </c>
      <c r="D18" s="105">
        <f>IFERROR(VLOOKUP(B18,CCN_TABLE,3,FALSE()),"")</f>
        <v/>
      </c>
      <c r="E18" s="109">
        <f>PN_TOTAL</f>
        <v/>
      </c>
      <c r="F18" s="109">
        <f>1/125</f>
        <v/>
      </c>
      <c r="G18" s="110" t="n">
        <v>1</v>
      </c>
      <c r="H18" s="102">
        <f>IFERROR(E18*F18*G18,0)</f>
        <v/>
      </c>
      <c r="I18" s="101" t="n"/>
      <c r="J18" s="106" t="inlineStr">
        <is>
          <t>Parade &amp; Drill Field — 1 AC per 125 personnel.</t>
        </is>
      </c>
    </row>
    <row r="19" ht="21.75" customHeight="1" s="69">
      <c r="B19" s="108" t="inlineStr">
        <is>
          <t>179 91</t>
        </is>
      </c>
      <c r="C19" s="106">
        <f>IFERROR(VLOOKUP(B19,CCN_TABLE,2,FALSE()),"")</f>
        <v/>
      </c>
      <c r="D19" s="105">
        <f>IFERROR(VLOOKUP(B19,CCN_TABLE,3,FALSE()),"")</f>
        <v/>
      </c>
      <c r="E19" s="109" t="n">
        <v>0</v>
      </c>
      <c r="F19" s="109" t="n">
        <v>1</v>
      </c>
      <c r="G19" s="110" t="n">
        <v>1</v>
      </c>
      <c r="H19" s="102">
        <f>IFERROR(E19*F19*G19,0)</f>
        <v/>
      </c>
      <c r="I19" s="101" t="n"/>
      <c r="J19" s="106" t="inlineStr">
        <is>
          <t>Confidence Course — 1 EA per complete course.</t>
        </is>
      </c>
    </row>
    <row r="20" ht="21.75" customHeight="1" s="69">
      <c r="B20" s="108" t="inlineStr">
        <is>
          <t>179 92</t>
        </is>
      </c>
      <c r="C20" s="106">
        <f>IFERROR(VLOOKUP(B20,CCN_TABLE,2,FALSE()),"")</f>
        <v/>
      </c>
      <c r="D20" s="105">
        <f>IFERROR(VLOOKUP(B20,CCN_TABLE,3,FALSE()),"")</f>
        <v/>
      </c>
      <c r="E20" s="109" t="n">
        <v>0</v>
      </c>
      <c r="F20" s="109" t="n"/>
      <c r="G20" s="110" t="n">
        <v>1</v>
      </c>
      <c r="H20" s="102">
        <f>IFERROR(E20*F20*G20,0)</f>
        <v/>
      </c>
      <c r="I20" s="101" t="n"/>
      <c r="J20" s="106" t="inlineStr">
        <is>
          <t>Obstacle Course — case-by-case engineering analysis.</t>
        </is>
      </c>
    </row>
    <row r="24" ht="21.75" customHeight="1" s="69">
      <c r="B24" s="72" t="inlineStr">
        <is>
          <t>Vehicle Sub-Schedule (drives 143 11 Garage SF and 143 12 Laydown SY)</t>
        </is>
      </c>
    </row>
    <row r="25" ht="27.75" customHeight="1" s="69">
      <c r="B25" s="100" t="inlineStr">
        <is>
          <t>Type</t>
        </is>
      </c>
      <c r="C25" s="100" t="inlineStr">
        <is>
          <t>Description</t>
        </is>
      </c>
      <c r="D25" s="100" t="inlineStr">
        <is>
          <t># Vehicles</t>
        </is>
      </c>
      <c r="E25" s="100" t="inlineStr">
        <is>
          <t>Garage NSF/EA</t>
        </is>
      </c>
      <c r="F25" s="100" t="inlineStr">
        <is>
          <t>Laydown GSY/EA</t>
        </is>
      </c>
      <c r="G25" s="100" t="inlineStr">
        <is>
          <t>Garage NSF</t>
        </is>
      </c>
      <c r="H25" s="100" t="inlineStr">
        <is>
          <t>Laydown GSY</t>
        </is>
      </c>
    </row>
    <row r="26" ht="15" customHeight="1" s="69">
      <c r="B26" s="111" t="inlineStr">
        <is>
          <t>A</t>
        </is>
      </c>
      <c r="C26" s="112" t="inlineStr">
        <is>
          <t>Sedan / light truck</t>
        </is>
      </c>
      <c r="D26" s="101" t="n">
        <v>0</v>
      </c>
      <c r="E26" s="113" t="n">
        <v>108</v>
      </c>
      <c r="F26" s="113" t="n">
        <v>19</v>
      </c>
      <c r="G26" s="102">
        <f>D26*E26</f>
        <v/>
      </c>
      <c r="H26" s="102">
        <f>D26*F26</f>
        <v/>
      </c>
    </row>
    <row r="27" ht="15" customHeight="1" s="69">
      <c r="B27" s="111" t="inlineStr">
        <is>
          <t>B</t>
        </is>
      </c>
      <c r="C27" s="112" t="inlineStr">
        <is>
          <t>Pickup / 4-pass van</t>
        </is>
      </c>
      <c r="D27" s="101" t="n">
        <v>0</v>
      </c>
      <c r="E27" s="113" t="n">
        <v>180</v>
      </c>
      <c r="F27" s="113" t="n">
        <v>29</v>
      </c>
      <c r="G27" s="102">
        <f>D27*E27</f>
        <v/>
      </c>
      <c r="H27" s="102">
        <f>D27*F27</f>
        <v/>
      </c>
    </row>
    <row r="28" ht="15" customHeight="1" s="69">
      <c r="B28" s="111" t="inlineStr">
        <is>
          <t>C</t>
        </is>
      </c>
      <c r="C28" s="112" t="inlineStr">
        <is>
          <t>Cargo / shop van / 7-ton</t>
        </is>
      </c>
      <c r="D28" s="101" t="n">
        <v>0</v>
      </c>
      <c r="E28" s="113" t="n">
        <v>288</v>
      </c>
      <c r="F28" s="113" t="n">
        <v>42</v>
      </c>
      <c r="G28" s="102">
        <f>D28*E28</f>
        <v/>
      </c>
      <c r="H28" s="102">
        <f>D28*F28</f>
        <v/>
      </c>
    </row>
    <row r="29" ht="15" customHeight="1" s="69">
      <c r="B29" s="111" t="inlineStr">
        <is>
          <t>D</t>
        </is>
      </c>
      <c r="C29" s="112" t="inlineStr">
        <is>
          <t>Bus / box truck</t>
        </is>
      </c>
      <c r="D29" s="101" t="n">
        <v>0</v>
      </c>
      <c r="E29" s="113" t="n">
        <v>420</v>
      </c>
      <c r="F29" s="113" t="n">
        <v>57</v>
      </c>
      <c r="G29" s="102">
        <f>D29*E29</f>
        <v/>
      </c>
      <c r="H29" s="102">
        <f>D29*F29</f>
        <v/>
      </c>
    </row>
    <row r="30" ht="15" customHeight="1" s="69">
      <c r="B30" s="111" t="inlineStr">
        <is>
          <t>E</t>
        </is>
      </c>
      <c r="C30" s="112" t="inlineStr">
        <is>
          <t>Tractor + trailer / wrecker</t>
        </is>
      </c>
      <c r="D30" s="101" t="n">
        <v>0</v>
      </c>
      <c r="E30" s="113" t="n">
        <v>588</v>
      </c>
      <c r="F30" s="113" t="n">
        <v>71</v>
      </c>
      <c r="G30" s="102">
        <f>D30*E30</f>
        <v/>
      </c>
      <c r="H30" s="102">
        <f>D30*F30</f>
        <v/>
      </c>
    </row>
    <row r="31" ht="15" customHeight="1" s="69">
      <c r="B31" s="111" t="inlineStr">
        <is>
          <t>F</t>
        </is>
      </c>
      <c r="C31" s="112" t="inlineStr">
        <is>
          <t>HEMTT / heavy wrecker</t>
        </is>
      </c>
      <c r="D31" s="101" t="n">
        <v>0</v>
      </c>
      <c r="E31" s="113" t="n">
        <v>720</v>
      </c>
      <c r="F31" s="113" t="n">
        <v>85</v>
      </c>
      <c r="G31" s="102">
        <f>D31*E31</f>
        <v/>
      </c>
      <c r="H31" s="102">
        <f>D31*F31</f>
        <v/>
      </c>
    </row>
    <row r="32" ht="15" customHeight="1" s="69">
      <c r="B32" s="111" t="inlineStr">
        <is>
          <t>G</t>
        </is>
      </c>
      <c r="C32" s="112" t="inlineStr">
        <is>
          <t>Oversize / specialty</t>
        </is>
      </c>
      <c r="D32" s="101" t="n">
        <v>0</v>
      </c>
      <c r="E32" s="113" t="n">
        <v>888</v>
      </c>
      <c r="F32" s="113" t="n">
        <v>99</v>
      </c>
      <c r="G32" s="102">
        <f>D32*E32</f>
        <v/>
      </c>
      <c r="H32" s="102">
        <f>D32*F32</f>
        <v/>
      </c>
    </row>
    <row r="33" ht="15" customHeight="1" s="69">
      <c r="B33" s="107" t="inlineStr">
        <is>
          <t>TOTAL</t>
        </is>
      </c>
      <c r="C33" s="75" t="n"/>
      <c r="D33" s="96" t="n"/>
      <c r="E33" s="114" t="inlineStr">
        <is>
          <t>+ 250 SF mech room (143 11)</t>
        </is>
      </c>
      <c r="G33" s="93">
        <f>IF(SUM(G26:G32)=0,0,SUM(G26:G32)+250)</f>
        <v/>
      </c>
      <c r="H33" s="93">
        <f>SUM(H26:H32)</f>
        <v/>
      </c>
    </row>
  </sheetData>
  <mergeCells count="6">
    <mergeCell ref="B33:D33"/>
    <mergeCell ref="B3:J3"/>
    <mergeCell ref="B5:J5"/>
    <mergeCell ref="E33:F33"/>
    <mergeCell ref="B24:J24"/>
    <mergeCell ref="B2:J2"/>
  </mergeCells>
  <conditionalFormatting sqref="F7:F20">
    <cfRule type="cellIs" rank="0" priority="2" equalAverage="0" operator="equal" aboveAverage="0" dxfId="0" text="" percent="0" bottom="0">
      <formula>""</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J20"/>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10" customWidth="1" style="68" min="3" max="3"/>
    <col width="36" customWidth="1" style="68" min="4" max="4"/>
    <col width="8" customWidth="1" style="68" min="5" max="5"/>
    <col width="14" customWidth="1" style="68" min="6" max="9"/>
    <col width="40" customWidth="1" style="68" min="10" max="10"/>
  </cols>
  <sheetData>
    <row r="1" ht="7.5" customHeight="1" s="69"/>
    <row r="2" ht="30" customHeight="1" s="69">
      <c r="B2" s="70" t="inlineStr">
        <is>
          <t>Existing Inventory &amp; Deficit Analysis</t>
        </is>
      </c>
    </row>
    <row r="3" ht="18" customHeight="1" s="69">
      <c r="B3" s="71" t="inlineStr">
        <is>
          <t>Compare iNFADS / RPI assets against the calculated BFR. Surplus (+) / Deficit (-).</t>
        </is>
      </c>
    </row>
    <row r="5" ht="21.75" customHeight="1" s="69">
      <c r="B5" s="72" t="inlineStr">
        <is>
          <t>Inventory by CCN</t>
        </is>
      </c>
    </row>
    <row r="6" ht="27.75" customHeight="1" s="69">
      <c r="B6" s="107" t="inlineStr">
        <is>
          <t>CCN</t>
        </is>
      </c>
      <c r="C6" s="107" t="inlineStr">
        <is>
          <t>Facility Name</t>
        </is>
      </c>
      <c r="D6" s="107" t="inlineStr">
        <is>
          <t>UM</t>
        </is>
      </c>
      <c r="E6" s="107" t="inlineStr">
        <is>
          <t>Required</t>
        </is>
      </c>
      <c r="F6" s="107" t="inlineStr">
        <is>
          <t>Existing (iNFADS)</t>
        </is>
      </c>
      <c r="G6" s="107" t="inlineStr">
        <is>
          <t>Adequate</t>
        </is>
      </c>
      <c r="H6" s="107" t="inlineStr">
        <is>
          <t>Inadequate</t>
        </is>
      </c>
      <c r="I6" s="107" t="inlineStr">
        <is>
          <t>Deficit (-) / Surplus (+)</t>
        </is>
      </c>
      <c r="J6" s="107" t="inlineStr">
        <is>
          <t>Recommended Action</t>
        </is>
      </c>
    </row>
    <row r="7" ht="21.75" customHeight="1" s="69">
      <c r="B7" s="108" t="inlineStr">
        <is>
          <t>143 10</t>
        </is>
      </c>
      <c r="C7" s="106">
        <f>IFERROR(VLOOKUP(B7,CCN_TABLE,2,FALSE()),"")</f>
        <v/>
      </c>
      <c r="D7" s="105">
        <f>IFERROR(VLOOKUP(B7,CCN_TABLE,3,FALSE()),"")</f>
        <v/>
      </c>
      <c r="E7" s="102">
        <f>IF(BFR_Calculator!I7="",BFR_Calculator!H7,BFR_Calculator!I7)</f>
        <v/>
      </c>
      <c r="F7" s="102">
        <f>G7+H7</f>
        <v/>
      </c>
      <c r="G7" s="101" t="n">
        <v>0</v>
      </c>
      <c r="H7" s="101" t="n">
        <v>0</v>
      </c>
      <c r="I7" s="115">
        <f>G7-E7</f>
        <v/>
      </c>
      <c r="J7" s="106">
        <f>IF(I7&lt;0,"NEW or RENOVATE — deficit of "&amp;TEXT(ABS(I7),"#,##0")&amp;" "&amp;D7,IF(H7&gt;0,"REHAB — inadequate assets exist","NO ACTION — adequate"))</f>
        <v/>
      </c>
    </row>
    <row r="8" ht="21.75" customHeight="1" s="69">
      <c r="B8" s="108" t="inlineStr">
        <is>
          <t>143 11</t>
        </is>
      </c>
      <c r="C8" s="106">
        <f>IFERROR(VLOOKUP(B8,CCN_TABLE,2,FALSE()),"")</f>
        <v/>
      </c>
      <c r="D8" s="105">
        <f>IFERROR(VLOOKUP(B8,CCN_TABLE,3,FALSE()),"")</f>
        <v/>
      </c>
      <c r="E8" s="102">
        <f>IF(BFR_Calculator!I8="",BFR_Calculator!H8,BFR_Calculator!I8)</f>
        <v/>
      </c>
      <c r="F8" s="102">
        <f>G8+H8</f>
        <v/>
      </c>
      <c r="G8" s="101" t="n">
        <v>0</v>
      </c>
      <c r="H8" s="101" t="n">
        <v>0</v>
      </c>
      <c r="I8" s="115">
        <f>G8-E8</f>
        <v/>
      </c>
      <c r="J8" s="106">
        <f>IF(I8&lt;0,"NEW or RENOVATE — deficit of "&amp;TEXT(ABS(I8),"#,##0")&amp;" "&amp;D8,IF(H8&gt;0,"REHAB — inadequate assets exist","NO ACTION — adequate"))</f>
        <v/>
      </c>
    </row>
    <row r="9" ht="21.75" customHeight="1" s="69">
      <c r="B9" s="108" t="inlineStr">
        <is>
          <t>143 12</t>
        </is>
      </c>
      <c r="C9" s="106">
        <f>IFERROR(VLOOKUP(B9,CCN_TABLE,2,FALSE()),"")</f>
        <v/>
      </c>
      <c r="D9" s="105">
        <f>IFERROR(VLOOKUP(B9,CCN_TABLE,3,FALSE()),"")</f>
        <v/>
      </c>
      <c r="E9" s="102">
        <f>IF(BFR_Calculator!I9="",BFR_Calculator!H9,BFR_Calculator!I9)</f>
        <v/>
      </c>
      <c r="F9" s="102">
        <f>G9+H9</f>
        <v/>
      </c>
      <c r="G9" s="101" t="n">
        <v>0</v>
      </c>
      <c r="H9" s="101" t="n">
        <v>0</v>
      </c>
      <c r="I9" s="115">
        <f>G9-E9</f>
        <v/>
      </c>
      <c r="J9" s="106">
        <f>IF(I9&lt;0,"NEW or RENOVATE — deficit of "&amp;TEXT(ABS(I9),"#,##0")&amp;" "&amp;D9,IF(H9&gt;0,"REHAB — inadequate assets exist","NO ACTION — adequate"))</f>
        <v/>
      </c>
    </row>
    <row r="10" ht="21.75" customHeight="1" s="69">
      <c r="B10" s="108" t="inlineStr">
        <is>
          <t>143 24</t>
        </is>
      </c>
      <c r="C10" s="106">
        <f>IFERROR(VLOOKUP(B10,CCN_TABLE,2,FALSE()),"")</f>
        <v/>
      </c>
      <c r="D10" s="105">
        <f>IFERROR(VLOOKUP(B10,CCN_TABLE,3,FALSE()),"")</f>
        <v/>
      </c>
      <c r="E10" s="102">
        <f>IF(BFR_Calculator!I10="",BFR_Calculator!H10,BFR_Calculator!I10)</f>
        <v/>
      </c>
      <c r="F10" s="102">
        <f>G10+H10</f>
        <v/>
      </c>
      <c r="G10" s="101" t="n">
        <v>0</v>
      </c>
      <c r="H10" s="101" t="n">
        <v>0</v>
      </c>
      <c r="I10" s="115">
        <f>G10-E10</f>
        <v/>
      </c>
      <c r="J10" s="106">
        <f>IF(I10&lt;0,"NEW or RENOVATE — deficit of "&amp;TEXT(ABS(I10),"#,##0")&amp;" "&amp;D10,IF(H10&gt;0,"REHAB — inadequate assets exist","NO ACTION — adequate"))</f>
        <v/>
      </c>
    </row>
    <row r="11" ht="21.75" customHeight="1" s="69">
      <c r="B11" s="108" t="inlineStr">
        <is>
          <t>143 45</t>
        </is>
      </c>
      <c r="C11" s="106">
        <f>IFERROR(VLOOKUP(B11,CCN_TABLE,2,FALSE()),"")</f>
        <v/>
      </c>
      <c r="D11" s="105">
        <f>IFERROR(VLOOKUP(B11,CCN_TABLE,3,FALSE()),"")</f>
        <v/>
      </c>
      <c r="E11" s="102">
        <f>IF(BFR_Calculator!I11="",BFR_Calculator!H11,BFR_Calculator!I11)</f>
        <v/>
      </c>
      <c r="F11" s="102">
        <f>G11+H11</f>
        <v/>
      </c>
      <c r="G11" s="101" t="n">
        <v>0</v>
      </c>
      <c r="H11" s="101" t="n">
        <v>0</v>
      </c>
      <c r="I11" s="115">
        <f>G11-E11</f>
        <v/>
      </c>
      <c r="J11" s="106">
        <f>IF(I11&lt;0,"NEW or RENOVATE — deficit of "&amp;TEXT(ABS(I11),"#,##0")&amp;" "&amp;D11,IF(H11&gt;0,"REHAB — inadequate assets exist","NO ACTION — adequate"))</f>
        <v/>
      </c>
    </row>
    <row r="12" ht="21.75" customHeight="1" s="69">
      <c r="B12" s="108" t="inlineStr">
        <is>
          <t>143 46</t>
        </is>
      </c>
      <c r="C12" s="106">
        <f>IFERROR(VLOOKUP(B12,CCN_TABLE,2,FALSE()),"")</f>
        <v/>
      </c>
      <c r="D12" s="105">
        <f>IFERROR(VLOOKUP(B12,CCN_TABLE,3,FALSE()),"")</f>
        <v/>
      </c>
      <c r="E12" s="102">
        <f>IF(BFR_Calculator!I12="",BFR_Calculator!H12,BFR_Calculator!I12)</f>
        <v/>
      </c>
      <c r="F12" s="102">
        <f>G12+H12</f>
        <v/>
      </c>
      <c r="G12" s="101" t="n">
        <v>0</v>
      </c>
      <c r="H12" s="101" t="n">
        <v>0</v>
      </c>
      <c r="I12" s="115">
        <f>G12-E12</f>
        <v/>
      </c>
      <c r="J12" s="106">
        <f>IF(I12&lt;0,"NEW or RENOVATE — deficit of "&amp;TEXT(ABS(I12),"#,##0")&amp;" "&amp;D12,IF(H12&gt;0,"REHAB — inadequate assets exist","NO ACTION — adequate"))</f>
        <v/>
      </c>
    </row>
    <row r="13" ht="21.75" customHeight="1" s="69">
      <c r="B13" s="108" t="inlineStr">
        <is>
          <t>171 10</t>
        </is>
      </c>
      <c r="C13" s="106">
        <f>IFERROR(VLOOKUP(B13,CCN_TABLE,2,FALSE()),"")</f>
        <v/>
      </c>
      <c r="D13" s="105">
        <f>IFERROR(VLOOKUP(B13,CCN_TABLE,3,FALSE()),"")</f>
        <v/>
      </c>
      <c r="E13" s="102">
        <f>IF(BFR_Calculator!I13="",BFR_Calculator!H13,BFR_Calculator!I13)</f>
        <v/>
      </c>
      <c r="F13" s="102">
        <f>G13+H13</f>
        <v/>
      </c>
      <c r="G13" s="101" t="n">
        <v>0</v>
      </c>
      <c r="H13" s="101" t="n">
        <v>0</v>
      </c>
      <c r="I13" s="115">
        <f>G13-E13</f>
        <v/>
      </c>
      <c r="J13" s="106">
        <f>IF(I13&lt;0,"NEW or RENOVATE — deficit of "&amp;TEXT(ABS(I13),"#,##0")&amp;" "&amp;D13,IF(H13&gt;0,"REHAB — inadequate assets exist","NO ACTION — adequate"))</f>
        <v/>
      </c>
    </row>
    <row r="14" ht="21.75" customHeight="1" s="69">
      <c r="B14" s="108" t="inlineStr">
        <is>
          <t>171 20</t>
        </is>
      </c>
      <c r="C14" s="106">
        <f>IFERROR(VLOOKUP(B14,CCN_TABLE,2,FALSE()),"")</f>
        <v/>
      </c>
      <c r="D14" s="105">
        <f>IFERROR(VLOOKUP(B14,CCN_TABLE,3,FALSE()),"")</f>
        <v/>
      </c>
      <c r="E14" s="102">
        <f>IF(BFR_Calculator!I14="",BFR_Calculator!H14,BFR_Calculator!I14)</f>
        <v/>
      </c>
      <c r="F14" s="102">
        <f>G14+H14</f>
        <v/>
      </c>
      <c r="G14" s="101" t="n">
        <v>0</v>
      </c>
      <c r="H14" s="101" t="n">
        <v>0</v>
      </c>
      <c r="I14" s="115">
        <f>G14-E14</f>
        <v/>
      </c>
      <c r="J14" s="106">
        <f>IF(I14&lt;0,"NEW or RENOVATE — deficit of "&amp;TEXT(ABS(I14),"#,##0")&amp;" "&amp;D14,IF(H14&gt;0,"REHAB — inadequate assets exist","NO ACTION — adequate"))</f>
        <v/>
      </c>
    </row>
    <row r="15" ht="21.75" customHeight="1" s="69">
      <c r="B15" s="108" t="inlineStr">
        <is>
          <t>171 50</t>
        </is>
      </c>
      <c r="C15" s="106">
        <f>IFERROR(VLOOKUP(B15,CCN_TABLE,2,FALSE()),"")</f>
        <v/>
      </c>
      <c r="D15" s="105">
        <f>IFERROR(VLOOKUP(B15,CCN_TABLE,3,FALSE()),"")</f>
        <v/>
      </c>
      <c r="E15" s="102">
        <f>IF(BFR_Calculator!I15="",BFR_Calculator!H15,BFR_Calculator!I15)</f>
        <v/>
      </c>
      <c r="F15" s="102">
        <f>G15+H15</f>
        <v/>
      </c>
      <c r="G15" s="101" t="n">
        <v>0</v>
      </c>
      <c r="H15" s="101" t="n">
        <v>0</v>
      </c>
      <c r="I15" s="115">
        <f>G15-E15</f>
        <v/>
      </c>
      <c r="J15" s="106">
        <f>IF(I15&lt;0,"NEW or RENOVATE — deficit of "&amp;TEXT(ABS(I15),"#,##0")&amp;" "&amp;D15,IF(H15&gt;0,"REHAB — inadequate assets exist","NO ACTION — adequate"))</f>
        <v/>
      </c>
    </row>
    <row r="16" ht="21.75" customHeight="1" s="69">
      <c r="B16" s="108" t="inlineStr">
        <is>
          <t>173 10</t>
        </is>
      </c>
      <c r="C16" s="106">
        <f>IFERROR(VLOOKUP(B16,CCN_TABLE,2,FALSE()),"")</f>
        <v/>
      </c>
      <c r="D16" s="105">
        <f>IFERROR(VLOOKUP(B16,CCN_TABLE,3,FALSE()),"")</f>
        <v/>
      </c>
      <c r="E16" s="102">
        <f>IF(BFR_Calculator!I16="",BFR_Calculator!H16,BFR_Calculator!I16)</f>
        <v/>
      </c>
      <c r="F16" s="102">
        <f>G16+H16</f>
        <v/>
      </c>
      <c r="G16" s="101" t="n">
        <v>0</v>
      </c>
      <c r="H16" s="101" t="n">
        <v>0</v>
      </c>
      <c r="I16" s="115">
        <f>G16-E16</f>
        <v/>
      </c>
      <c r="J16" s="106">
        <f>IF(I16&lt;0,"NEW or RENOVATE — deficit of "&amp;TEXT(ABS(I16),"#,##0")&amp;" "&amp;D16,IF(H16&gt;0,"REHAB — inadequate assets exist","NO ACTION — adequate"))</f>
        <v/>
      </c>
    </row>
    <row r="17" ht="21.75" customHeight="1" s="69">
      <c r="B17" s="108" t="inlineStr">
        <is>
          <t>173 11</t>
        </is>
      </c>
      <c r="C17" s="106">
        <f>IFERROR(VLOOKUP(B17,CCN_TABLE,2,FALSE()),"")</f>
        <v/>
      </c>
      <c r="D17" s="105">
        <f>IFERROR(VLOOKUP(B17,CCN_TABLE,3,FALSE()),"")</f>
        <v/>
      </c>
      <c r="E17" s="102">
        <f>IF(BFR_Calculator!I17="",BFR_Calculator!H17,BFR_Calculator!I17)</f>
        <v/>
      </c>
      <c r="F17" s="102">
        <f>G17+H17</f>
        <v/>
      </c>
      <c r="G17" s="101" t="n">
        <v>0</v>
      </c>
      <c r="H17" s="101" t="n">
        <v>0</v>
      </c>
      <c r="I17" s="115">
        <f>G17-E17</f>
        <v/>
      </c>
      <c r="J17" s="106">
        <f>IF(I17&lt;0,"NEW or RENOVATE — deficit of "&amp;TEXT(ABS(I17),"#,##0")&amp;" "&amp;D17,IF(H17&gt;0,"REHAB — inadequate assets exist","NO ACTION — adequate"))</f>
        <v/>
      </c>
    </row>
    <row r="18" ht="21.75" customHeight="1" s="69">
      <c r="B18" s="108" t="inlineStr">
        <is>
          <t>179 60</t>
        </is>
      </c>
      <c r="C18" s="106">
        <f>IFERROR(VLOOKUP(B18,CCN_TABLE,2,FALSE()),"")</f>
        <v/>
      </c>
      <c r="D18" s="105">
        <f>IFERROR(VLOOKUP(B18,CCN_TABLE,3,FALSE()),"")</f>
        <v/>
      </c>
      <c r="E18" s="102">
        <f>IF(BFR_Calculator!I18="",BFR_Calculator!H18,BFR_Calculator!I18)</f>
        <v/>
      </c>
      <c r="F18" s="102">
        <f>G18+H18</f>
        <v/>
      </c>
      <c r="G18" s="101" t="n">
        <v>0</v>
      </c>
      <c r="H18" s="101" t="n">
        <v>0</v>
      </c>
      <c r="I18" s="115">
        <f>G18-E18</f>
        <v/>
      </c>
      <c r="J18" s="106">
        <f>IF(I18&lt;0,"NEW or RENOVATE — deficit of "&amp;TEXT(ABS(I18),"#,##0")&amp;" "&amp;D18,IF(H18&gt;0,"REHAB — inadequate assets exist","NO ACTION — adequate"))</f>
        <v/>
      </c>
    </row>
    <row r="19" ht="21.75" customHeight="1" s="69">
      <c r="B19" s="108" t="inlineStr">
        <is>
          <t>179 91</t>
        </is>
      </c>
      <c r="C19" s="106">
        <f>IFERROR(VLOOKUP(B19,CCN_TABLE,2,FALSE()),"")</f>
        <v/>
      </c>
      <c r="D19" s="105">
        <f>IFERROR(VLOOKUP(B19,CCN_TABLE,3,FALSE()),"")</f>
        <v/>
      </c>
      <c r="E19" s="102">
        <f>IF(BFR_Calculator!I19="",BFR_Calculator!H19,BFR_Calculator!I19)</f>
        <v/>
      </c>
      <c r="F19" s="102">
        <f>G19+H19</f>
        <v/>
      </c>
      <c r="G19" s="101" t="n">
        <v>0</v>
      </c>
      <c r="H19" s="101" t="n">
        <v>0</v>
      </c>
      <c r="I19" s="115">
        <f>G19-E19</f>
        <v/>
      </c>
      <c r="J19" s="106">
        <f>IF(I19&lt;0,"NEW or RENOVATE — deficit of "&amp;TEXT(ABS(I19),"#,##0")&amp;" "&amp;D19,IF(H19&gt;0,"REHAB — inadequate assets exist","NO ACTION — adequate"))</f>
        <v/>
      </c>
    </row>
    <row r="20" ht="21.75" customHeight="1" s="69">
      <c r="B20" s="108" t="inlineStr">
        <is>
          <t>179 92</t>
        </is>
      </c>
      <c r="C20" s="106">
        <f>IFERROR(VLOOKUP(B20,CCN_TABLE,2,FALSE()),"")</f>
        <v/>
      </c>
      <c r="D20" s="105">
        <f>IFERROR(VLOOKUP(B20,CCN_TABLE,3,FALSE()),"")</f>
        <v/>
      </c>
      <c r="E20" s="102">
        <f>IF(BFR_Calculator!I20="",BFR_Calculator!H20,BFR_Calculator!I20)</f>
        <v/>
      </c>
      <c r="F20" s="102">
        <f>G20+H20</f>
        <v/>
      </c>
      <c r="G20" s="101" t="n">
        <v>0</v>
      </c>
      <c r="H20" s="101" t="n">
        <v>0</v>
      </c>
      <c r="I20" s="115">
        <f>G20-E20</f>
        <v/>
      </c>
      <c r="J20" s="106">
        <f>IF(I20&lt;0,"NEW or RENOVATE — deficit of "&amp;TEXT(ABS(I20),"#,##0")&amp;" "&amp;D20,IF(H20&gt;0,"REHAB — inadequate assets exist","NO ACTION — adequate"))</f>
        <v/>
      </c>
    </row>
  </sheetData>
  <mergeCells count="3">
    <mergeCell ref="B3:J3"/>
    <mergeCell ref="B5:J5"/>
    <mergeCell ref="B2:J2"/>
  </mergeCells>
  <conditionalFormatting sqref="I7:I20">
    <cfRule type="cellIs" rank="0" priority="2" equalAverage="0" operator="lessThan" aboveAverage="0" dxfId="0" text="" percent="0" bottom="0">
      <formula>0</formula>
    </cfRule>
    <cfRule type="cellIs" rank="0" priority="3" equalAverage="0" operator="greaterThan" aboveAverage="0" dxfId="2"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E27"/>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40" customWidth="1" style="68" min="3" max="3"/>
    <col width="18" customWidth="1" style="68" min="4" max="4"/>
    <col width="50" customWidth="1" style="68" min="5" max="5"/>
  </cols>
  <sheetData>
    <row r="1" ht="7.5" customHeight="1" s="69"/>
    <row r="2" ht="30" customHeight="1" s="69">
      <c r="B2" s="70" t="inlineStr">
        <is>
          <t>Okinawa / MCIPAC Adjustments</t>
        </is>
      </c>
    </row>
    <row r="3" ht="18" customHeight="1" s="69">
      <c r="B3" s="71" t="inlineStr">
        <is>
          <t>Cost factors, ATFP, seismic/typhoon, and host-nation siting considerations.</t>
        </is>
      </c>
    </row>
    <row r="5" ht="21.75" customHeight="1" s="69">
      <c r="B5" s="72" t="inlineStr">
        <is>
          <t>MILCON Cost Adjustment Factors (UFS 3-701-01 Table 4-1 / PAX Newsletter 3.2.1)</t>
        </is>
      </c>
    </row>
    <row r="6" ht="41.25" customHeight="1" s="69">
      <c r="B6" s="100" t="inlineStr">
        <is>
          <t>Factor</t>
        </is>
      </c>
      <c r="C6" s="100" t="inlineStr">
        <is>
          <t>Value</t>
        </is>
      </c>
      <c r="D6" s="100" t="inlineStr">
        <is>
          <t>Notes</t>
        </is>
      </c>
    </row>
    <row r="7" ht="168.75" customHeight="1" s="69">
      <c r="B7" s="73" t="inlineStr">
        <is>
          <t>MILCON Area Cost Factor (Okinawa, Navy)</t>
        </is>
      </c>
      <c r="C7" s="116" t="n">
        <v>2.34</v>
      </c>
      <c r="D7" s="117" t="inlineStr">
        <is>
          <t>PAX Newsletter 3.2.1; updated annually. Applies to MILCON construction cost.</t>
        </is>
      </c>
      <c r="E7" s="96" t="n"/>
    </row>
    <row r="8" ht="168.75" customHeight="1" s="69">
      <c r="B8" s="73" t="inlineStr">
        <is>
          <t>Sustainment Area Cost Factor (Okinawa)</t>
        </is>
      </c>
      <c r="C8" s="116" t="n">
        <v>2.1</v>
      </c>
      <c r="D8" s="117" t="inlineStr">
        <is>
          <t>Sustainment ACF — used for SR per UFS 3-701-01 §3-3.</t>
        </is>
      </c>
      <c r="E8" s="96" t="n"/>
    </row>
    <row r="9" ht="124.5" customHeight="1" s="69">
      <c r="B9" s="73" t="inlineStr">
        <is>
          <t>Programmed Escalation Factor</t>
        </is>
      </c>
      <c r="C9" s="116" t="n">
        <v>1</v>
      </c>
      <c r="D9" s="117" t="inlineStr">
        <is>
          <t>Set per program FY (UFS 3-730-01 Table 2). Update each FY.</t>
        </is>
      </c>
      <c r="E9" s="96" t="n"/>
    </row>
    <row r="10" ht="79.5" customHeight="1" s="69">
      <c r="B10" s="73" t="inlineStr">
        <is>
          <t>Contingency Factor</t>
        </is>
      </c>
      <c r="C10" s="116" t="n">
        <v>1.05</v>
      </c>
      <c r="D10" s="117" t="inlineStr">
        <is>
          <t>OCONUS contingency (UFS 3-730-01).</t>
        </is>
      </c>
      <c r="E10" s="96" t="n"/>
    </row>
    <row r="11" ht="102" customHeight="1" s="69">
      <c r="B11" s="73" t="inlineStr">
        <is>
          <t>SIOH (OCONUS — Japan)</t>
        </is>
      </c>
      <c r="C11" s="116" t="n">
        <v>1.065</v>
      </c>
      <c r="D11" s="117" t="inlineStr">
        <is>
          <t>Supervision, Inspection &amp; Overhead.</t>
        </is>
      </c>
      <c r="E11" s="96" t="n"/>
    </row>
    <row r="12" ht="102" customHeight="1" s="69">
      <c r="B12" s="73" t="inlineStr">
        <is>
          <t>Planning &amp; Design Factor</t>
        </is>
      </c>
      <c r="C12" s="116" t="n">
        <v>1.09</v>
      </c>
      <c r="D12" s="117" t="inlineStr">
        <is>
          <t>1.09 standard / 1.13 medical (UFS 3-701-01 Eq 3-1).</t>
        </is>
      </c>
      <c r="E12" s="96" t="n"/>
    </row>
    <row r="13" ht="102" customHeight="1" s="69">
      <c r="B13" s="73" t="inlineStr">
        <is>
          <t>Historical / Cultural Factor</t>
        </is>
      </c>
      <c r="C13" s="116" t="n">
        <v>1</v>
      </c>
      <c r="D13" s="117" t="inlineStr">
        <is>
          <t>1.05 if historic district.</t>
        </is>
      </c>
      <c r="E13" s="96" t="n"/>
    </row>
    <row r="16" ht="21.75" customHeight="1" s="69">
      <c r="B16" s="72" t="inlineStr">
        <is>
          <t>ATFP / Seismic / Siting Checklist</t>
        </is>
      </c>
    </row>
    <row r="17" ht="41.25" customHeight="1" s="69">
      <c r="B17" s="100" t="inlineStr">
        <is>
          <t>Status</t>
        </is>
      </c>
      <c r="C17" s="100" t="inlineStr">
        <is>
          <t>Item</t>
        </is>
      </c>
      <c r="D17" s="100" t="inlineStr">
        <is>
          <t>Notes</t>
        </is>
      </c>
      <c r="E17" s="96" t="n"/>
    </row>
    <row r="18" ht="34.5" customHeight="1" s="69">
      <c r="B18" s="91" t="inlineStr">
        <is>
          <t>TBD</t>
        </is>
      </c>
      <c r="C18" s="106" t="inlineStr">
        <is>
          <t>UFC 4-010-01 minimum standoff distances met (controlled perimeter ≥18 ft; ≥12 ft within controlled perimeter).</t>
        </is>
      </c>
      <c r="D18" s="91" t="n"/>
      <c r="E18" s="96" t="n"/>
    </row>
    <row r="19" ht="23.25" customHeight="1" s="69">
      <c r="B19" s="91" t="inlineStr">
        <is>
          <t>TBD</t>
        </is>
      </c>
      <c r="C19" s="106" t="inlineStr">
        <is>
          <t>UFC 4-020-01 Design Basis Threat (DBT) and Level Of Protection (LOP) determined for the project.</t>
        </is>
      </c>
      <c r="D19" s="91" t="n"/>
      <c r="E19" s="96" t="n"/>
    </row>
    <row r="20" ht="23.25" customHeight="1" s="69">
      <c r="B20" s="91" t="inlineStr">
        <is>
          <t>TBD</t>
        </is>
      </c>
      <c r="C20" s="106" t="inlineStr">
        <is>
          <t>Mass notification system included (UFC 4-010-01 Standard 21).</t>
        </is>
      </c>
      <c r="D20" s="91" t="n"/>
      <c r="E20" s="96" t="n"/>
    </row>
    <row r="21" ht="23.25" customHeight="1" s="69">
      <c r="B21" s="91" t="inlineStr">
        <is>
          <t>TBD</t>
        </is>
      </c>
      <c r="C21" s="106" t="inlineStr">
        <is>
          <t>Progressive collapse mitigation per UFC 4-023-03.</t>
        </is>
      </c>
      <c r="D21" s="91" t="n"/>
      <c r="E21" s="96" t="n"/>
    </row>
    <row r="22" ht="34.5" customHeight="1" s="69">
      <c r="B22" s="91" t="inlineStr">
        <is>
          <t>TBD</t>
        </is>
      </c>
      <c r="C22" s="106" t="inlineStr">
        <is>
          <t>Seismic design: Japan-specific seismic premium applied (Okinawa is in a moderate seismic zone; coordinate w/ NAVFAC FEAD).</t>
        </is>
      </c>
      <c r="D22" s="91" t="n"/>
      <c r="E22" s="96" t="n"/>
    </row>
    <row r="23" ht="23.25" customHeight="1" s="69">
      <c r="B23" s="91" t="inlineStr">
        <is>
          <t>TBD</t>
        </is>
      </c>
      <c r="C23" s="106" t="inlineStr">
        <is>
          <t>Typhoon / wind loading per ASCE 7 + Okinawa supplements (Vult ≈ 170 mph for design).</t>
        </is>
      </c>
      <c r="D23" s="91" t="n"/>
      <c r="E23" s="96" t="n"/>
    </row>
    <row r="24" ht="23.25" customHeight="1" s="69">
      <c r="B24" s="91" t="inlineStr">
        <is>
          <t>TBD</t>
        </is>
      </c>
      <c r="C24" s="106" t="inlineStr">
        <is>
          <t>Host-nation FIP / Status of Forces Agreement coordination complete.</t>
        </is>
      </c>
      <c r="D24" s="91" t="n"/>
      <c r="E24" s="96" t="n"/>
    </row>
    <row r="25" ht="23.25" customHeight="1" s="69">
      <c r="B25" s="91" t="inlineStr">
        <is>
          <t>TBD</t>
        </is>
      </c>
      <c r="C25" s="106" t="inlineStr">
        <is>
          <t>Encroachment Control Plan (ECP) and IMP land-use checked (MCO 11000.12).</t>
        </is>
      </c>
      <c r="D25" s="91" t="n"/>
      <c r="E25" s="96" t="n"/>
    </row>
    <row r="26" ht="23.25" customHeight="1" s="69">
      <c r="B26" s="91" t="inlineStr">
        <is>
          <t>TBD</t>
        </is>
      </c>
      <c r="C26" s="106" t="inlineStr">
        <is>
          <t>Cultural / archaeological survey complete (NEPA + Japan PA).</t>
        </is>
      </c>
      <c r="D26" s="91" t="n"/>
      <c r="E26" s="96" t="n"/>
    </row>
    <row r="27" ht="23.25" customHeight="1" s="69">
      <c r="B27" s="91" t="inlineStr">
        <is>
          <t>TBD</t>
        </is>
      </c>
      <c r="C27" s="106" t="inlineStr">
        <is>
          <t>Sustainability — LEED Silver minimum / DoD Federal High-Performance Sustainable Buildings.</t>
        </is>
      </c>
      <c r="D27" s="91" t="n"/>
      <c r="E27" s="96" t="n"/>
    </row>
  </sheetData>
  <mergeCells count="22">
    <mergeCell ref="D20:E20"/>
    <mergeCell ref="D10:E10"/>
    <mergeCell ref="D19:E19"/>
    <mergeCell ref="D22:E22"/>
    <mergeCell ref="B5:E5"/>
    <mergeCell ref="D21:E21"/>
    <mergeCell ref="D11:E11"/>
    <mergeCell ref="D13:E13"/>
    <mergeCell ref="D27:E27"/>
    <mergeCell ref="B16:E16"/>
    <mergeCell ref="B3:E3"/>
    <mergeCell ref="D17:E17"/>
    <mergeCell ref="D7:E7"/>
    <mergeCell ref="B2:E2"/>
    <mergeCell ref="D18:E18"/>
    <mergeCell ref="D9:E9"/>
    <mergeCell ref="D12:E12"/>
    <mergeCell ref="D8:E8"/>
    <mergeCell ref="D25:E25"/>
    <mergeCell ref="D24:E24"/>
    <mergeCell ref="D23:E23"/>
    <mergeCell ref="D26:E26"/>
  </mergeCells>
  <dataValidations count="1">
    <dataValidation sqref="B18:B27" showDropDown="0" showInputMessage="0" showErrorMessage="0" allowBlank="1" type="list" errorStyle="stop" operator="between">
      <formula1>"Yes,No,N/A,TBD"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B2:J75"/>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10" customWidth="1" style="68" min="3" max="3"/>
    <col width="36" customWidth="1" style="68" min="4" max="4"/>
    <col width="8" customWidth="1" style="68" min="5" max="5"/>
    <col width="12" customWidth="1" style="68" min="6" max="8"/>
    <col width="40" customWidth="1" style="68" min="9" max="9"/>
  </cols>
  <sheetData>
    <row r="1" ht="7.5" customHeight="1" s="69"/>
    <row r="2" ht="30" customHeight="1" s="69">
      <c r="B2" s="70" t="inlineStr">
        <is>
          <t>BFR Summary — Print-Ready</t>
        </is>
      </c>
    </row>
    <row r="3" ht="18" customHeight="1" s="69">
      <c r="B3" s="71" t="inlineStr">
        <is>
          <t>Generated from Personnel + BFR Calculator + Inventory inputs.</t>
        </is>
      </c>
    </row>
    <row r="5" ht="21.75" customHeight="1" s="69">
      <c r="B5" s="72" t="inlineStr">
        <is>
          <t>Project</t>
        </is>
      </c>
    </row>
    <row r="6" ht="57" customHeight="1" s="69">
      <c r="B6" s="73" t="inlineStr">
        <is>
          <t>Project Title</t>
        </is>
      </c>
      <c r="C6" s="118">
        <f>PROJ_TITLE</f>
        <v/>
      </c>
      <c r="D6" s="75" t="n"/>
      <c r="E6" s="75" t="n"/>
      <c r="F6" s="75" t="n"/>
      <c r="G6" s="75" t="n"/>
      <c r="H6" s="75" t="n"/>
      <c r="I6" s="75" t="n"/>
    </row>
    <row r="7" ht="45.75" customHeight="1" s="69">
      <c r="B7" s="73" t="inlineStr">
        <is>
          <t>Installation</t>
        </is>
      </c>
      <c r="C7" s="118">
        <f>INSTALLATION</f>
        <v/>
      </c>
      <c r="D7" s="75" t="n"/>
      <c r="E7" s="75" t="n"/>
      <c r="F7" s="75" t="n"/>
      <c r="G7" s="75" t="n"/>
      <c r="H7" s="75" t="n"/>
      <c r="I7" s="75" t="n"/>
    </row>
    <row r="8" ht="57" customHeight="1" s="69">
      <c r="B8" s="73" t="inlineStr">
        <is>
          <t>Building No.</t>
        </is>
      </c>
      <c r="C8" s="118">
        <f>BLDG_NO</f>
        <v/>
      </c>
      <c r="D8" s="75" t="n"/>
      <c r="E8" s="75" t="n"/>
      <c r="F8" s="75" t="n"/>
      <c r="G8" s="75" t="n"/>
      <c r="H8" s="75" t="n"/>
      <c r="I8" s="75" t="n"/>
    </row>
    <row r="9" ht="79.5" customHeight="1" s="69">
      <c r="B9" s="73" t="inlineStr">
        <is>
          <t>Region / Command</t>
        </is>
      </c>
      <c r="C9" s="118">
        <f>REGION</f>
        <v/>
      </c>
      <c r="D9" s="75" t="n"/>
      <c r="E9" s="75" t="n"/>
      <c r="F9" s="75" t="n"/>
      <c r="G9" s="75" t="n"/>
      <c r="H9" s="75" t="n"/>
      <c r="I9" s="75" t="n"/>
    </row>
    <row r="10" ht="57" customHeight="1" s="69">
      <c r="B10" s="73" t="inlineStr">
        <is>
          <t>Tenant Unit</t>
        </is>
      </c>
      <c r="C10" s="118">
        <f>TENANT_UNIT</f>
        <v/>
      </c>
      <c r="D10" s="75" t="n"/>
      <c r="E10" s="75" t="n"/>
      <c r="F10" s="75" t="n"/>
      <c r="G10" s="75" t="n"/>
      <c r="H10" s="75" t="n"/>
      <c r="I10" s="75" t="n"/>
    </row>
    <row r="11" ht="45.75" customHeight="1" s="69">
      <c r="B11" s="73" t="inlineStr">
        <is>
          <t>UIC / RUC</t>
        </is>
      </c>
      <c r="C11" s="118">
        <f>UIC</f>
        <v/>
      </c>
      <c r="D11" s="75" t="n"/>
      <c r="E11" s="75" t="n"/>
      <c r="F11" s="75" t="n"/>
      <c r="G11" s="75" t="n"/>
      <c r="H11" s="75" t="n"/>
      <c r="I11" s="75" t="n"/>
    </row>
    <row r="12" ht="34.5" customHeight="1" s="69">
      <c r="B12" s="73" t="inlineStr">
        <is>
          <t>Planner</t>
        </is>
      </c>
      <c r="C12" s="118">
        <f>PLANNER</f>
        <v/>
      </c>
      <c r="D12" s="75" t="n"/>
      <c r="E12" s="75" t="n"/>
      <c r="F12" s="75" t="n"/>
      <c r="G12" s="75" t="n"/>
      <c r="H12" s="75" t="n"/>
      <c r="I12" s="75" t="n"/>
    </row>
    <row r="13" ht="68.25" customHeight="1" s="69">
      <c r="B13" s="73" t="inlineStr">
        <is>
          <t>Date Prepared</t>
        </is>
      </c>
      <c r="C13" s="118">
        <f>PROJ_DATE</f>
        <v/>
      </c>
      <c r="D13" s="75" t="n"/>
      <c r="E13" s="75" t="n"/>
      <c r="F13" s="75" t="n"/>
      <c r="G13" s="75" t="n"/>
      <c r="H13" s="75" t="n"/>
      <c r="I13" s="75" t="n"/>
    </row>
    <row r="14" ht="45.75" customHeight="1" s="69">
      <c r="B14" s="73" t="inlineStr">
        <is>
          <t>Program FY</t>
        </is>
      </c>
      <c r="C14" s="118">
        <f>PROG_FY</f>
        <v/>
      </c>
      <c r="D14" s="75" t="n"/>
      <c r="E14" s="75" t="n"/>
      <c r="F14" s="75" t="n"/>
      <c r="G14" s="75" t="n"/>
      <c r="H14" s="75" t="n"/>
      <c r="I14" s="75" t="n"/>
    </row>
    <row r="15" ht="57" customHeight="1" s="69">
      <c r="B15" s="73" t="n"/>
      <c r="C15" s="118" t="n"/>
      <c r="D15" s="75" t="n"/>
      <c r="E15" s="75" t="n"/>
      <c r="F15" s="75" t="n"/>
      <c r="G15" s="75" t="n"/>
      <c r="H15" s="75" t="n"/>
      <c r="I15" s="75" t="n"/>
    </row>
    <row r="17" ht="21.75" customHeight="1" s="69">
      <c r="B17" s="72" t="inlineStr">
        <is>
          <t>Personnel Loading Summary</t>
        </is>
      </c>
    </row>
    <row r="18" ht="90.75" customHeight="1" s="69">
      <c r="B18" s="73" t="inlineStr">
        <is>
          <t>Total Personnel (PN)</t>
        </is>
      </c>
      <c r="C18" s="93">
        <f>PN_TOTAL</f>
        <v/>
      </c>
      <c r="D18" s="75" t="n"/>
      <c r="E18" s="96" t="n"/>
      <c r="F18" s="73" t="inlineStr">
        <is>
          <t>Officers</t>
        </is>
      </c>
      <c r="G18" s="93">
        <f>PN_OFF</f>
        <v/>
      </c>
      <c r="H18" s="75" t="n"/>
      <c r="I18" s="96" t="n"/>
    </row>
    <row r="19" ht="34.5" customHeight="1" s="69">
      <c r="B19" s="73" t="inlineStr">
        <is>
          <t>Enlisted</t>
        </is>
      </c>
      <c r="C19" s="93">
        <f>PN_ENL</f>
        <v/>
      </c>
      <c r="D19" s="75" t="n"/>
      <c r="E19" s="96" t="n"/>
      <c r="F19" s="73" t="inlineStr">
        <is>
          <t>Civilians</t>
        </is>
      </c>
      <c r="G19" s="93">
        <f>PN_CIV</f>
        <v/>
      </c>
      <c r="H19" s="75" t="n"/>
      <c r="I19" s="96" t="n"/>
    </row>
    <row r="20" ht="45.75" customHeight="1" s="69">
      <c r="B20" s="73" t="inlineStr">
        <is>
          <t>Contractors</t>
        </is>
      </c>
      <c r="C20" s="93">
        <f>PN_CTR</f>
        <v/>
      </c>
      <c r="D20" s="75" t="n"/>
      <c r="E20" s="96" t="n"/>
      <c r="F20" s="73" t="inlineStr">
        <is>
          <t>Military Strength</t>
        </is>
      </c>
      <c r="G20" s="93">
        <f>PN_MIL</f>
        <v/>
      </c>
      <c r="H20" s="75" t="n"/>
      <c r="I20" s="96" t="n"/>
    </row>
    <row r="23" ht="21.75" customHeight="1" s="69">
      <c r="B23" s="72" t="inlineStr">
        <is>
          <t>Requirements by CCN</t>
        </is>
      </c>
    </row>
    <row r="24" ht="27.75" customHeight="1" s="69">
      <c r="B24" s="107" t="inlineStr">
        <is>
          <t>CCN</t>
        </is>
      </c>
      <c r="C24" s="107" t="inlineStr">
        <is>
          <t>Facility Name</t>
        </is>
      </c>
      <c r="D24" s="107" t="inlineStr">
        <is>
          <t>UM</t>
        </is>
      </c>
      <c r="E24" s="107" t="inlineStr">
        <is>
          <t>Required</t>
        </is>
      </c>
      <c r="F24" s="107" t="inlineStr">
        <is>
          <t>Existing</t>
        </is>
      </c>
      <c r="G24" s="107" t="inlineStr">
        <is>
          <t>Deficit</t>
        </is>
      </c>
      <c r="H24" s="107" t="inlineStr">
        <is>
          <t>Action</t>
        </is>
      </c>
      <c r="I24" s="107" t="inlineStr">
        <is>
          <t>Justification</t>
        </is>
      </c>
    </row>
    <row r="25" ht="24" customHeight="1" s="69">
      <c r="B25" s="108" t="inlineStr">
        <is>
          <t>143 10</t>
        </is>
      </c>
      <c r="C25" s="106">
        <f>IFERROR(VLOOKUP(B25,CCN_TABLE,2,FALSE()),"")</f>
        <v/>
      </c>
      <c r="D25" s="105">
        <f>IFERROR(VLOOKUP(B25,CCN_TABLE,3,FALSE()),"")</f>
        <v/>
      </c>
      <c r="E25" s="102">
        <f>Inventory!E7</f>
        <v/>
      </c>
      <c r="F25" s="102">
        <f>Inventory!F7</f>
        <v/>
      </c>
      <c r="G25" s="115">
        <f>Inventory!I7</f>
        <v/>
      </c>
      <c r="H25" s="106">
        <f>Inventory!J7</f>
        <v/>
      </c>
      <c r="I25" s="106">
        <f>BFR_Calculator!J7</f>
        <v/>
      </c>
    </row>
    <row r="26" ht="24" customHeight="1" s="69">
      <c r="B26" s="108" t="inlineStr">
        <is>
          <t>143 11</t>
        </is>
      </c>
      <c r="C26" s="106">
        <f>IFERROR(VLOOKUP(B26,CCN_TABLE,2,FALSE()),"")</f>
        <v/>
      </c>
      <c r="D26" s="105">
        <f>IFERROR(VLOOKUP(B26,CCN_TABLE,3,FALSE()),"")</f>
        <v/>
      </c>
      <c r="E26" s="102">
        <f>Inventory!E8</f>
        <v/>
      </c>
      <c r="F26" s="102">
        <f>Inventory!F8</f>
        <v/>
      </c>
      <c r="G26" s="115">
        <f>Inventory!I8</f>
        <v/>
      </c>
      <c r="H26" s="106">
        <f>Inventory!J8</f>
        <v/>
      </c>
      <c r="I26" s="106">
        <f>BFR_Calculator!J8</f>
        <v/>
      </c>
    </row>
    <row r="27" ht="24" customHeight="1" s="69">
      <c r="B27" s="108" t="inlineStr">
        <is>
          <t>143 12</t>
        </is>
      </c>
      <c r="C27" s="106">
        <f>IFERROR(VLOOKUP(B27,CCN_TABLE,2,FALSE()),"")</f>
        <v/>
      </c>
      <c r="D27" s="105">
        <f>IFERROR(VLOOKUP(B27,CCN_TABLE,3,FALSE()),"")</f>
        <v/>
      </c>
      <c r="E27" s="102">
        <f>Inventory!E9</f>
        <v/>
      </c>
      <c r="F27" s="102">
        <f>Inventory!F9</f>
        <v/>
      </c>
      <c r="G27" s="115">
        <f>Inventory!I9</f>
        <v/>
      </c>
      <c r="H27" s="106">
        <f>Inventory!J9</f>
        <v/>
      </c>
      <c r="I27" s="106">
        <f>BFR_Calculator!J9</f>
        <v/>
      </c>
    </row>
    <row r="28" ht="24" customHeight="1" s="69">
      <c r="B28" s="108" t="inlineStr">
        <is>
          <t>143 24</t>
        </is>
      </c>
      <c r="C28" s="106">
        <f>IFERROR(VLOOKUP(B28,CCN_TABLE,2,FALSE()),"")</f>
        <v/>
      </c>
      <c r="D28" s="105">
        <f>IFERROR(VLOOKUP(B28,CCN_TABLE,3,FALSE()),"")</f>
        <v/>
      </c>
      <c r="E28" s="102">
        <f>Inventory!E10</f>
        <v/>
      </c>
      <c r="F28" s="102">
        <f>Inventory!F10</f>
        <v/>
      </c>
      <c r="G28" s="115">
        <f>Inventory!I10</f>
        <v/>
      </c>
      <c r="H28" s="106">
        <f>Inventory!J10</f>
        <v/>
      </c>
      <c r="I28" s="106">
        <f>BFR_Calculator!J10</f>
        <v/>
      </c>
    </row>
    <row r="29" ht="24" customHeight="1" s="69">
      <c r="B29" s="108" t="inlineStr">
        <is>
          <t>143 45</t>
        </is>
      </c>
      <c r="C29" s="106">
        <f>IFERROR(VLOOKUP(B29,CCN_TABLE,2,FALSE()),"")</f>
        <v/>
      </c>
      <c r="D29" s="105">
        <f>IFERROR(VLOOKUP(B29,CCN_TABLE,3,FALSE()),"")</f>
        <v/>
      </c>
      <c r="E29" s="102">
        <f>Inventory!E11</f>
        <v/>
      </c>
      <c r="F29" s="102">
        <f>Inventory!F11</f>
        <v/>
      </c>
      <c r="G29" s="115">
        <f>Inventory!I11</f>
        <v/>
      </c>
      <c r="H29" s="106">
        <f>Inventory!J11</f>
        <v/>
      </c>
      <c r="I29" s="106">
        <f>BFR_Calculator!J11</f>
        <v/>
      </c>
    </row>
    <row r="30" ht="24" customHeight="1" s="69">
      <c r="B30" s="108" t="inlineStr">
        <is>
          <t>143 46</t>
        </is>
      </c>
      <c r="C30" s="106">
        <f>IFERROR(VLOOKUP(B30,CCN_TABLE,2,FALSE()),"")</f>
        <v/>
      </c>
      <c r="D30" s="105">
        <f>IFERROR(VLOOKUP(B30,CCN_TABLE,3,FALSE()),"")</f>
        <v/>
      </c>
      <c r="E30" s="102">
        <f>Inventory!E12</f>
        <v/>
      </c>
      <c r="F30" s="102">
        <f>Inventory!F12</f>
        <v/>
      </c>
      <c r="G30" s="115">
        <f>Inventory!I12</f>
        <v/>
      </c>
      <c r="H30" s="106">
        <f>Inventory!J12</f>
        <v/>
      </c>
      <c r="I30" s="106">
        <f>BFR_Calculator!J12</f>
        <v/>
      </c>
    </row>
    <row r="31" ht="24" customHeight="1" s="69">
      <c r="B31" s="108" t="inlineStr">
        <is>
          <t>171 10</t>
        </is>
      </c>
      <c r="C31" s="106">
        <f>IFERROR(VLOOKUP(B31,CCN_TABLE,2,FALSE()),"")</f>
        <v/>
      </c>
      <c r="D31" s="105">
        <f>IFERROR(VLOOKUP(B31,CCN_TABLE,3,FALSE()),"")</f>
        <v/>
      </c>
      <c r="E31" s="102">
        <f>Inventory!E13</f>
        <v/>
      </c>
      <c r="F31" s="102">
        <f>Inventory!F13</f>
        <v/>
      </c>
      <c r="G31" s="115">
        <f>Inventory!I13</f>
        <v/>
      </c>
      <c r="H31" s="106">
        <f>Inventory!J13</f>
        <v/>
      </c>
      <c r="I31" s="106">
        <f>BFR_Calculator!J13</f>
        <v/>
      </c>
    </row>
    <row r="32" ht="24" customHeight="1" s="69">
      <c r="B32" s="108" t="inlineStr">
        <is>
          <t>171 20</t>
        </is>
      </c>
      <c r="C32" s="106">
        <f>IFERROR(VLOOKUP(B32,CCN_TABLE,2,FALSE()),"")</f>
        <v/>
      </c>
      <c r="D32" s="105">
        <f>IFERROR(VLOOKUP(B32,CCN_TABLE,3,FALSE()),"")</f>
        <v/>
      </c>
      <c r="E32" s="102">
        <f>Inventory!E14</f>
        <v/>
      </c>
      <c r="F32" s="102">
        <f>Inventory!F14</f>
        <v/>
      </c>
      <c r="G32" s="115">
        <f>Inventory!I14</f>
        <v/>
      </c>
      <c r="H32" s="106">
        <f>Inventory!J14</f>
        <v/>
      </c>
      <c r="I32" s="106">
        <f>BFR_Calculator!J14</f>
        <v/>
      </c>
    </row>
    <row r="33" ht="24" customHeight="1" s="69">
      <c r="B33" s="108" t="inlineStr">
        <is>
          <t>171 50</t>
        </is>
      </c>
      <c r="C33" s="106">
        <f>IFERROR(VLOOKUP(B33,CCN_TABLE,2,FALSE()),"")</f>
        <v/>
      </c>
      <c r="D33" s="105">
        <f>IFERROR(VLOOKUP(B33,CCN_TABLE,3,FALSE()),"")</f>
        <v/>
      </c>
      <c r="E33" s="102">
        <f>Inventory!E15</f>
        <v/>
      </c>
      <c r="F33" s="102">
        <f>Inventory!F15</f>
        <v/>
      </c>
      <c r="G33" s="115">
        <f>Inventory!I15</f>
        <v/>
      </c>
      <c r="H33" s="106">
        <f>Inventory!J15</f>
        <v/>
      </c>
      <c r="I33" s="106">
        <f>BFR_Calculator!J15</f>
        <v/>
      </c>
    </row>
    <row r="34" ht="24" customHeight="1" s="69">
      <c r="B34" s="108" t="inlineStr">
        <is>
          <t>173 10</t>
        </is>
      </c>
      <c r="C34" s="106">
        <f>IFERROR(VLOOKUP(B34,CCN_TABLE,2,FALSE()),"")</f>
        <v/>
      </c>
      <c r="D34" s="105">
        <f>IFERROR(VLOOKUP(B34,CCN_TABLE,3,FALSE()),"")</f>
        <v/>
      </c>
      <c r="E34" s="102">
        <f>Inventory!E16</f>
        <v/>
      </c>
      <c r="F34" s="102">
        <f>Inventory!F16</f>
        <v/>
      </c>
      <c r="G34" s="115">
        <f>Inventory!I16</f>
        <v/>
      </c>
      <c r="H34" s="106">
        <f>Inventory!J16</f>
        <v/>
      </c>
      <c r="I34" s="106">
        <f>BFR_Calculator!J16</f>
        <v/>
      </c>
    </row>
    <row r="35" ht="24" customHeight="1" s="69">
      <c r="B35" s="108" t="inlineStr">
        <is>
          <t>173 11</t>
        </is>
      </c>
      <c r="C35" s="106">
        <f>IFERROR(VLOOKUP(B35,CCN_TABLE,2,FALSE()),"")</f>
        <v/>
      </c>
      <c r="D35" s="105">
        <f>IFERROR(VLOOKUP(B35,CCN_TABLE,3,FALSE()),"")</f>
        <v/>
      </c>
      <c r="E35" s="102">
        <f>Inventory!E17</f>
        <v/>
      </c>
      <c r="F35" s="102">
        <f>Inventory!F17</f>
        <v/>
      </c>
      <c r="G35" s="115">
        <f>Inventory!I17</f>
        <v/>
      </c>
      <c r="H35" s="106">
        <f>Inventory!J17</f>
        <v/>
      </c>
      <c r="I35" s="106">
        <f>BFR_Calculator!J17</f>
        <v/>
      </c>
    </row>
    <row r="36" ht="24" customHeight="1" s="69">
      <c r="B36" s="108" t="inlineStr">
        <is>
          <t>179 60</t>
        </is>
      </c>
      <c r="C36" s="106">
        <f>IFERROR(VLOOKUP(B36,CCN_TABLE,2,FALSE()),"")</f>
        <v/>
      </c>
      <c r="D36" s="105">
        <f>IFERROR(VLOOKUP(B36,CCN_TABLE,3,FALSE()),"")</f>
        <v/>
      </c>
      <c r="E36" s="102">
        <f>Inventory!E18</f>
        <v/>
      </c>
      <c r="F36" s="102">
        <f>Inventory!F18</f>
        <v/>
      </c>
      <c r="G36" s="115">
        <f>Inventory!I18</f>
        <v/>
      </c>
      <c r="H36" s="106">
        <f>Inventory!J18</f>
        <v/>
      </c>
      <c r="I36" s="106">
        <f>BFR_Calculator!J18</f>
        <v/>
      </c>
    </row>
    <row r="37" ht="24" customHeight="1" s="69">
      <c r="B37" s="108" t="inlineStr">
        <is>
          <t>179 91</t>
        </is>
      </c>
      <c r="C37" s="106">
        <f>IFERROR(VLOOKUP(B37,CCN_TABLE,2,FALSE()),"")</f>
        <v/>
      </c>
      <c r="D37" s="105">
        <f>IFERROR(VLOOKUP(B37,CCN_TABLE,3,FALSE()),"")</f>
        <v/>
      </c>
      <c r="E37" s="102">
        <f>Inventory!E19</f>
        <v/>
      </c>
      <c r="F37" s="102">
        <f>Inventory!F19</f>
        <v/>
      </c>
      <c r="G37" s="115">
        <f>Inventory!I19</f>
        <v/>
      </c>
      <c r="H37" s="106">
        <f>Inventory!J19</f>
        <v/>
      </c>
      <c r="I37" s="106">
        <f>BFR_Calculator!J19</f>
        <v/>
      </c>
    </row>
    <row r="38" ht="24" customHeight="1" s="69">
      <c r="B38" s="108" t="inlineStr">
        <is>
          <t>179 92</t>
        </is>
      </c>
      <c r="C38" s="106">
        <f>IFERROR(VLOOKUP(B38,CCN_TABLE,2,FALSE()),"")</f>
        <v/>
      </c>
      <c r="D38" s="105">
        <f>IFERROR(VLOOKUP(B38,CCN_TABLE,3,FALSE()),"")</f>
        <v/>
      </c>
      <c r="E38" s="102">
        <f>Inventory!E20</f>
        <v/>
      </c>
      <c r="F38" s="102">
        <f>Inventory!F20</f>
        <v/>
      </c>
      <c r="G38" s="115">
        <f>Inventory!I20</f>
        <v/>
      </c>
      <c r="H38" s="106">
        <f>Inventory!J20</f>
        <v/>
      </c>
      <c r="I38" s="106">
        <f>BFR_Calculator!J20</f>
        <v/>
      </c>
    </row>
    <row r="41" ht="21.75" customHeight="1" s="69">
      <c r="B41" s="72" t="inlineStr">
        <is>
          <t>Cost Roll-up (Programming)</t>
        </is>
      </c>
    </row>
    <row r="42" ht="27.75" customHeight="1" s="69">
      <c r="B42" s="107" t="inlineStr">
        <is>
          <t>CCN</t>
        </is>
      </c>
      <c r="C42" s="107" t="inlineStr">
        <is>
          <t>Facility Name</t>
        </is>
      </c>
      <c r="D42" s="107" t="inlineStr">
        <is>
          <t>UM</t>
        </is>
      </c>
      <c r="E42" s="107" t="inlineStr">
        <is>
          <t>Required</t>
        </is>
      </c>
      <c r="F42" s="107" t="inlineStr">
        <is>
          <t>Unit Cost ($/UM)</t>
        </is>
      </c>
      <c r="G42" s="107" t="inlineStr">
        <is>
          <t>Bare Cost</t>
        </is>
      </c>
      <c r="H42" s="107" t="inlineStr">
        <is>
          <t>ACF</t>
        </is>
      </c>
      <c r="I42" s="107" t="inlineStr">
        <is>
          <t>SIOH</t>
        </is>
      </c>
      <c r="J42" s="107" t="inlineStr">
        <is>
          <t>Programmed Cost</t>
        </is>
      </c>
    </row>
    <row r="43" ht="21.75" customHeight="1" s="69">
      <c r="B43" s="108" t="inlineStr">
        <is>
          <t>143 10</t>
        </is>
      </c>
      <c r="C43" s="106">
        <f>IFERROR(VLOOKUP(B43,CCN_TABLE,2,FALSE()),"")</f>
        <v/>
      </c>
      <c r="D43" s="105">
        <f>IFERROR(VLOOKUP(B43,CCN_TABLE,3,FALSE()),"")</f>
        <v/>
      </c>
      <c r="E43" s="102">
        <f>MAX(Inventory!I7*-1,0)</f>
        <v/>
      </c>
      <c r="F43" s="119" t="n">
        <v>425</v>
      </c>
      <c r="G43" s="120">
        <f>E43*F43</f>
        <v/>
      </c>
      <c r="H43" s="121">
        <f>Okinawa_Navy_ACF</f>
        <v/>
      </c>
      <c r="I43" s="121">
        <f>SIOH</f>
        <v/>
      </c>
      <c r="J43" s="122">
        <f>G43*H43*I43*Contingency*Esc_Factor*PD_Factor*HF</f>
        <v/>
      </c>
    </row>
    <row r="44" ht="21.75" customHeight="1" s="69">
      <c r="B44" s="108" t="inlineStr">
        <is>
          <t>143 11</t>
        </is>
      </c>
      <c r="C44" s="106">
        <f>IFERROR(VLOOKUP(B44,CCN_TABLE,2,FALSE()),"")</f>
        <v/>
      </c>
      <c r="D44" s="105">
        <f>IFERROR(VLOOKUP(B44,CCN_TABLE,3,FALSE()),"")</f>
        <v/>
      </c>
      <c r="E44" s="102">
        <f>MAX(Inventory!I8*-1,0)</f>
        <v/>
      </c>
      <c r="F44" s="119" t="n">
        <v>425</v>
      </c>
      <c r="G44" s="120">
        <f>E44*F44</f>
        <v/>
      </c>
      <c r="H44" s="121">
        <f>Okinawa_Navy_ACF</f>
        <v/>
      </c>
      <c r="I44" s="121">
        <f>SIOH</f>
        <v/>
      </c>
      <c r="J44" s="122">
        <f>G44*H44*I44*Contingency*Esc_Factor*PD_Factor*HF</f>
        <v/>
      </c>
    </row>
    <row r="45" ht="21.75" customHeight="1" s="69">
      <c r="B45" s="108" t="inlineStr">
        <is>
          <t>143 12</t>
        </is>
      </c>
      <c r="C45" s="106">
        <f>IFERROR(VLOOKUP(B45,CCN_TABLE,2,FALSE()),"")</f>
        <v/>
      </c>
      <c r="D45" s="105">
        <f>IFERROR(VLOOKUP(B45,CCN_TABLE,3,FALSE()),"")</f>
        <v/>
      </c>
      <c r="E45" s="102">
        <f>MAX(Inventory!I9*-1,0)</f>
        <v/>
      </c>
      <c r="F45" s="119" t="n">
        <v>110</v>
      </c>
      <c r="G45" s="120">
        <f>E45*F45</f>
        <v/>
      </c>
      <c r="H45" s="121">
        <f>Okinawa_Navy_ACF</f>
        <v/>
      </c>
      <c r="I45" s="121">
        <f>SIOH</f>
        <v/>
      </c>
      <c r="J45" s="122">
        <f>G45*H45*I45*Contingency*Esc_Factor*PD_Factor*HF</f>
        <v/>
      </c>
    </row>
    <row r="46" ht="21.75" customHeight="1" s="69">
      <c r="B46" s="108" t="inlineStr">
        <is>
          <t>143 24</t>
        </is>
      </c>
      <c r="C46" s="106">
        <f>IFERROR(VLOOKUP(B46,CCN_TABLE,2,FALSE()),"")</f>
        <v/>
      </c>
      <c r="D46" s="105">
        <f>IFERROR(VLOOKUP(B46,CCN_TABLE,3,FALSE()),"")</f>
        <v/>
      </c>
      <c r="E46" s="102">
        <f>MAX(Inventory!I10*-1,0)</f>
        <v/>
      </c>
      <c r="F46" s="119" t="n">
        <v>525</v>
      </c>
      <c r="G46" s="120">
        <f>E46*F46</f>
        <v/>
      </c>
      <c r="H46" s="121">
        <f>Okinawa_Navy_ACF</f>
        <v/>
      </c>
      <c r="I46" s="121">
        <f>SIOH</f>
        <v/>
      </c>
      <c r="J46" s="122">
        <f>G46*H46*I46*Contingency*Esc_Factor*PD_Factor*HF</f>
        <v/>
      </c>
    </row>
    <row r="47" ht="21.75" customHeight="1" s="69">
      <c r="B47" s="108" t="inlineStr">
        <is>
          <t>143 45</t>
        </is>
      </c>
      <c r="C47" s="106">
        <f>IFERROR(VLOOKUP(B47,CCN_TABLE,2,FALSE()),"")</f>
        <v/>
      </c>
      <c r="D47" s="105">
        <f>IFERROR(VLOOKUP(B47,CCN_TABLE,3,FALSE()),"")</f>
        <v/>
      </c>
      <c r="E47" s="102">
        <f>MAX(Inventory!I11*-1,0)</f>
        <v/>
      </c>
      <c r="F47" s="119" t="n">
        <v>525</v>
      </c>
      <c r="G47" s="120">
        <f>E47*F47</f>
        <v/>
      </c>
      <c r="H47" s="121">
        <f>Okinawa_Navy_ACF</f>
        <v/>
      </c>
      <c r="I47" s="121">
        <f>SIOH</f>
        <v/>
      </c>
      <c r="J47" s="122">
        <f>G47*H47*I47*Contingency*Esc_Factor*PD_Factor*HF</f>
        <v/>
      </c>
    </row>
    <row r="48" ht="21.75" customHeight="1" s="69">
      <c r="B48" s="108" t="inlineStr">
        <is>
          <t>143 46</t>
        </is>
      </c>
      <c r="C48" s="106">
        <f>IFERROR(VLOOKUP(B48,CCN_TABLE,2,FALSE()),"")</f>
        <v/>
      </c>
      <c r="D48" s="105">
        <f>IFERROR(VLOOKUP(B48,CCN_TABLE,3,FALSE()),"")</f>
        <v/>
      </c>
      <c r="E48" s="102">
        <f>MAX(Inventory!I12*-1,0)</f>
        <v/>
      </c>
      <c r="F48" s="119" t="n">
        <v>380</v>
      </c>
      <c r="G48" s="120">
        <f>E48*F48</f>
        <v/>
      </c>
      <c r="H48" s="121">
        <f>Okinawa_Navy_ACF</f>
        <v/>
      </c>
      <c r="I48" s="121">
        <f>SIOH</f>
        <v/>
      </c>
      <c r="J48" s="122">
        <f>G48*H48*I48*Contingency*Esc_Factor*PD_Factor*HF</f>
        <v/>
      </c>
    </row>
    <row r="49" ht="21.75" customHeight="1" s="69">
      <c r="B49" s="108" t="inlineStr">
        <is>
          <t>171 10</t>
        </is>
      </c>
      <c r="C49" s="106">
        <f>IFERROR(VLOOKUP(B49,CCN_TABLE,2,FALSE()),"")</f>
        <v/>
      </c>
      <c r="D49" s="105">
        <f>IFERROR(VLOOKUP(B49,CCN_TABLE,3,FALSE()),"")</f>
        <v/>
      </c>
      <c r="E49" s="102">
        <f>MAX(Inventory!I13*-1,0)</f>
        <v/>
      </c>
      <c r="F49" s="119" t="n">
        <v>510</v>
      </c>
      <c r="G49" s="120">
        <f>E49*F49</f>
        <v/>
      </c>
      <c r="H49" s="121">
        <f>Okinawa_Navy_ACF</f>
        <v/>
      </c>
      <c r="I49" s="121">
        <f>SIOH</f>
        <v/>
      </c>
      <c r="J49" s="122">
        <f>G49*H49*I49*Contingency*Esc_Factor*PD_Factor*HF</f>
        <v/>
      </c>
    </row>
    <row r="50" ht="21.75" customHeight="1" s="69">
      <c r="B50" s="108" t="inlineStr">
        <is>
          <t>171 20</t>
        </is>
      </c>
      <c r="C50" s="106">
        <f>IFERROR(VLOOKUP(B50,CCN_TABLE,2,FALSE()),"")</f>
        <v/>
      </c>
      <c r="D50" s="105">
        <f>IFERROR(VLOOKUP(B50,CCN_TABLE,3,FALSE()),"")</f>
        <v/>
      </c>
      <c r="E50" s="102">
        <f>MAX(Inventory!I14*-1,0)</f>
        <v/>
      </c>
      <c r="F50" s="119" t="n">
        <v>525</v>
      </c>
      <c r="G50" s="120">
        <f>E50*F50</f>
        <v/>
      </c>
      <c r="H50" s="121">
        <f>Okinawa_Navy_ACF</f>
        <v/>
      </c>
      <c r="I50" s="121">
        <f>SIOH</f>
        <v/>
      </c>
      <c r="J50" s="122">
        <f>G50*H50*I50*Contingency*Esc_Factor*PD_Factor*HF</f>
        <v/>
      </c>
    </row>
    <row r="51" ht="21.75" customHeight="1" s="69">
      <c r="B51" s="108" t="inlineStr">
        <is>
          <t>171 50</t>
        </is>
      </c>
      <c r="C51" s="106">
        <f>IFERROR(VLOOKUP(B51,CCN_TABLE,2,FALSE()),"")</f>
        <v/>
      </c>
      <c r="D51" s="105">
        <f>IFERROR(VLOOKUP(B51,CCN_TABLE,3,FALSE()),"")</f>
        <v/>
      </c>
      <c r="E51" s="102">
        <f>MAX(Inventory!I15*-1,0)</f>
        <v/>
      </c>
      <c r="F51" s="119" t="n">
        <v>700</v>
      </c>
      <c r="G51" s="120">
        <f>E51*F51</f>
        <v/>
      </c>
      <c r="H51" s="121">
        <f>Okinawa_Navy_ACF</f>
        <v/>
      </c>
      <c r="I51" s="121">
        <f>SIOH</f>
        <v/>
      </c>
      <c r="J51" s="122">
        <f>G51*H51*I51*Contingency*Esc_Factor*PD_Factor*HF</f>
        <v/>
      </c>
    </row>
    <row r="52" ht="21.75" customHeight="1" s="69">
      <c r="B52" s="108" t="inlineStr">
        <is>
          <t>173 10</t>
        </is>
      </c>
      <c r="C52" s="106">
        <f>IFERROR(VLOOKUP(B52,CCN_TABLE,2,FALSE()),"")</f>
        <v/>
      </c>
      <c r="D52" s="105">
        <f>IFERROR(VLOOKUP(B52,CCN_TABLE,3,FALSE()),"")</f>
        <v/>
      </c>
      <c r="E52" s="102">
        <f>MAX(Inventory!I16*-1,0)</f>
        <v/>
      </c>
      <c r="F52" s="119" t="n">
        <v>425</v>
      </c>
      <c r="G52" s="120">
        <f>E52*F52</f>
        <v/>
      </c>
      <c r="H52" s="121">
        <f>Okinawa_Navy_ACF</f>
        <v/>
      </c>
      <c r="I52" s="121">
        <f>SIOH</f>
        <v/>
      </c>
      <c r="J52" s="122">
        <f>G52*H52*I52*Contingency*Esc_Factor*PD_Factor*HF</f>
        <v/>
      </c>
    </row>
    <row r="53" ht="21.75" customHeight="1" s="69">
      <c r="B53" s="108" t="inlineStr">
        <is>
          <t>173 11</t>
        </is>
      </c>
      <c r="C53" s="106">
        <f>IFERROR(VLOOKUP(B53,CCN_TABLE,2,FALSE()),"")</f>
        <v/>
      </c>
      <c r="D53" s="105">
        <f>IFERROR(VLOOKUP(B53,CCN_TABLE,3,FALSE()),"")</f>
        <v/>
      </c>
      <c r="E53" s="102">
        <f>MAX(Inventory!I17*-1,0)</f>
        <v/>
      </c>
      <c r="F53" s="119" t="n">
        <v>425</v>
      </c>
      <c r="G53" s="120">
        <f>E53*F53</f>
        <v/>
      </c>
      <c r="H53" s="121">
        <f>Okinawa_Navy_ACF</f>
        <v/>
      </c>
      <c r="I53" s="121">
        <f>SIOH</f>
        <v/>
      </c>
      <c r="J53" s="122">
        <f>G53*H53*I53*Contingency*Esc_Factor*PD_Factor*HF</f>
        <v/>
      </c>
    </row>
    <row r="54" ht="21.75" customHeight="1" s="69">
      <c r="B54" s="108" t="inlineStr">
        <is>
          <t>179 60</t>
        </is>
      </c>
      <c r="C54" s="106">
        <f>IFERROR(VLOOKUP(B54,CCN_TABLE,2,FALSE()),"")</f>
        <v/>
      </c>
      <c r="D54" s="105">
        <f>IFERROR(VLOOKUP(B54,CCN_TABLE,3,FALSE()),"")</f>
        <v/>
      </c>
      <c r="E54" s="102">
        <f>MAX(Inventory!I18*-1,0)</f>
        <v/>
      </c>
      <c r="F54" s="119" t="n">
        <v>5500</v>
      </c>
      <c r="G54" s="120">
        <f>E54*F54</f>
        <v/>
      </c>
      <c r="H54" s="121">
        <f>Okinawa_Navy_ACF</f>
        <v/>
      </c>
      <c r="I54" s="121">
        <f>SIOH</f>
        <v/>
      </c>
      <c r="J54" s="122">
        <f>G54*H54*I54*Contingency*Esc_Factor*PD_Factor*HF</f>
        <v/>
      </c>
    </row>
    <row r="55" ht="21.75" customHeight="1" s="69">
      <c r="B55" s="108" t="inlineStr">
        <is>
          <t>179 91</t>
        </is>
      </c>
      <c r="C55" s="106">
        <f>IFERROR(VLOOKUP(B55,CCN_TABLE,2,FALSE()),"")</f>
        <v/>
      </c>
      <c r="D55" s="105">
        <f>IFERROR(VLOOKUP(B55,CCN_TABLE,3,FALSE()),"")</f>
        <v/>
      </c>
      <c r="E55" s="102">
        <f>MAX(Inventory!I19*-1,0)</f>
        <v/>
      </c>
      <c r="F55" s="119" t="n">
        <v>250000</v>
      </c>
      <c r="G55" s="120">
        <f>E55*F55</f>
        <v/>
      </c>
      <c r="H55" s="121">
        <f>Okinawa_Navy_ACF</f>
        <v/>
      </c>
      <c r="I55" s="121">
        <f>SIOH</f>
        <v/>
      </c>
      <c r="J55" s="122">
        <f>G55*H55*I55*Contingency*Esc_Factor*PD_Factor*HF</f>
        <v/>
      </c>
    </row>
    <row r="56" ht="21.75" customHeight="1" s="69">
      <c r="B56" s="108" t="inlineStr">
        <is>
          <t>179 92</t>
        </is>
      </c>
      <c r="C56" s="106">
        <f>IFERROR(VLOOKUP(B56,CCN_TABLE,2,FALSE()),"")</f>
        <v/>
      </c>
      <c r="D56" s="105">
        <f>IFERROR(VLOOKUP(B56,CCN_TABLE,3,FALSE()),"")</f>
        <v/>
      </c>
      <c r="E56" s="102">
        <f>MAX(Inventory!I20*-1,0)</f>
        <v/>
      </c>
      <c r="F56" s="119" t="n">
        <v>175000</v>
      </c>
      <c r="G56" s="120">
        <f>E56*F56</f>
        <v/>
      </c>
      <c r="H56" s="121">
        <f>Okinawa_Navy_ACF</f>
        <v/>
      </c>
      <c r="I56" s="121">
        <f>SIOH</f>
        <v/>
      </c>
      <c r="J56" s="122">
        <f>G56*H56*I56*Contingency*Esc_Factor*PD_Factor*HF</f>
        <v/>
      </c>
    </row>
    <row r="57" ht="15" customHeight="1" s="69">
      <c r="B57" s="103" t="inlineStr">
        <is>
          <t>PROGRAM TOTAL</t>
        </is>
      </c>
      <c r="C57" s="75" t="n"/>
      <c r="D57" s="75" t="n"/>
      <c r="E57" s="75" t="n"/>
      <c r="F57" s="75" t="n"/>
      <c r="G57" s="75" t="n"/>
      <c r="H57" s="75" t="n"/>
      <c r="I57" s="96" t="n"/>
      <c r="J57" s="122">
        <f>SUM(J43:J56)</f>
        <v/>
      </c>
    </row>
    <row r="60" ht="21.75" customHeight="1" s="69">
      <c r="B60" s="72" t="inlineStr">
        <is>
          <t>Mission Justification &amp; Narrative</t>
        </is>
      </c>
    </row>
    <row r="61" ht="15" customHeight="1" s="69">
      <c r="B61" s="123">
        <f>("This Basic Facility Requirement supports "&amp;TENANT_UNIT&amp;" at "&amp;INSTALLATION&amp;" under MCIPAC. Total personnel loading is "&amp;TEXT(PN_TOTAL,"#,##0")&amp;" PN ("&amp;TEXT(PN_MIL,"#,##0")&amp;" military). Requirements are computed in accordance with FC 2-000-05N Series 100. Existing assets per iNFADS have been compared against the required allowance to identify deficits; programmed cost reflects the Okinawa MILCON Area Cost Factor of "&amp;TEXT(Okinawa_Navy_ACF,"0.00")&amp;" per UFS 3-701-01 Table 4-1. ATFP (UFC 4-010-01), seismic design (Okinawa moderate seismic / typhoon Vult ≈ 170 mph), and host-nation siting requirements have been reviewed in the Okinawa_Adj checklist.")</f>
        <v/>
      </c>
      <c r="C61" s="124" t="n"/>
      <c r="D61" s="124" t="n"/>
      <c r="E61" s="124" t="n"/>
      <c r="F61" s="124" t="n"/>
      <c r="G61" s="124" t="n"/>
      <c r="H61" s="124" t="n"/>
      <c r="I61" s="124" t="n"/>
    </row>
    <row r="62" ht="15" customHeight="1" s="69">
      <c r="B62" s="125" t="n"/>
    </row>
    <row r="63" ht="15" customHeight="1" s="69">
      <c r="B63" s="125" t="n"/>
    </row>
    <row r="64" ht="15" customHeight="1" s="69">
      <c r="B64" s="125" t="n"/>
    </row>
    <row r="65" ht="15" customHeight="1" s="69">
      <c r="B65" s="125" t="n"/>
    </row>
    <row r="66" ht="15" customHeight="1" s="69">
      <c r="B66" s="125" t="n"/>
    </row>
    <row r="67" ht="15" customHeight="1" s="69">
      <c r="B67" s="125" t="n"/>
    </row>
    <row r="68" ht="15" customHeight="1" s="69">
      <c r="B68" s="125" t="n"/>
    </row>
    <row r="70" ht="21.75" customHeight="1" s="69">
      <c r="B70" s="72" t="inlineStr">
        <is>
          <t>Endorsements</t>
        </is>
      </c>
    </row>
    <row r="71" ht="27.75" customHeight="1" s="69">
      <c r="B71" s="100" t="inlineStr">
        <is>
          <t>Role</t>
        </is>
      </c>
      <c r="C71" s="100" t="inlineStr">
        <is>
          <t>Name</t>
        </is>
      </c>
      <c r="D71" s="75" t="n"/>
      <c r="E71" s="96" t="n"/>
      <c r="F71" s="100" t="inlineStr">
        <is>
          <t>Signature</t>
        </is>
      </c>
      <c r="G71" s="75" t="n"/>
      <c r="H71" s="96" t="n"/>
      <c r="I71" s="100" t="inlineStr">
        <is>
          <t>Date</t>
        </is>
      </c>
    </row>
    <row r="72" ht="27.75" customHeight="1" s="69">
      <c r="B72" s="73" t="inlineStr">
        <is>
          <t>Tenant Unit CO / OIC</t>
        </is>
      </c>
      <c r="C72" s="91" t="n"/>
      <c r="D72" s="75" t="n"/>
      <c r="E72" s="96" t="n"/>
      <c r="F72" s="91" t="n"/>
      <c r="G72" s="75" t="n"/>
      <c r="H72" s="96" t="n"/>
      <c r="I72" s="91" t="n"/>
    </row>
    <row r="73" ht="27.75" customHeight="1" s="69">
      <c r="B73" s="73" t="inlineStr">
        <is>
          <t>MCIPAC G-F (Facilities)</t>
        </is>
      </c>
      <c r="C73" s="91" t="n"/>
      <c r="D73" s="75" t="n"/>
      <c r="E73" s="96" t="n"/>
      <c r="F73" s="91" t="n"/>
      <c r="G73" s="75" t="n"/>
      <c r="H73" s="96" t="n"/>
      <c r="I73" s="91" t="n"/>
    </row>
    <row r="74" ht="27.75" customHeight="1" s="69">
      <c r="B74" s="73" t="inlineStr">
        <is>
          <t>MCIPAC Region (Validation)</t>
        </is>
      </c>
      <c r="C74" s="91" t="n"/>
      <c r="D74" s="75" t="n"/>
      <c r="E74" s="96" t="n"/>
      <c r="F74" s="91" t="n"/>
      <c r="G74" s="75" t="n"/>
      <c r="H74" s="96" t="n"/>
      <c r="I74" s="91" t="n"/>
    </row>
    <row r="75" ht="27.75" customHeight="1" s="69">
      <c r="B75" s="73" t="inlineStr">
        <is>
          <t>ADC I&amp;L (LF) / COMMCICOM (Variance only)</t>
        </is>
      </c>
      <c r="C75" s="91" t="n"/>
      <c r="D75" s="75" t="n"/>
      <c r="E75" s="96" t="n"/>
      <c r="F75" s="91" t="n"/>
      <c r="G75" s="75" t="n"/>
      <c r="H75" s="96" t="n"/>
      <c r="I75" s="91" t="n"/>
    </row>
  </sheetData>
  <mergeCells count="36">
    <mergeCell ref="C20:E20"/>
    <mergeCell ref="G19:I19"/>
    <mergeCell ref="C75:E75"/>
    <mergeCell ref="C8:I8"/>
    <mergeCell ref="B3:I3"/>
    <mergeCell ref="G18:I18"/>
    <mergeCell ref="F75:H75"/>
    <mergeCell ref="C7:I7"/>
    <mergeCell ref="B61:I68"/>
    <mergeCell ref="B70:I70"/>
    <mergeCell ref="C13:I13"/>
    <mergeCell ref="F72:H72"/>
    <mergeCell ref="C71:E71"/>
    <mergeCell ref="B2:I2"/>
    <mergeCell ref="F71:H71"/>
    <mergeCell ref="C6:I6"/>
    <mergeCell ref="G20:I20"/>
    <mergeCell ref="B60:I60"/>
    <mergeCell ref="C15:I15"/>
    <mergeCell ref="B23:I23"/>
    <mergeCell ref="B57:I57"/>
    <mergeCell ref="B17:I17"/>
    <mergeCell ref="C14:I14"/>
    <mergeCell ref="C72:E72"/>
    <mergeCell ref="C19:E19"/>
    <mergeCell ref="C18:E18"/>
    <mergeCell ref="F73:H73"/>
    <mergeCell ref="C10:I10"/>
    <mergeCell ref="C9:I9"/>
    <mergeCell ref="C74:E74"/>
    <mergeCell ref="C73:E73"/>
    <mergeCell ref="C12:I12"/>
    <mergeCell ref="B5:I5"/>
    <mergeCell ref="F74:H74"/>
    <mergeCell ref="B41:I41"/>
    <mergeCell ref="C11:I11"/>
  </mergeCells>
  <printOptions horizontalCentered="1"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2:I1065"/>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1" zeroHeight="0" outlineLevelRow="0"/>
  <cols>
    <col width="3" customWidth="1" style="68" min="1" max="2"/>
    <col width="10" customWidth="1" style="68" min="3" max="3"/>
    <col width="42" customWidth="1" style="68" min="4" max="4"/>
    <col width="8" customWidth="1" style="68" min="5" max="5"/>
    <col width="18" customWidth="1" style="68" min="6" max="6"/>
    <col width="50" customWidth="1" style="68" min="7" max="7"/>
    <col width="12" customWidth="1" style="68" min="8" max="8"/>
    <col width="40" customWidth="1" style="68" min="9" max="9"/>
  </cols>
  <sheetData>
    <row r="1" ht="7.5" customHeight="1" s="69"/>
    <row r="2" ht="30" customHeight="1" s="69">
      <c r="B2" s="70" t="inlineStr">
        <is>
          <t>Series 100 Category Code Library</t>
        </is>
      </c>
    </row>
    <row r="3" ht="18" customHeight="1" s="69">
      <c r="B3" s="71" t="inlineStr">
        <is>
          <t>FC 2-000-05N — Operational and Training Facilities (Marine Corps relevant CCNs).</t>
        </is>
      </c>
    </row>
    <row r="5" ht="15" customHeight="1" s="69">
      <c r="C5" s="107" t="inlineStr">
        <is>
          <t>CCN</t>
        </is>
      </c>
      <c r="D5" s="107" t="inlineStr">
        <is>
          <t>Facility Name</t>
        </is>
      </c>
      <c r="E5" s="107" t="inlineStr">
        <is>
          <t>UM</t>
        </is>
      </c>
      <c r="F5" s="107" t="inlineStr">
        <is>
          <t>Default Factor</t>
        </is>
      </c>
      <c r="G5" s="107" t="inlineStr">
        <is>
          <t>Factor Notes / Formula</t>
        </is>
      </c>
      <c r="H5" s="107" t="inlineStr">
        <is>
          <t>NTG</t>
        </is>
      </c>
      <c r="I5" s="107" t="inlineStr">
        <is>
          <t>Driver Description</t>
        </is>
      </c>
    </row>
    <row r="6" ht="27.75" customHeight="1" s="69">
      <c r="C6" s="137" t="inlineStr">
        <is>
          <t>111 10</t>
        </is>
      </c>
      <c r="D6" s="137" t="inlineStr">
        <is>
          <t>RUNWAY / FW</t>
        </is>
      </c>
      <c r="E6" s="137" t="inlineStr">
        <is>
          <t>SY</t>
        </is>
      </c>
      <c r="F6" s="138" t="n"/>
      <c r="G6" s="137" t="n"/>
      <c r="H6" s="139" t="n"/>
      <c r="I6" s="137" t="inlineStr">
        <is>
          <t>PREPARED SURFACES FOR THE LANDING AND TAKEOFF OF AIRCRAFT.</t>
        </is>
      </c>
    </row>
    <row r="7" ht="27.75" customHeight="1" s="69">
      <c r="C7" s="140" t="inlineStr">
        <is>
          <t>111 12</t>
        </is>
      </c>
      <c r="D7" s="140" t="inlineStr">
        <is>
          <t>RUNWAY/FIXED- WING-UNSURFAC</t>
        </is>
      </c>
      <c r="E7" s="140" t="inlineStr">
        <is>
          <t>SY</t>
        </is>
      </c>
      <c r="F7" s="140" t="n"/>
      <c r="G7" s="140" t="n"/>
      <c r="H7" s="141" t="n"/>
      <c r="I7" s="140" t="inlineStr">
        <is>
          <t>RUNWAYS FOR ROTARY WING AIRCRAFT THAT DO NOT CONSIST OF A PAVEMENT OR HARDSTAND SURFACE.</t>
        </is>
      </c>
    </row>
    <row r="8" ht="27.75" customHeight="1" s="69">
      <c r="C8" s="137" t="inlineStr">
        <is>
          <t>111 15</t>
        </is>
      </c>
      <c r="D8" s="137" t="inlineStr">
        <is>
          <t>RUNWAY / ROTARY WING</t>
        </is>
      </c>
      <c r="E8" s="137" t="inlineStr">
        <is>
          <t>SY</t>
        </is>
      </c>
      <c r="F8" s="137" t="n"/>
      <c r="G8" s="137" t="n"/>
      <c r="H8" s="139" t="n"/>
      <c r="I8" s="137" t="inlineStr">
        <is>
          <t>PREPARED SURFACES FOR THE LANDING AND TAKEOFF OF HELICOPTERS.</t>
        </is>
      </c>
    </row>
    <row r="9" ht="27.75" customHeight="1" s="69">
      <c r="C9" s="140" t="inlineStr">
        <is>
          <t>111 20</t>
        </is>
      </c>
      <c r="D9" s="140" t="inlineStr">
        <is>
          <t>HELICOPTER LANDING PAD</t>
        </is>
      </c>
      <c r="E9" s="140" t="inlineStr">
        <is>
          <t>SY</t>
        </is>
      </c>
      <c r="F9" s="140" t="n"/>
      <c r="G9" s="140" t="n"/>
      <c r="H9" s="141" t="n"/>
      <c r="I9" s="140" t="inlineStr">
        <is>
          <t>PREPARED AREA FOR THE HOVERING, VERTICAL TAKEOFF AND LANDING (VTOL) OF HELICOPTERS AND OTHER VTOL AIRCRAFT.</t>
        </is>
      </c>
    </row>
    <row r="10" ht="27.75" customHeight="1" s="69">
      <c r="C10" s="137" t="inlineStr">
        <is>
          <t>111 25</t>
        </is>
      </c>
      <c r="D10" s="137" t="inlineStr">
        <is>
          <t>FW A/C (VTOL) LANDING PAD</t>
        </is>
      </c>
      <c r="E10" s="137" t="inlineStr">
        <is>
          <t>SY</t>
        </is>
      </c>
      <c r="F10" s="137" t="n"/>
      <c r="G10" s="137" t="n"/>
      <c r="H10" s="139" t="n"/>
      <c r="I10" s="137" t="inlineStr">
        <is>
          <t>A LANDING/TAKEOFF PAD FOR VTOL AIRCRAFT SUCH AS THE HARRIER AND JOINT STRIKE FIGHTER.</t>
        </is>
      </c>
    </row>
    <row r="11" ht="27.75" customHeight="1" s="69">
      <c r="C11" s="140" t="inlineStr">
        <is>
          <t>111 30</t>
        </is>
      </c>
      <c r="D11" s="140" t="inlineStr">
        <is>
          <t>RUNWAY OVERRUN - PAVED</t>
        </is>
      </c>
      <c r="E11" s="140" t="inlineStr">
        <is>
          <t>SY</t>
        </is>
      </c>
      <c r="F11" s="142" t="n"/>
      <c r="G11" s="140" t="n"/>
      <c r="H11" s="141" t="n"/>
      <c r="I11" s="140" t="inlineStr">
        <is>
          <t>AREAS EXTENDING AT EACH END OF A RUNWAY. THE RUNWAY OVERRUN AREAS ARE REQUIRED TO REDUCE SERIOUS DAMAGE TO AN AIRCRAFT IN THE EVENT THAT THE AIRCRAFT RUNS OFF OF THE RUNWAY END DURING TAKEOFF OR LANDING.</t>
        </is>
      </c>
    </row>
    <row r="12" ht="27.75" customHeight="1" s="69">
      <c r="C12" s="137" t="inlineStr">
        <is>
          <t>112 10</t>
        </is>
      </c>
      <c r="D12" s="137" t="inlineStr">
        <is>
          <t>TAXIWAY</t>
        </is>
      </c>
      <c r="E12" s="137" t="inlineStr">
        <is>
          <t>SY</t>
        </is>
      </c>
      <c r="F12" s="137" t="n"/>
      <c r="G12" s="137" t="n"/>
      <c r="H12" s="139" t="n"/>
      <c r="I12" s="137" t="inlineStr">
        <is>
          <t>TAXIWAYS ARE PAVED SURFACES ON WHICH AIRCRAFT, BOTH FIXED AND ROTARY WING, MOVE UNDER THEIR OWN POWER TO AND FROM LANDING, SERVICE AND PARKING AREAS.</t>
        </is>
      </c>
    </row>
    <row r="13" ht="27.75" customHeight="1" s="69">
      <c r="C13" s="140" t="inlineStr">
        <is>
          <t>113 20</t>
        </is>
      </c>
      <c r="D13" s="140" t="inlineStr">
        <is>
          <t>AIRCRAFT PARKING APRON</t>
        </is>
      </c>
      <c r="E13" s="140" t="inlineStr">
        <is>
          <t>SY</t>
        </is>
      </c>
      <c r="F13" s="140" t="n"/>
      <c r="G13" s="140" t="n"/>
      <c r="H13" s="141" t="n"/>
      <c r="I13" s="140" t="inlineStr">
        <is>
          <t>PARKING APRONS ARE REQUIRED FOR LOADING, UNLOADING AND SERVICING OF AIRCRAFT AND PROVIDING PARKING SPACE.</t>
        </is>
      </c>
    </row>
    <row r="14" ht="27.75" customHeight="1" s="69">
      <c r="C14" s="137" t="inlineStr">
        <is>
          <t>113 40</t>
        </is>
      </c>
      <c r="D14" s="137" t="inlineStr">
        <is>
          <t>AIRCRAFT ACCESS APRON</t>
        </is>
      </c>
      <c r="E14" s="137" t="inlineStr">
        <is>
          <t>SY</t>
        </is>
      </c>
      <c r="F14" s="137" t="n"/>
      <c r="G14" s="137" t="n"/>
      <c r="H14" s="139" t="n"/>
      <c r="I14" s="137" t="inlineStr">
        <is>
          <t>AIRCRAFT ACCESS APRONS PROVIDE ACCESS TO AIRCRAFT MAINTENANCE HANGARS FROM THE AIRCRAFT PARKING APRON.</t>
        </is>
      </c>
    </row>
    <row r="15" ht="27.75" customHeight="1" s="69">
      <c r="C15" s="140" t="inlineStr">
        <is>
          <t>116 10</t>
        </is>
      </c>
      <c r="D15" s="140" t="inlineStr">
        <is>
          <t>AIRCRAFT WASHRACK PAVEMENT</t>
        </is>
      </c>
      <c r="E15" s="140" t="inlineStr">
        <is>
          <t>SY</t>
        </is>
      </c>
      <c r="F15" s="140" t="n"/>
      <c r="G15" s="140" t="n"/>
      <c r="H15" s="141" t="n"/>
      <c r="I15" s="140" t="inlineStr">
        <is>
          <t>AIRCRAFT WASHRACKS ARE PROVIDED AT ALL AIR INSTALLATIONS FOR CLEANING OF AIRCRAFT.</t>
        </is>
      </c>
    </row>
    <row r="16" ht="27.75" customHeight="1" s="69">
      <c r="C16" s="137" t="inlineStr">
        <is>
          <t>116 12</t>
        </is>
      </c>
      <c r="D16" s="137" t="inlineStr">
        <is>
          <t>AIRCRAFT PAVEMENT SHOULDER</t>
        </is>
      </c>
      <c r="E16" s="137" t="inlineStr">
        <is>
          <t>SY</t>
        </is>
      </c>
      <c r="F16" s="138" t="n"/>
      <c r="G16" s="137" t="n"/>
      <c r="H16" s="139" t="n"/>
      <c r="I16" s="137" t="inlineStr">
        <is>
          <t>THE AREA EXTENDING LATERALLY FROM THE EDGE OF THE RUNWAY PAVEMENT.</t>
        </is>
      </c>
    </row>
    <row r="17" ht="27.75" customHeight="1" s="69">
      <c r="C17" s="140" t="inlineStr">
        <is>
          <t>116 15</t>
        </is>
      </c>
      <c r="D17" s="140" t="inlineStr">
        <is>
          <t>AIRCRAFT RINSE FACILITY</t>
        </is>
      </c>
      <c r="E17" s="140" t="inlineStr">
        <is>
          <t>SY</t>
        </is>
      </c>
      <c r="F17" s="140" t="n"/>
      <c r="G17" s="140" t="n"/>
      <c r="H17" s="141" t="n"/>
      <c r="I17" s="140" t="inlineStr">
        <is>
          <t>AN AIRCRAFT RINSE FACILITY PROVIDES AN UNATTENDED TAXI- THROUGH, TREADLE OPERATED, FRESHWATER DELUGE SYSTEM TO RINSE AIRCRAFT.</t>
        </is>
      </c>
    </row>
    <row r="18" ht="27.75" customHeight="1" s="69">
      <c r="C18" s="137" t="inlineStr">
        <is>
          <t>116 20</t>
        </is>
      </c>
      <c r="D18" s="137" t="inlineStr">
        <is>
          <t>ACFT COMPASS CALIBRATE PAD</t>
        </is>
      </c>
      <c r="E18" s="137" t="inlineStr">
        <is>
          <t>SY</t>
        </is>
      </c>
      <c r="F18" s="138" t="n"/>
      <c r="G18" s="137" t="n"/>
      <c r="H18" s="139" t="n"/>
      <c r="I18" s="137" t="inlineStr">
        <is>
          <t>A PAVED AREA IN A MAGNETICALLY QUIET ZONE WHERE THE COMPASS IN THE AIRCRAFT IS CALIBRATED.</t>
        </is>
      </c>
    </row>
    <row r="19" ht="27.75" customHeight="1" s="69">
      <c r="C19" s="140" t="inlineStr">
        <is>
          <t>116 35</t>
        </is>
      </c>
      <c r="D19" s="140" t="inlineStr">
        <is>
          <t>ARMING &amp; DE- ARMING PAD</t>
        </is>
      </c>
      <c r="E19" s="140" t="inlineStr">
        <is>
          <t>SY</t>
        </is>
      </c>
      <c r="F19" s="140" t="n"/>
      <c r="G19" s="140" t="n"/>
      <c r="H19" s="141" t="n"/>
      <c r="I19" s="140" t="inlineStr">
        <is>
          <t>A PAVED AREA FOR ACTIVATING OR DEACTIVATING WEAPONS SYSTEMS ON- BOARD AIRCRAFT.</t>
        </is>
      </c>
    </row>
    <row r="20" ht="27.75" customHeight="1" s="69">
      <c r="C20" s="137" t="inlineStr">
        <is>
          <t>116 40</t>
        </is>
      </c>
      <c r="D20" s="137" t="inlineStr">
        <is>
          <t>PREC APPR RADAR PAD</t>
        </is>
      </c>
      <c r="E20" s="137" t="inlineStr">
        <is>
          <t>SY</t>
        </is>
      </c>
      <c r="F20" s="137" t="n"/>
      <c r="G20" s="137" t="n"/>
      <c r="H20" s="139" t="n"/>
      <c r="I20" s="137" t="inlineStr">
        <is>
          <t>PRECISION APPROACH RADAR (PAR) PAD IS A PAVED HARDSTAND PROVIDED TO SUPPORT THE PAR EQUIPMENT IN OPERATING POSITION.</t>
        </is>
      </c>
    </row>
    <row r="21" ht="27.75" customHeight="1" s="69">
      <c r="C21" s="140" t="inlineStr">
        <is>
          <t>116 42</t>
        </is>
      </c>
      <c r="D21" s="140" t="inlineStr">
        <is>
          <t>BLAST PROTECTIVE PAVEMENT</t>
        </is>
      </c>
      <c r="E21" s="140" t="inlineStr">
        <is>
          <t>SY</t>
        </is>
      </c>
      <c r="F21" s="140" t="n"/>
      <c r="G21" s="140" t="n"/>
      <c r="H21" s="141" t="n"/>
      <c r="I21" s="140" t="inlineStr">
        <is>
          <t>BLAST PROTECTIVE PAVEMENT IS PROVIDED ADJACENT TO THE RUNWAY THRESHOLD AND END TURNOFF FOR JET RUNWAYS TO PROTECT PAVEMENT FROM DAMAGE DUE TO JET BLAST.</t>
        </is>
      </c>
    </row>
    <row r="22" ht="27.75" customHeight="1" s="69">
      <c r="C22" s="137" t="inlineStr">
        <is>
          <t>116 45</t>
        </is>
      </c>
      <c r="D22" s="137" t="inlineStr">
        <is>
          <t>LINE VEHICLE PARKING</t>
        </is>
      </c>
      <c r="E22" s="137" t="inlineStr">
        <is>
          <t>SY</t>
        </is>
      </c>
      <c r="F22" s="137" t="n"/>
      <c r="G22" s="137" t="n"/>
      <c r="H22" s="139" t="n"/>
      <c r="I22" s="137" t="inlineStr">
        <is>
          <t>LINE VEHICLE PARKING SPACES CONTIGUOUS TO TAXIWAY AND PARKING APRONS ARE ALLOCATED FOR GROUND SUPPORT EQUIPMENT ASSIGNED FOR FLIGHT LINE USE.</t>
        </is>
      </c>
    </row>
    <row r="23" ht="27.75" customHeight="1" s="69">
      <c r="C23" s="140" t="inlineStr">
        <is>
          <t>116 50</t>
        </is>
      </c>
      <c r="D23" s="140" t="inlineStr">
        <is>
          <t>TOWWAY</t>
        </is>
      </c>
      <c r="E23" s="140" t="inlineStr">
        <is>
          <t>SY</t>
        </is>
      </c>
      <c r="F23" s="142" t="n"/>
      <c r="G23" s="140" t="n"/>
      <c r="H23" s="141" t="n"/>
      <c r="I23" s="140" t="inlineStr">
        <is>
          <t>A TOWWAY IS A PAVED ROADWAY USED FOR TOWING FIXED OR ROTARY WING AIRCRAFT.</t>
        </is>
      </c>
    </row>
    <row r="24" ht="27.75" customHeight="1" s="69">
      <c r="C24" s="137" t="inlineStr">
        <is>
          <t>116 55</t>
        </is>
      </c>
      <c r="D24" s="137" t="inlineStr">
        <is>
          <t>ORDNANCE HANDLING PAD</t>
        </is>
      </c>
      <c r="E24" s="137" t="inlineStr">
        <is>
          <t>SY</t>
        </is>
      </c>
      <c r="F24" s="138" t="n"/>
      <c r="G24" s="137" t="n"/>
      <c r="H24" s="139" t="n"/>
      <c r="I24" s="137" t="inlineStr">
        <is>
          <t>AN ORDNANCE HANDLING PAD IS PROVIDED FOR AIR INSTALLATIONS WHERE THERE IS A REQUIREMENT FOR LOADING OR OFF-LOADING EXPLOSIVES FROM CARGO AIRCRAFT.</t>
        </is>
      </c>
    </row>
    <row r="25" ht="27.75" customHeight="1" s="69">
      <c r="C25" s="140" t="inlineStr">
        <is>
          <t>116 56</t>
        </is>
      </c>
      <c r="D25" s="140" t="inlineStr">
        <is>
          <t>CMBT A/C LOADING AREA</t>
        </is>
      </c>
      <c r="E25" s="140" t="inlineStr">
        <is>
          <t>SY</t>
        </is>
      </c>
      <c r="F25" s="140" t="n"/>
      <c r="G25" s="140" t="n"/>
      <c r="H25" s="141" t="n"/>
      <c r="I25" s="140" t="inlineStr">
        <is>
          <t>A COMBAT AIRCRAFT LOADING AREA (CALA) IS PRIMARILY AN APRON WHERE EXPLOSIVES ARE LOADED/OFF-LOADED FROM COMBAT AIRCRAFT DEPARTING AND/OR RETURNING FROM WEAPONS TRAINING FLIGHTS.</t>
        </is>
      </c>
    </row>
    <row r="26" ht="27.75" customHeight="1" s="69">
      <c r="C26" s="137" t="inlineStr">
        <is>
          <t>116 60</t>
        </is>
      </c>
      <c r="D26" s="137" t="inlineStr">
        <is>
          <t>FIRE / RESCUE VEHICLE PAD</t>
        </is>
      </c>
      <c r="E26" s="137" t="inlineStr">
        <is>
          <t>SY</t>
        </is>
      </c>
      <c r="F26" s="137" t="n"/>
      <c r="G26" s="137" t="n"/>
      <c r="H26" s="139" t="n"/>
      <c r="I26" s="137" t="inlineStr">
        <is>
          <t>THIS FACILITY PROVIDES A PARKING AREA FOR IMMEDIATE RESPONSE ALERT VEHICLE.</t>
        </is>
      </c>
    </row>
    <row r="27" ht="27.75" customHeight="1" s="69">
      <c r="C27" s="140" t="inlineStr">
        <is>
          <t>116 65</t>
        </is>
      </c>
      <c r="D27" s="140" t="inlineStr">
        <is>
          <t>TACTICAL SUPPORT LAYDOWN</t>
        </is>
      </c>
      <c r="E27" s="140" t="inlineStr">
        <is>
          <t>SY</t>
        </is>
      </c>
      <c r="F27" s="142" t="n"/>
      <c r="G27" s="140" t="n"/>
      <c r="H27" s="141" t="n"/>
      <c r="I27" s="140" t="inlineStr">
        <is>
          <t>A CONCRETE PAD FOR THE PARKING OF TACTICAL VEHICLES OR EQUIPMENT.</t>
        </is>
      </c>
    </row>
    <row r="28" ht="27.75" customHeight="1" s="69">
      <c r="C28" s="137" t="inlineStr">
        <is>
          <t>121 10</t>
        </is>
      </c>
      <c r="D28" s="137" t="inlineStr">
        <is>
          <t>ACFT DIRECT FUELING STA</t>
        </is>
      </c>
      <c r="E28" s="137" t="inlineStr">
        <is>
          <t>OL</t>
        </is>
      </c>
      <c r="F28" s="137" t="n"/>
      <c r="G28" s="137" t="n"/>
      <c r="H28" s="139" t="n"/>
      <c r="I28" s="137" t="inlineStr">
        <is>
          <t>AIRCRAFT DIRECT FUELING STATIONS PROVIDE OUTLETS WHERE AIRCRAFT CAN BE FUELED FROM A CLOSED CIRCUIT FUEL SYSTEM AS OPPOSED TO REFUELER TRUCKS.</t>
        </is>
      </c>
    </row>
    <row r="29">
      <c r="C29" s="143" t="inlineStr">
        <is>
          <t>121 20</t>
        </is>
      </c>
      <c r="D29" s="143" t="inlineStr">
        <is>
          <t>ACFT TRUCK FUELING FAC</t>
        </is>
      </c>
      <c r="E29" s="143" t="inlineStr">
        <is>
          <t>OL</t>
        </is>
      </c>
      <c r="F29" s="143" t="n"/>
      <c r="G29" s="143" t="n"/>
      <c r="H29" s="143" t="n"/>
      <c r="I29" s="143" t="inlineStr">
        <is>
          <t>AN AIRCRAFT TRUCK FUELING FACILITY IS USED TO TRANSFER FUEL TO AIRCRAFT REFUELING TRUCKS.</t>
        </is>
      </c>
    </row>
    <row r="30">
      <c r="C30" s="143" t="inlineStr">
        <is>
          <t>121 30</t>
        </is>
      </c>
      <c r="D30" s="143" t="inlineStr">
        <is>
          <t>AIRCRAFT DEFUELNG FACILITY</t>
        </is>
      </c>
      <c r="E30" s="143" t="inlineStr">
        <is>
          <t>OL</t>
        </is>
      </c>
      <c r="F30" s="143" t="n"/>
      <c r="G30" s="143" t="n"/>
      <c r="H30" s="143" t="n"/>
      <c r="I30" s="143" t="inlineStr">
        <is>
          <t>THIS CATEGORY CODE IS FOR DEFUELING AIRCRAFT OF EXCESS OR RESIDUAL FUEL. AIRCRAFT SHALL BE DEFUELED INTO TANK TRUCKS DESIGNATED FOR THAT PURPOSE.</t>
        </is>
      </c>
    </row>
    <row r="31" ht="21.75" customHeight="1" s="69">
      <c r="B31" s="72" t="n"/>
      <c r="C31" s="143" t="inlineStr">
        <is>
          <t>121 50</t>
        </is>
      </c>
      <c r="D31" s="143" t="inlineStr">
        <is>
          <t>ACFT READY FUELS STORAGE</t>
        </is>
      </c>
      <c r="E31" s="143" t="inlineStr">
        <is>
          <t>GA</t>
        </is>
      </c>
      <c r="F31" s="143" t="n"/>
      <c r="G31" s="143" t="n"/>
      <c r="H31" s="143" t="n"/>
      <c r="I31" s="143" t="inlineStr">
        <is>
          <t>AIRCRAFT READY FUEL STORAGE PROVIDES AN OPERATION AND RESERVE SUPPLY OF AVIATION GASOLINE AND JET FUEL.</t>
        </is>
      </c>
    </row>
    <row r="32" ht="41.25" customHeight="1" s="69">
      <c r="C32" s="140" t="inlineStr">
        <is>
          <t>122 10</t>
        </is>
      </c>
      <c r="D32" s="140" t="inlineStr">
        <is>
          <t>MARINE FUELING FACILITY</t>
        </is>
      </c>
      <c r="E32" s="140" t="inlineStr">
        <is>
          <t>OL</t>
        </is>
      </c>
      <c r="F32" s="140" t="n"/>
      <c r="G32" s="143" t="n"/>
      <c r="H32" s="143" t="n"/>
      <c r="I32" s="143" t="inlineStr">
        <is>
          <t>A MARINE FUELING FACILITY IS DESIGNED FOR SMALL VESSELS AND CAPITAL SHIPS AND SHOULD BE ABLE TO REFUEL THE LARGEST SHIP THAT CAN DOCK AT THE STATION¿S WATERFRONT.</t>
        </is>
      </c>
    </row>
    <row r="33" ht="15" customHeight="1" s="69">
      <c r="C33" s="143" t="inlineStr">
        <is>
          <t>122 20</t>
        </is>
      </c>
      <c r="D33" s="143" t="inlineStr">
        <is>
          <t>SMALL CRAFT FUELING STA</t>
        </is>
      </c>
      <c r="E33" s="144" t="inlineStr">
        <is>
          <t>OL</t>
        </is>
      </c>
      <c r="F33" s="144" t="n"/>
      <c r="G33" s="143" t="n"/>
      <c r="H33" s="143" t="n"/>
      <c r="I33" s="143" t="inlineStr">
        <is>
          <t>A SMALL CRAFT FUELING STATION IS USED TO REFUEL SUCH SMALL CRAFT AS CRASH BOATS AND ADMINISTRATIVE BOATS. IT SHALL INCLUDE DISPENSING PEDESTAL-TYPE COMMERCIAL PUMPS, PIPING, TANKS, HOSES, FLOODLIGHTS AND GROUNDING DEVICES, ELECTRICAL POWER, AND FIRE PROTECTION.</t>
        </is>
      </c>
    </row>
    <row r="34" ht="15" customHeight="1" s="69">
      <c r="C34" s="143" t="inlineStr">
        <is>
          <t>122 30</t>
        </is>
      </c>
      <c r="D34" s="143" t="inlineStr">
        <is>
          <t>SM CRAFT READY FUEL STRG</t>
        </is>
      </c>
      <c r="E34" s="144" t="inlineStr">
        <is>
          <t>GA</t>
        </is>
      </c>
      <c r="F34" s="144" t="n"/>
      <c r="G34" s="143" t="n"/>
      <c r="H34" s="143" t="n"/>
      <c r="I34" s="143" t="inlineStr">
        <is>
          <t>A MARINE READY FUEL STORAGE TANK IS THE READY ISSUE OPERATIONAL STORAGE OF A PARTICULAR GRADE OF FUEL FOR SMALL BOATS. (E.G. SMALL TUGS, SECURITY BOATS, REPAIR BARGES AND YARD CRAFT)</t>
        </is>
      </c>
    </row>
    <row r="35" ht="15" customHeight="1" s="69">
      <c r="C35" s="143" t="inlineStr">
        <is>
          <t>123 10</t>
        </is>
      </c>
      <c r="D35" s="143" t="inlineStr">
        <is>
          <t>FILLING STATION</t>
        </is>
      </c>
      <c r="E35" s="144" t="inlineStr">
        <is>
          <t>OL</t>
        </is>
      </c>
      <c r="F35" s="144" t="n"/>
      <c r="G35" s="143" t="n"/>
      <c r="H35" s="143" t="n"/>
      <c r="I35" s="143" t="inlineStr">
        <is>
          <t>A FILLING STATION IS A FUELING FACILITY FOR OFFICIAL VEHICLES AND EQUIPMENT ON NAVY AND MARINE CORPS INSTALLATIONS. THIS CATEGORY CODE APPLIES TO PUMP OUTLETS INCLUDING THE COVERED ISLANDS THAT SUPPORT THE PUMP OUTLETS, THE CONCRETE PARKING AREA, LIGHTING AND THE ACCESS PAVING TO THE PUMPS/ISLANDS.</t>
        </is>
      </c>
    </row>
    <row r="36" ht="15" customHeight="1" s="69">
      <c r="C36" s="143" t="inlineStr">
        <is>
          <t>123 15</t>
        </is>
      </c>
      <c r="D36" s="143" t="inlineStr">
        <is>
          <t>FILLING STATION BUILDING</t>
        </is>
      </c>
      <c r="E36" s="144" t="inlineStr">
        <is>
          <t>SF</t>
        </is>
      </c>
      <c r="F36" s="144" t="n"/>
      <c r="G36" s="143" t="n"/>
      <c r="H36" s="143" t="n"/>
      <c r="I36" s="143" t="inlineStr">
        <is>
          <t>THIS CODE IS USED FOR REPORTING THE ADMINISTRATIVE SHELTER ASSOCIATED WITH A FILLING STATION. IF THE FILLING STATION IS OPERATED BY A PRIVATE ENTITY, THEN USE THE 740-30/31 CATEGORY CODES. WHERE CREDIT CARD SYSTEMS ARE USED AND OPERATORS ARE NOT NEEDED, A SHELTER IS NOT REQUIRED.</t>
        </is>
      </c>
    </row>
    <row r="37" ht="15" customHeight="1" s="69">
      <c r="C37" s="143" t="inlineStr">
        <is>
          <t>123 16</t>
        </is>
      </c>
      <c r="D37" s="143" t="inlineStr">
        <is>
          <t>OVERHEAD COVER, AIRFIELD</t>
        </is>
      </c>
      <c r="E37" s="144" t="inlineStr">
        <is>
          <t>SF</t>
        </is>
      </c>
      <c r="F37" s="144" t="n"/>
      <c r="G37" s="143" t="n"/>
      <c r="H37" s="143" t="n"/>
      <c r="I37" s="143" t="inlineStr">
        <is>
          <t>THIS CATEGORY CODE CAN BE USED FOR OVERHEAD COVERS LOCATED ON THE AIRFIELD (THAT ARE NOT CLASSIFIED AS EQUIPMENT).</t>
        </is>
      </c>
    </row>
    <row r="38" ht="15" customHeight="1" s="69">
      <c r="C38" s="143" t="inlineStr">
        <is>
          <t>123 17</t>
        </is>
      </c>
      <c r="D38" s="143" t="inlineStr">
        <is>
          <t>OVERHEAD COVER, MISC</t>
        </is>
      </c>
      <c r="E38" s="144" t="inlineStr">
        <is>
          <t>SF</t>
        </is>
      </c>
      <c r="F38" s="144" t="n"/>
      <c r="G38" s="143" t="n"/>
      <c r="H38" s="143" t="n"/>
      <c r="I38" s="143" t="inlineStr">
        <is>
          <t>THIS CATEGORY CODE CAN BE USED FOR OVERHEAD COVERS LOCATED AT THE MAIN GATES OF INSTALLATIONS, OVERHEAD COVERS ATOP GAS PUMPS, AND ANY OTHER TIME THAT AN OVERHEAD COVER IS USED.</t>
        </is>
      </c>
    </row>
    <row r="39" ht="15" customHeight="1" s="69">
      <c r="C39" s="143" t="inlineStr">
        <is>
          <t>123 30</t>
        </is>
      </c>
      <c r="D39" s="143" t="inlineStr">
        <is>
          <t>VEH &amp; EQUIP RDY FUEL STOR</t>
        </is>
      </c>
      <c r="E39" s="144" t="inlineStr">
        <is>
          <t>GA</t>
        </is>
      </c>
      <c r="F39" s="144" t="n"/>
      <c r="G39" s="143" t="n"/>
      <c r="H39" s="143" t="n"/>
      <c r="I39" s="143" t="inlineStr">
        <is>
          <t>THIS CODE IS USED FOR REPORTING THE TANK STORAGE REQUIREMENT ASSOCIATED WITH CATEGORY CODE 123 10 AND 740 30, INCLUDING THOSE TANKS IN REMOTE LOCATIONS THAT ARE CONSIDERED REAL PROPERTY.</t>
        </is>
      </c>
    </row>
    <row r="40">
      <c r="C40" s="143" t="inlineStr">
        <is>
          <t>123 40</t>
        </is>
      </c>
      <c r="D40" s="143" t="inlineStr">
        <is>
          <t>ETHANOL RDY FUEL STOR</t>
        </is>
      </c>
      <c r="E40" s="143" t="inlineStr">
        <is>
          <t>GA</t>
        </is>
      </c>
      <c r="F40" s="143" t="n"/>
      <c r="G40" s="143" t="n"/>
      <c r="H40" s="143" t="n"/>
      <c r="I40" s="143" t="inlineStr">
        <is>
          <t>THIS CATEGORY IS FOR ALTERNATIVE FUEL FACILITIES IN SUPPORT OF ETHANOL OPERATION OF VEHICLES.</t>
        </is>
      </c>
    </row>
    <row r="41">
      <c r="C41" s="143" t="inlineStr">
        <is>
          <t>123 50</t>
        </is>
      </c>
      <c r="D41" s="143" t="inlineStr">
        <is>
          <t>BIODIESEL READY FUEL STOR</t>
        </is>
      </c>
      <c r="E41" s="143" t="inlineStr">
        <is>
          <t>GA</t>
        </is>
      </c>
      <c r="F41" s="143" t="n"/>
      <c r="G41" s="143" t="n"/>
      <c r="H41" s="143" t="n"/>
      <c r="I41" s="143" t="inlineStr">
        <is>
          <t>THIS CATEGORY IS FOR ALTERNATIVE FUEL FACILITIES IN SUPPORT OF BIODIESEL OPERATION OF VEHICLES.</t>
        </is>
      </c>
    </row>
    <row r="42">
      <c r="C42" s="143" t="inlineStr">
        <is>
          <t>125 10</t>
        </is>
      </c>
      <c r="D42" s="143" t="inlineStr">
        <is>
          <t>POL PIPELINE MULTI SITES</t>
        </is>
      </c>
      <c r="E42" s="143" t="inlineStr">
        <is>
          <t>LF</t>
        </is>
      </c>
      <c r="F42" s="143" t="n"/>
      <c r="G42" s="143" t="n"/>
      <c r="H42" s="143" t="n"/>
      <c r="I42" s="143" t="inlineStr">
        <is>
          <t>TRANSFER PIPELINES USED FOR THE TRANSFER AND TRANSPORT OF PETROLEUM, OILS, LUBRICANTS AND FUELS BETWEEN SITES.</t>
        </is>
      </c>
    </row>
    <row r="43">
      <c r="C43" s="143" t="inlineStr">
        <is>
          <t>125 16</t>
        </is>
      </c>
      <c r="D43" s="143" t="inlineStr">
        <is>
          <t>POL PIPELINE PUMP STA</t>
        </is>
      </c>
      <c r="E43" s="143" t="inlineStr">
        <is>
          <t>GM</t>
        </is>
      </c>
      <c r="F43" s="143" t="n"/>
      <c r="G43" s="143" t="n"/>
      <c r="H43" s="143" t="n"/>
      <c r="I43" s="143" t="inlineStr">
        <is>
          <t>PUMPING STATIONS AND ANCILLARY EQUIPMENT USED TO MOVE THE FUEL THROUGH THE PIPES. THIS FACILITY MAY ALSO INCLUDE CONTROLS, GAUGES, METER, LIGHTING, FIRE PROTECTION, AND VENTILATION.</t>
        </is>
      </c>
    </row>
    <row r="44">
      <c r="C44" s="143" t="inlineStr">
        <is>
          <t>125 20</t>
        </is>
      </c>
      <c r="D44" s="143" t="inlineStr">
        <is>
          <t>SHLTR FOR PUMP STA</t>
        </is>
      </c>
      <c r="E44" s="143" t="inlineStr">
        <is>
          <t>SF</t>
        </is>
      </c>
      <c r="F44" s="143" t="n"/>
      <c r="G44" s="143" t="n"/>
      <c r="H44" s="143" t="n"/>
      <c r="I44" s="143" t="inlineStr">
        <is>
          <t>THIS IS USED FOR STRUCTURES HOUSING PUMPING STATIONS AND ANCILLARY EQUIPMENT.</t>
        </is>
      </c>
    </row>
    <row r="45">
      <c r="C45" s="143" t="inlineStr">
        <is>
          <t>125 21</t>
        </is>
      </c>
      <c r="D45" s="143" t="inlineStr">
        <is>
          <t>POL PIPING- SINGLE SITE</t>
        </is>
      </c>
      <c r="E45" s="143" t="inlineStr">
        <is>
          <t>LF</t>
        </is>
      </c>
      <c r="F45" s="143" t="n"/>
      <c r="G45" s="143" t="n"/>
      <c r="H45" s="143" t="n"/>
      <c r="I45" s="143" t="inlineStr">
        <is>
          <t>POL PIPELINES USED FOR THE TRANSFER AND TRANSPORT OF PETROLEUM, OILS, LUBRICANTS AND FUELS WITHIN A SITE (EXCEPT THOSE WITHIN A MARINE OR AIRCRAFT FUELING FACILITY).</t>
        </is>
      </c>
    </row>
    <row r="46">
      <c r="C46" s="143" t="inlineStr">
        <is>
          <t>125 30</t>
        </is>
      </c>
      <c r="D46" s="143" t="inlineStr">
        <is>
          <t>SURGE STORAGE</t>
        </is>
      </c>
      <c r="E46" s="143" t="inlineStr">
        <is>
          <t>GA</t>
        </is>
      </c>
      <c r="F46" s="143" t="n"/>
      <c r="G46" s="143" t="n"/>
      <c r="H46" s="143" t="n"/>
      <c r="I46" s="143" t="inlineStr">
        <is>
          <t>A SURGE TANK IS USED WHERE THERE IS A RISK OF HYDRAULIC SHOCK. HYDRAULIC SHOCK CAN OCCUR WHEN THE PUMP USED TO DELIVER FUEL IS GREATER THAN THE PIPELINE CAPACITY; UNLOADING RATE OF THE DELIVERY TANKER/BARGE EXCEEDS THE RATE OF THE SHORE PUMPING SYSTEM; OR WATER, AIR OR OTHER BLOCKAGE OCCURS IN THE PIPELINE.</t>
        </is>
      </c>
    </row>
    <row r="47">
      <c r="C47" s="143" t="inlineStr">
        <is>
          <t>126 10</t>
        </is>
      </c>
      <c r="D47" s="143" t="inlineStr">
        <is>
          <t>DRUM AND CAN LDING FACY</t>
        </is>
      </c>
      <c r="E47" s="143" t="inlineStr">
        <is>
          <t>OL</t>
        </is>
      </c>
      <c r="F47" s="143" t="n"/>
      <c r="G47" s="143" t="n"/>
      <c r="H47" s="143" t="n"/>
      <c r="I47" s="143" t="inlineStr">
        <is>
          <t>A DRUM AND CAN LOADING FACILITY IS A FUEL FACILITY EQUIPPED TO FILL DRUMS WITH FUEL OIL, DIESEL, KEROSENE, JET ENGINE FUEL, MOTOR GASOLINE, AVIATION GASOLINE, AND LUBRICATING OILS. THE FACILITY MAY ALSO BE PROVIDED WITH A DRUM RECONDITIONING PLANT.</t>
        </is>
      </c>
    </row>
    <row r="48">
      <c r="C48" s="143" t="inlineStr">
        <is>
          <t>126 15</t>
        </is>
      </c>
      <c r="D48" s="143" t="inlineStr">
        <is>
          <t>PETROLEUM RDY FUEL STOR FA</t>
        </is>
      </c>
      <c r="E48" s="143" t="inlineStr">
        <is>
          <t>GA</t>
        </is>
      </c>
      <c r="F48" s="143" t="n"/>
      <c r="G48" s="143" t="n"/>
      <c r="H48" s="143" t="n"/>
      <c r="I48" s="143" t="inlineStr">
        <is>
          <t>THIS CATEGORY SHALL BE USED FOR THE STORAGE OF PETROLEUM PRODUCTS USED TO FILL DRUMS AS PROVIDED IN CATEGORY CODE 126 10, HEATING OIL TANKS (SEE CATEGORY CODE 821-60 OR 61 FOR HEATING PLANT FUEL STORAGE), LUBE OIL TANKS, GREASE, PROPANE TANKS, OR FUEL STORAGE TANKS FOR GENERATORS AND OTHER EQUIPMENT.</t>
        </is>
      </c>
    </row>
    <row r="49">
      <c r="C49" s="143" t="inlineStr">
        <is>
          <t>126 30</t>
        </is>
      </c>
      <c r="D49" s="143" t="inlineStr">
        <is>
          <t>TANK TRUCK/CAR LOAD FAC</t>
        </is>
      </c>
      <c r="E49" s="143" t="inlineStr">
        <is>
          <t>OL</t>
        </is>
      </c>
      <c r="F49" s="143" t="n"/>
      <c r="G49" s="143" t="n"/>
      <c r="H49" s="143" t="n"/>
      <c r="I49" s="143" t="inlineStr">
        <is>
          <t>A TANK TRUCK LOADING FACILITY (EITHER A TRUCK FILL STAND OR STANDS) DISPENSE FUELS OTHER THAN AIRCRAFT FUELS TO DELIVERY TRUCKS. EACH STAND HAS ONE DUAL OUTLET, A METER, STATIC LINE, PLATFORM, ROADWAY, STRAINER AND NECESSARY VALVES, PIPING, PUMP, AND ELECTRICAL CONTROLS</t>
        </is>
      </c>
    </row>
    <row r="50">
      <c r="C50" s="143" t="inlineStr">
        <is>
          <t>126 40</t>
        </is>
      </c>
      <c r="D50" s="143" t="inlineStr">
        <is>
          <t>TANK TRUCK/CAR UNLOAD FAC</t>
        </is>
      </c>
      <c r="E50" s="143" t="inlineStr">
        <is>
          <t>OL</t>
        </is>
      </c>
      <c r="F50" s="143" t="n"/>
      <c r="G50" s="143" t="n"/>
      <c r="H50" s="143" t="n"/>
      <c r="I50" s="143" t="inlineStr">
        <is>
          <t>A TANK CAR UNLOADING FACILITY UNLOADS LIQUID PRODUCTS FROM TANK CARS. EACH FACILITY HAS STATIC LINES, STRAINER, ACCESS ROAD, SECURITY FENCING, LIGHTING, NECESSARY VALVES, PIPING, PUMP, ELECTRICAL CONTROLS, AND A SHELTER STRUCTURE FOR USE OF ACCOUNTING AND/OR CONTROL HOUSE.</t>
        </is>
      </c>
    </row>
    <row r="51">
      <c r="C51" s="143" t="inlineStr">
        <is>
          <t>131 10</t>
        </is>
      </c>
      <c r="D51" s="143" t="inlineStr">
        <is>
          <t>CABLE HOUSE</t>
        </is>
      </c>
      <c r="E51" s="143" t="inlineStr">
        <is>
          <t>SF</t>
        </is>
      </c>
      <c r="F51" s="143" t="n"/>
      <c r="G51" s="143" t="n"/>
      <c r="H51" s="143" t="n"/>
      <c r="I51" s="143" t="inlineStr">
        <is>
          <t>A CABLE HOUSE IS AN UNMANNED FACILITY THAT FUNCTIONS EITHER AS AN EXTERNAL JUNCTION POINT FOR COAXIAL CABLES, OR AS MECHANICAL SPACE FOR SUPPORT EQUIPMENT ASSOCIATED WITH EXTREMELY LOW FREQUENCY (ELF) AND VERY LOW FREQUENCY (VLF) ANTENNAS.</t>
        </is>
      </c>
    </row>
    <row r="52">
      <c r="C52" s="143" t="inlineStr">
        <is>
          <t>131 15</t>
        </is>
      </c>
      <c r="D52" s="143" t="inlineStr">
        <is>
          <t>COMM, INFO, OR INTEL FAC</t>
        </is>
      </c>
      <c r="E52" s="143" t="inlineStr">
        <is>
          <t>SF</t>
        </is>
      </c>
      <c r="F52" s="143" t="n"/>
      <c r="G52" s="143" t="n"/>
      <c r="H52" s="143" t="n"/>
      <c r="I52" s="143" t="inlineStr">
        <is>
          <t>COMMUNICATIONS, INFORMATION, OR INTELLIGENCE FACILITIES ARE RESPONSIBLE FOR INFORMATION PROCESSING, DELIVERY OF INFORMATION SERVICES, AND INFORMATION/DATA STORAGE. THESE ULTIMATELY SUPPORT THE JOINT INFORMATION ENVIRONMENT (JIE). THE JIE IDENTIFIES SEVERAL DIFFERENT TYPES OF FUNCTIONAL NODES: COMPUTING NODES (E.G. DATA CENTERS), COMMUNICATION NODES (E.G. NETWORK GATEWAYS), AND OPERATIONS NODES (E.G. ENTERPRISE OPERATION CENTERS). THESE NODES SHOULD BE VIEWED AS FUNCTIONAL ENCLAVES, NOT SEPARATE FACILITIES; IN FACT, MULTIPLE NODES AND NODE TYPES MAY BE PRESENT IN A SINGLE PHYSICAL FACILITY.</t>
        </is>
      </c>
    </row>
    <row r="53">
      <c r="C53" s="143" t="inlineStr">
        <is>
          <t>131 20</t>
        </is>
      </c>
      <c r="D53" s="143" t="inlineStr">
        <is>
          <t>COMMS RELAY BLDG</t>
        </is>
      </c>
      <c r="E53" s="143" t="inlineStr">
        <is>
          <t>SF</t>
        </is>
      </c>
      <c r="F53" s="143" t="n"/>
      <c r="G53" s="143" t="n"/>
      <c r="H53" s="143" t="n"/>
      <c r="I53" s="143" t="inlineStr">
        <is>
          <t>A COMMUNICATIONS RELAY FACILITY IS AN UNMANNED FACILITY OR ENCLOSURE ASSOCIATED WITH THE OPERATION OF MICROWAVE (MW) COMMUNICATIONS SYSTEMS. IT CONTAINS RACK MOUNTED COMMUNICATIONS RECEIVING, AMPLIFICATION, AND TRANSMITTING EQUIPMENT, ALONG WITH AN UNINTERRUPTIBLE POWER SOURCE (UPS) AND AN EMERGENCY GENERATOR.</t>
        </is>
      </c>
    </row>
    <row r="54">
      <c r="C54" s="143" t="inlineStr">
        <is>
          <t>131 22</t>
        </is>
      </c>
      <c r="D54" s="143" t="inlineStr">
        <is>
          <t>VHF/UHF COMMS FAC</t>
        </is>
      </c>
      <c r="E54" s="143" t="inlineStr">
        <is>
          <t>SF</t>
        </is>
      </c>
      <c r="F54" s="143" t="n"/>
      <c r="G54" s="143" t="n"/>
      <c r="H54" s="143" t="n"/>
      <c r="I54" s="143" t="inlineStr">
        <is>
          <t>A VHF/UHF COMMUNICATIONS FACILITY CAN EITHER BE CONTAINED WITHIN A PERMANENT FACILITY OR WITHIN CLASS III PROPERTY. IT CONTAINS A LIMITED AMOUNT OF RACK MOUNTED COMMUNICATIONS RECEIVING, AMPLIFICATION, AND TRANSMITTING EQUIPMENT ASSOCIATED WITH AIRFIELD OPERATIONS, SECURITY AND FIRE OPERATIONS, OR AN TACTICAL COMMUNICATIONS SYSTEM INTEGRAL TO UNIQUE SPECIAL OPERATIONS.</t>
        </is>
      </c>
    </row>
    <row r="55">
      <c r="C55" s="143" t="inlineStr">
        <is>
          <t>131 24</t>
        </is>
      </c>
      <c r="D55" s="143" t="inlineStr">
        <is>
          <t>SAT COMMS FAC</t>
        </is>
      </c>
      <c r="E55" s="143" t="inlineStr">
        <is>
          <t>SF</t>
        </is>
      </c>
      <c r="F55" s="143" t="n"/>
      <c r="G55" s="143" t="n"/>
      <c r="H55" s="143" t="n"/>
      <c r="I55" s="143" t="inlineStr">
        <is>
          <t>A SATELLITE COMS FACILITY IS OFTEN REFERRED TO AS A `GATEWAY FACILITY¿ SUPPORTING WORLDWIDE, REGIONAL, AND AREA OF RESPONSIBILITY (AOR) COMS. IT CONTAINS DIVISION LEVEL OFFICE AND SUPPORT REQUIREMENTS, EQUIPMENT AND OPERATIONAL AREAS, MAINTENANCE AND TRAINING AREAS, AND LIMITED STORAGE AREAS FOR READY-TO-ISSUE COMS SYSTEMS AND SUBSYSTEMS REQUIRED FOR INCOMING AND OUTGOING COMS TRAFFIC.</t>
        </is>
      </c>
    </row>
    <row r="56">
      <c r="C56" s="143" t="inlineStr">
        <is>
          <t>131 25</t>
        </is>
      </c>
      <c r="D56" s="143" t="inlineStr">
        <is>
          <t>TELEMETRY BUILDING</t>
        </is>
      </c>
      <c r="E56" s="143" t="inlineStr">
        <is>
          <t>SF</t>
        </is>
      </c>
      <c r="F56" s="143" t="n"/>
      <c r="G56" s="143" t="n"/>
      <c r="H56" s="143" t="n"/>
      <c r="I56" s="143" t="inlineStr">
        <is>
          <t>A TELEMETRY BUILDING IS AN EXTREMELY SPECIALIZED AND UNIQUE FACILITY SPECIFICALLY DESIGNED FOR THE TRACKING OF MISSILES AND SATELLITES.</t>
        </is>
      </c>
    </row>
    <row r="57">
      <c r="C57" s="143" t="inlineStr">
        <is>
          <t>131 30</t>
        </is>
      </c>
      <c r="D57" s="143" t="inlineStr">
        <is>
          <t>HELIX HOUSE</t>
        </is>
      </c>
      <c r="E57" s="143" t="inlineStr">
        <is>
          <t>SF</t>
        </is>
      </c>
      <c r="F57" s="143" t="n"/>
      <c r="G57" s="143" t="n"/>
      <c r="H57" s="143" t="n"/>
      <c r="I57" s="143" t="inlineStr">
        <is>
          <t>A HELIX HOUSE CONTAINS A HELICAL COIL AND ASSOCIATED ANTENNA TUNING DEVICES DIRECTLY ASSOCIATED WITH, AND INTEGRAL TO, THE TRANSMISSION OF LOW FREQUENCY (LF), VERY LOW FREQUENCY (VLF), AND EXTREMELY LOW FREQUENCY (ELF) COMMUNICATIONS.</t>
        </is>
      </c>
    </row>
    <row r="58">
      <c r="C58" s="143" t="inlineStr">
        <is>
          <t>131 35</t>
        </is>
      </c>
      <c r="D58" s="143" t="inlineStr">
        <is>
          <t>RECEIVER BUILDING</t>
        </is>
      </c>
      <c r="E58" s="143" t="inlineStr">
        <is>
          <t>SF</t>
        </is>
      </c>
      <c r="F58" s="143" t="n"/>
      <c r="G58" s="143" t="n"/>
      <c r="H58" s="143" t="n"/>
      <c r="I58" s="143" t="inlineStr">
        <is>
          <t>A RECEIVER BUILDING SUPPORTS A 24 HOUR A DAY, 7 DAY A WEEK OPERATIONAL REQUIREMENT FOR SHORE TO SHORE AND SHIP TO SHORE ADMINISTRATIVE, TACTICAL, AND STRATEGIC HIGH FREQUENCY (HF) COMMUNICATIONS.</t>
        </is>
      </c>
    </row>
    <row r="59">
      <c r="C59" s="143" t="inlineStr">
        <is>
          <t>131 40</t>
        </is>
      </c>
      <c r="D59" s="143" t="inlineStr">
        <is>
          <t>TELEPHONE EXCHANGE BLDG</t>
        </is>
      </c>
      <c r="E59" s="143" t="inlineStr">
        <is>
          <t>SF</t>
        </is>
      </c>
      <c r="F59" s="143" t="n"/>
      <c r="G59" s="143" t="n"/>
      <c r="H59" s="143" t="n"/>
      <c r="I59" s="143" t="inlineStr">
        <is>
          <t>A TELEPHONE EXCHANGE BUILDING CAN SUPPORT WORLDWIDE, REGIONAL AND AREA COMMUNICATIONS FOR A NAVAL SHORE ACTIVITY. THE TELEPHONE EXCHANGE BUILDING CAN CONTAIN THE TELEPHONE SWITCH, MAIN DISTRIBUTION FRAME, INTERMEDIATE DISTRIBUTION FRAME, STAFF SUPPORT SPACES, OPERATORS WORK POSITIONS, MAINTENANCE AND STORAGE SPACES, AND IS SUPPORTED BY UPS AND EMERGENCY GENERATORS.</t>
        </is>
      </c>
    </row>
    <row r="60">
      <c r="C60" s="143" t="inlineStr">
        <is>
          <t>131 42</t>
        </is>
      </c>
      <c r="D60" s="143" t="inlineStr">
        <is>
          <t>AUTO COMMS SWITCH CNTR</t>
        </is>
      </c>
      <c r="E60" s="143" t="inlineStr">
        <is>
          <t>SF</t>
        </is>
      </c>
      <c r="F60" s="143" t="n"/>
      <c r="G60" s="143" t="n"/>
      <c r="H60" s="143" t="n"/>
      <c r="I60" s="143" t="inlineStr">
        <is>
          <t>AN AUTOMATIC-COMMUNICATIONS SWITCHING-CENTER IDENTIFIES A FACILITY THAT CONTAINS THE TELEPHONE SWITCH AND ITS IMMEDIATE SUPPORT INFRASTRUCTURE. ALTHOUGH IT IS POSSIBLE THAT SOME ISOLATED EXAMPLES OF THIS CONFIGURATION MAY STILL EXIST, THE CURRENT COMMUNICATIONS ARCHITECTURE FOR THIS EQUIPMENT PLACES IT WITHIN A TELEPHONE EXCHANGE BUILDING</t>
        </is>
      </c>
    </row>
    <row r="61">
      <c r="C61" s="143" t="inlineStr">
        <is>
          <t>131 45</t>
        </is>
      </c>
      <c r="D61" s="143" t="inlineStr">
        <is>
          <t>TERMINAL EQUIPMENT BLDG</t>
        </is>
      </c>
      <c r="E61" s="143" t="inlineStr">
        <is>
          <t>SF</t>
        </is>
      </c>
      <c r="F61" s="143" t="n"/>
      <c r="G61" s="143" t="n"/>
      <c r="H61" s="143" t="n"/>
      <c r="I61" s="143" t="inlineStr">
        <is>
          <t>THIS FACILITY ORIGINALLY, AND CURRENTLY TO A MINOR EXTENT, PERFORMS AS A SINGLE-FUNCTION BUILDING THAT IS IN DIRECT SUPPORT OF HIGH FREQUENCY (HF) OR LOW FREQUENCY (LF) COMMUNICATIONS. IT PROVIDES AN INTERMEDIATE CONNECTION POINT THAT IS REQUIRED TECHNICALLY TO SUPPORT COMMUNICATIONS CONFIGURATION, OR IS REQUIRED AS THE RESULT OF WAVEGUIDE OR CABLE LOSS.</t>
        </is>
      </c>
    </row>
    <row r="62">
      <c r="C62" s="143" t="inlineStr">
        <is>
          <t>131 50</t>
        </is>
      </c>
      <c r="D62" s="143" t="inlineStr">
        <is>
          <t>TRANSMITTER BUILDING</t>
        </is>
      </c>
      <c r="E62" s="143" t="inlineStr">
        <is>
          <t>SF</t>
        </is>
      </c>
      <c r="F62" s="143" t="n"/>
      <c r="G62" s="143" t="n"/>
      <c r="H62" s="143" t="n"/>
      <c r="I62" s="143" t="inlineStr">
        <is>
          <t>A TRANSMITTER BUILDING SUPPORTS A 24 HOUR A DAY, 7 DAY A WEEK OPERATIONAL REQUIREMENT FOR SHORE TO SHORE AND SHORE TO SHIP ADMIN, TACTICAL, AND STRATEGIC HIGH FREQUENCY (HF), LOW FREQUENCY (LF), VERY LOW FREQUENCY (VLF) AND EXTREMELY LOW FREQUENCY (ELF) COMS. A SMALL PERSONNEL SUPPORT SPACE CONTAINING A TOILET FACILITY AND BREAK AREA IS CONSIDERED PART OF THE FACILITY.</t>
        </is>
      </c>
    </row>
    <row r="63">
      <c r="C63" s="143" t="inlineStr">
        <is>
          <t>131 55</t>
        </is>
      </c>
      <c r="D63" s="143" t="inlineStr">
        <is>
          <t>CIRC DISP ANT ARRAY BLDG</t>
        </is>
      </c>
      <c r="E63" s="143" t="inlineStr">
        <is>
          <t>SF</t>
        </is>
      </c>
      <c r="F63" s="143" t="n"/>
      <c r="G63" s="143" t="n"/>
      <c r="H63" s="143" t="n"/>
      <c r="I63" s="143" t="inlineStr">
        <is>
          <t>A CIRCULARLY DISPOSED ANTENNA ARRAY (CDAA) BUILDING IS A HIGH FREQUENCY DIRECTION FINDING (HFDF) FACILITY THAT CONTAINS THE TUNING AND RECEIVING EQUIPMENT ASSOCIATED WITH THE AN/FRD-10 ANTENNA.</t>
        </is>
      </c>
    </row>
    <row r="64">
      <c r="C64" s="143" t="inlineStr">
        <is>
          <t>131 56</t>
        </is>
      </c>
      <c r="D64" s="143" t="inlineStr">
        <is>
          <t>DIRECTION FINDER BUILDING</t>
        </is>
      </c>
      <c r="E64" s="143" t="inlineStr">
        <is>
          <t>SF</t>
        </is>
      </c>
      <c r="F64" s="143" t="n"/>
      <c r="G64" s="143" t="n"/>
      <c r="H64" s="143" t="n"/>
      <c r="I64" s="143" t="inlineStr">
        <is>
          <t>A DIRECTION FINDER BUILDING IS A HIGH FREQUENCY DIRECTION FINDING (HFDF) FACILITY THAT CONTAINS THE TUNING AND RECEIVING EQUIPMENT ASSOCIATED WITH THE AN/FRD-13 ANTENNAS. IT IS ASSOCIATED WITH FUNCTIONS PERFORMED BY VARIOUS DON COMMUNICATIONS, INTELLIGENCE, AND OPERATIONAL MISSIONS.</t>
        </is>
      </c>
    </row>
    <row r="65">
      <c r="C65" s="143" t="inlineStr">
        <is>
          <t>131 60</t>
        </is>
      </c>
      <c r="D65" s="143" t="inlineStr">
        <is>
          <t>MIL AFFIL RADIO STA (MARS)</t>
        </is>
      </c>
      <c r="E65" s="143" t="inlineStr">
        <is>
          <t>SF</t>
        </is>
      </c>
      <c r="F65" s="143" t="n"/>
      <c r="G65" s="143" t="n"/>
      <c r="H65" s="143" t="n"/>
      <c r="I65" s="143" t="inlineStr">
        <is>
          <t>THE MILITARY AFFILIATE RADIO SYSTEM IS PART OF NAVY TELECOMMUNICATIONS COMPLEX. SIZE OF THE STATION VARIES WITH THE TYPE OF OPERATIONS AND EQUIPMENT USED. AS A GENERAL RULE, THE SPACE FOR A MARS STATION IS PROVIDED WITHIN EXISTING NAVY FACILITIES AND NO SPECIFIC PROJECTS SHOULD BE PLANNED. THIS CODE IS MAINLY INTENDED FOR INVENTORY PURPOSES.</t>
        </is>
      </c>
    </row>
    <row r="66">
      <c r="C66" s="143" t="inlineStr">
        <is>
          <t>132 10</t>
        </is>
      </c>
      <c r="D66" s="143" t="inlineStr">
        <is>
          <t>ANTENNA - COMMUNICATIONS</t>
        </is>
      </c>
      <c r="E66" s="143" t="inlineStr">
        <is>
          <t>EA</t>
        </is>
      </c>
      <c r="F66" s="143" t="n"/>
      <c r="G66" s="143" t="n"/>
      <c r="H66" s="143" t="n"/>
      <c r="I66" s="143" t="inlineStr">
        <is>
          <t>THIS FACILITY GROUP ENCOMPASSES RADIO ANTENNAS, SWITCHING STATIONS AND PUBLIC ADDRESS SYSTEMS. THE ANTENNAS REQUIRED ARE A FUNCTION OF THE NUMBER AND TYPE OF RADIO CIRCUITS TO BE INCORPORATED IN THE COMMUNICATIONS SYSTEM.</t>
        </is>
      </c>
    </row>
    <row r="67">
      <c r="C67" s="143" t="inlineStr">
        <is>
          <t>132 50</t>
        </is>
      </c>
      <c r="D67" s="143" t="inlineStr">
        <is>
          <t>P/A SYSTEM OUTDOOR</t>
        </is>
      </c>
      <c r="E67" s="143" t="inlineStr">
        <is>
          <t>EA</t>
        </is>
      </c>
      <c r="F67" s="143" t="n"/>
      <c r="G67" s="143" t="n"/>
      <c r="H67" s="143" t="n"/>
      <c r="I67" s="143" t="inlineStr">
        <is>
          <t>OUTDOOR PUBLIC ADDRESS SYSTEMS (GIANT VOICE) WILL BE PLANNED AND INSTALLED TO MEET INDIVIDUAL NEEDS OF A FACILITY</t>
        </is>
      </c>
    </row>
    <row r="68">
      <c r="C68" s="143" t="inlineStr">
        <is>
          <t>132 55</t>
        </is>
      </c>
      <c r="D68" s="143" t="inlineStr">
        <is>
          <t>CIRC DISP ANT ARRAY</t>
        </is>
      </c>
      <c r="E68" s="143" t="inlineStr">
        <is>
          <t>EA</t>
        </is>
      </c>
      <c r="F68" s="143" t="n"/>
      <c r="G68" s="143" t="n"/>
      <c r="H68" s="143" t="n"/>
      <c r="I68" s="143" t="inlineStr">
        <is>
          <t>THIS ANTENNA ARRAY IS GENERALLY PLANNED IN CONJUNCTION WITH A CIRCULARLY DISPOSED ANTENNA ARRAY BUILDING. SEE CATEGORY CODE 131 55 FOR ADDITIONAL GUIDANCE.</t>
        </is>
      </c>
    </row>
    <row r="69">
      <c r="C69" s="143" t="inlineStr">
        <is>
          <t>133 15</t>
        </is>
      </c>
      <c r="D69" s="143" t="inlineStr">
        <is>
          <t>RAWIN BUILDING</t>
        </is>
      </c>
      <c r="E69" s="143" t="inlineStr">
        <is>
          <t>SF</t>
        </is>
      </c>
      <c r="F69" s="143" t="n"/>
      <c r="G69" s="143" t="n"/>
      <c r="H69" s="143" t="n"/>
      <c r="I69" s="143" t="inlineStr">
        <is>
          <t>A RAWIN BUILDING (RADAR WIND SOUNDING) IS A SPECIALIZED WEATHER REPORTING FACILITY. IT HOUSES TRACKING EQUIPMENT USED IN CONJUNCTION WITH BALLOONBORNE RADIOSONDE TRANSMITTERS.</t>
        </is>
      </c>
    </row>
    <row r="70">
      <c r="C70" s="143" t="inlineStr">
        <is>
          <t>133 20</t>
        </is>
      </c>
      <c r="D70" s="143" t="inlineStr">
        <is>
          <t>VHF OMNI-DIR RNG (VOR) FAC</t>
        </is>
      </c>
      <c r="E70" s="143" t="inlineStr">
        <is>
          <t>SF</t>
        </is>
      </c>
      <c r="F70" s="143" t="n"/>
      <c r="G70" s="143" t="n"/>
      <c r="H70" s="143" t="n"/>
      <c r="I70" s="143" t="inlineStr">
        <is>
          <t>THE VERY HIGH FREQUENCY (VHF) OMNI-DIRECTIONAL RANGE (VOR) BUILDING HOUSES A VHF, FIXED GROUND-BASED STATION WHICH CONTINUOUSLY TRANSMITS BEARING, IDENTIFICATION, AND WITH PROPER EQUIPMENT, DISTANCE INFORMATION TO PROPERLY EQUIPPED AIRCRAFT.</t>
        </is>
      </c>
    </row>
    <row r="71">
      <c r="C71" s="143" t="inlineStr">
        <is>
          <t>133 25</t>
        </is>
      </c>
      <c r="D71" s="143" t="inlineStr">
        <is>
          <t>TACAN BUILDING</t>
        </is>
      </c>
      <c r="E71" s="143" t="inlineStr">
        <is>
          <t>SF</t>
        </is>
      </c>
      <c r="F71" s="143" t="n"/>
      <c r="G71" s="143" t="n"/>
      <c r="H71" s="143" t="n"/>
      <c r="I71" s="143" t="inlineStr">
        <is>
          <t>THE TACTICAL AIR NAVIGATION (TACAN) BUILDING HOUSES UHF GROUND-BASED STATION WHICH TRANSMITS BEARING, IDENTIFICATION, AND DISTANCE INFORMATION TO PROPERLY EQUIPPED AIRCRAFT. THE TACAN IS PRIMARILY A MILITARY SHORT-RANGE 322 KM (200 MILE) NAVIGATIONAL AID THAT IS GENERALLY PLANNED FOR EACH NAVY AND MARINE CORPS AIR STATION.</t>
        </is>
      </c>
    </row>
    <row r="72">
      <c r="C72" s="143" t="inlineStr">
        <is>
          <t>133 30</t>
        </is>
      </c>
      <c r="D72" s="143" t="inlineStr">
        <is>
          <t>VHF RNG TACAN FACILITY</t>
        </is>
      </c>
      <c r="E72" s="143" t="inlineStr">
        <is>
          <t>SF</t>
        </is>
      </c>
      <c r="F72" s="143" t="n"/>
      <c r="G72" s="143" t="n"/>
      <c r="H72" s="143" t="n"/>
      <c r="I72" s="143" t="inlineStr">
        <is>
          <t>THE VERY HIGH FREQUENCY (VHF) OMNI-DIRECTIONAL RANGE/TACTICAL AIR NAVIGATION (VORTAC) BUILDING HOUSES VHF/UHF FIXED GROUND-BASED STATION THAT CONTINUOUSLY TRANSMITS BEARING, IDENTIFICATION, AND DISTANCE INFORMATION TO PROPERLY EQUIPPED AIRCRAFT WHEN DISTANCE MEASURING EQUIPMENT (DME) IS INSTALLED.</t>
        </is>
      </c>
    </row>
    <row r="73">
      <c r="C73" s="143" t="inlineStr">
        <is>
          <t>133 35</t>
        </is>
      </c>
      <c r="D73" s="143" t="inlineStr">
        <is>
          <t>NDB FACILITY</t>
        </is>
      </c>
      <c r="E73" s="143" t="inlineStr">
        <is>
          <t>SF</t>
        </is>
      </c>
      <c r="F73" s="143" t="n"/>
      <c r="G73" s="143" t="n"/>
      <c r="H73" s="143" t="n"/>
      <c r="I73" s="143" t="inlineStr">
        <is>
          <t>THIS NON-DIRECTIONAL BEACON (NDB) FACILITY IS AN UNATTENDED FACILITY WHICH HOUSES ELECTRIC EQUIPMENT (RADIO BEACON) USED TO TRANSMIT A NON-DIRECTIONAL RADIO SIGNAL PATTERN TO AIRCRAFT EQUIPPED WITH AUTOMATIC RADIO DIRECTION AND FINDING (ADF) EQUIPMENT.</t>
        </is>
      </c>
    </row>
    <row r="74">
      <c r="C74" s="143" t="inlineStr">
        <is>
          <t>133 65</t>
        </is>
      </c>
      <c r="D74" s="143" t="inlineStr">
        <is>
          <t>AIR NAVIGATION BUILDING</t>
        </is>
      </c>
      <c r="E74" s="143" t="inlineStr">
        <is>
          <t>SF</t>
        </is>
      </c>
      <c r="F74" s="143" t="n"/>
      <c r="G74" s="143" t="n"/>
      <c r="H74" s="143" t="n"/>
      <c r="I74" s="143" t="inlineStr">
        <is>
          <t>AN AIR NAVIGATION BUILDING IS A SPECIALIZED FACILITY FOR PROVIDING A READILY AVAILABLE SOURCE OF OPERATIONAL AND AERONAUTICAL INTELLIGENCE INFORMATION; STORAGE AND ISSUE OF AERONAUTICAL MAPS AND CHARTS; AND SECURE STORAGE OF CLASSIFIED MATERIAL UP TO TOP SECRET DOCUMENTS.</t>
        </is>
      </c>
    </row>
    <row r="75">
      <c r="C75" s="143" t="inlineStr">
        <is>
          <t>133 71</t>
        </is>
      </c>
      <c r="D75" s="143" t="inlineStr">
        <is>
          <t>RATCF FACILITY</t>
        </is>
      </c>
      <c r="E75" s="143" t="inlineStr">
        <is>
          <t>SF</t>
        </is>
      </c>
      <c r="F75" s="143" t="n"/>
      <c r="G75" s="143" t="n"/>
      <c r="H75" s="143" t="n"/>
      <c r="I75" s="143" t="inlineStr">
        <is>
          <t>THE RADAR AIR TRAFFIC CONTROL FACILITY (RATCF) PROVIDES HOUSING FOR EQUIPMENT AND PERSONNEL TO SUPPORT INSTRUMENT FLIGHT RULES (IFR) CONTROL OF AIRCRAFT ON APPROACH TO OR DEPARTURE FROM THE TERMINAL RADAR FACILITY OR AIRPORT. OTHER FUNCTIONS INCLUDE PRECISION APPROACH RADAR (PAR) FOR LANDING AIRCRAFT DURING INCLEMENT WEATHER AND LIMITED VISIBILITY.</t>
        </is>
      </c>
    </row>
    <row r="76">
      <c r="C76" s="143" t="inlineStr">
        <is>
          <t>133 72</t>
        </is>
      </c>
      <c r="D76" s="143" t="inlineStr">
        <is>
          <t>MTRACON</t>
        </is>
      </c>
      <c r="E76" s="143" t="inlineStr">
        <is>
          <t>SF</t>
        </is>
      </c>
      <c r="F76" s="143" t="n"/>
      <c r="G76" s="143" t="n"/>
      <c r="H76" s="143" t="n"/>
      <c r="I76" s="143" t="inlineStr">
        <is>
          <t>A MILITARY TERMINAL RADAR APPROACH CONTROL (MTRACON) FACILITY IS USED TO CONTROL AIR TRAFFIC TO PROVIDE SAFE, EXPEDITIOUS, AND ORDERLY MOVEMENT OF AIRCRAFT UNDER ALL WEATHER CONDITIONS. JUSTIFICATION FOR A MTRACON IS ESTABLISHED BY THE CHIEF OF NAVAL OPERATIONS.</t>
        </is>
      </c>
    </row>
    <row r="77">
      <c r="C77" s="143" t="inlineStr">
        <is>
          <t>133 73</t>
        </is>
      </c>
      <c r="D77" s="143" t="inlineStr">
        <is>
          <t>FACSFAC</t>
        </is>
      </c>
      <c r="E77" s="143" t="inlineStr">
        <is>
          <t>SF</t>
        </is>
      </c>
      <c r="F77" s="143" t="n"/>
      <c r="G77" s="143" t="n"/>
      <c r="H77" s="143" t="n"/>
      <c r="I77" s="143" t="inlineStr">
        <is>
          <t>THE FLEET AREA CONTROL SURVEILLANCE FACILITY (FACSFAC) BUILDING HOUSES THE FACSFAC TRACKING SYSTEM (FACTS) AND NAVY TACTICAL DATA SYSTEM/ADVANCED COMBAT DIRECTION SYSTEM (NTDS/ACDS) EQUIPMENT AND PERSONNEL TO PROVIDE A VARIETY OF SERVICES TO AIR, SURFACE AND SUBSURFACE UNITS.</t>
        </is>
      </c>
    </row>
    <row r="78">
      <c r="C78" s="143" t="inlineStr">
        <is>
          <t>133 74</t>
        </is>
      </c>
      <c r="D78" s="143" t="inlineStr">
        <is>
          <t>JCF FACILITY</t>
        </is>
      </c>
      <c r="E78" s="143" t="inlineStr">
        <is>
          <t>SF</t>
        </is>
      </c>
      <c r="F78" s="143" t="n"/>
      <c r="G78" s="143" t="n"/>
      <c r="H78" s="143" t="n"/>
      <c r="I78" s="143" t="inlineStr">
        <is>
          <t>THE JOINT CONTROL FACILITY (JCF) IS AN AIR TRAFFIC CONTROL FACILITY, A RADAR AIR TRAFFIC CONTROL FACILITY (RATCF), AND A RANGE OPERATIONS CENTER (ROC) UNDER ONE ROOF.</t>
        </is>
      </c>
    </row>
    <row r="79">
      <c r="C79" s="143" t="inlineStr">
        <is>
          <t>133 75</t>
        </is>
      </c>
      <c r="D79" s="143" t="inlineStr">
        <is>
          <t>AIR SURVEILLANCE RADAR FAC</t>
        </is>
      </c>
      <c r="E79" s="143" t="inlineStr">
        <is>
          <t>SF</t>
        </is>
      </c>
      <c r="F79" s="143" t="n"/>
      <c r="G79" s="143" t="n"/>
      <c r="H79" s="143" t="n"/>
      <c r="I79" s="143" t="inlineStr">
        <is>
          <t>THE AIR SURVEILLANCE RADAR (ASR) FACILITY IS AN UNATTENDED FACILITY WHICH SERVES AS A MAJOR COMPONENT OF THE RADAR AIR TRAFFIC CONTROL FACILITY (RATCF); THE MILITARY TERMINAL APPROACH CONTROL FACILITY (MTRACON); AND THE JOINT CONTROL FACILITY (JCF). IT PROVIDES DETECTION AND IDENTIFICATION FOR CONTROL OF AIRCRAFT OPERATING IN A LINE-OF-SIGHT RANGE AND ALTITUDES DETERMINED BY SYSTEM DESIGN.</t>
        </is>
      </c>
    </row>
    <row r="80">
      <c r="C80" s="143" t="inlineStr">
        <is>
          <t>133 76</t>
        </is>
      </c>
      <c r="D80" s="143" t="inlineStr">
        <is>
          <t>ARSR FACILITY</t>
        </is>
      </c>
      <c r="E80" s="143" t="inlineStr">
        <is>
          <t>SF</t>
        </is>
      </c>
      <c r="F80" s="143" t="n"/>
      <c r="G80" s="143" t="n"/>
      <c r="H80" s="143" t="n"/>
      <c r="I80" s="143" t="inlineStr">
        <is>
          <t>THE AIR ROUTE SURVEILLANCE RADAR (ARSR) FACILITY HOUSES THE ELECTRONIC LONG RANGE RADAR SYSTEM USED TO OBTAIN THE RANGE AND AZIMUTH OF AN AIRCRAFT.</t>
        </is>
      </c>
    </row>
    <row r="81">
      <c r="C81" s="143" t="inlineStr">
        <is>
          <t>133 80</t>
        </is>
      </c>
      <c r="D81" s="143" t="inlineStr">
        <is>
          <t>WHEELS WATCH SHELTER</t>
        </is>
      </c>
      <c r="E81" s="143" t="inlineStr">
        <is>
          <t>SF</t>
        </is>
      </c>
      <c r="F81" s="143" t="n"/>
      <c r="G81" s="143" t="n"/>
      <c r="H81" s="143" t="n"/>
      <c r="I81" s="143" t="inlineStr">
        <is>
          <t>A PORTABLE WHEELS WATCH BOOTH IS PROVIDED WITH THE RUNWAY WHEELS- UP/WAVE-OFF LIGHTING SYSTEM, CATEGORY CODE 136 45. THE SHELTER IS LOCATED APPROXIMATELY 302 METERS (990 FEET) SHORT OF THE RUNWAY THRESHOLD NEAR THE WHEELS- UP/WAVE-OFF LIGHTING SYSTEM. THE FACILITY MAY BE EITHER A TRAILER OR TRUCK.</t>
        </is>
      </c>
    </row>
    <row r="82">
      <c r="C82" s="143" t="inlineStr">
        <is>
          <t>134 10</t>
        </is>
      </c>
      <c r="D82" s="143" t="inlineStr">
        <is>
          <t>ANTENNA - NAVIGATION</t>
        </is>
      </c>
      <c r="E82" s="143" t="inlineStr">
        <is>
          <t>EA</t>
        </is>
      </c>
      <c r="F82" s="143" t="n"/>
      <c r="G82" s="143" t="n"/>
      <c r="H82" s="143" t="n"/>
      <c r="I82" s="143" t="inlineStr">
        <is>
          <t>AN ANTENNA SYSTEM FOR NAVIGATION AID WILL VARY WITH THE TYPE AND PURPOSE OF THE NAVIGATIONAL AID. THIS CATEGORY CODE SHALL BE USED TO INDICATE ENTIRE ANTENNA SYSTEMS.</t>
        </is>
      </c>
    </row>
    <row r="83">
      <c r="C83" s="143" t="inlineStr">
        <is>
          <t>134 20</t>
        </is>
      </c>
      <c r="D83" s="143" t="inlineStr">
        <is>
          <t>AP/HP BEACON</t>
        </is>
      </c>
      <c r="E83" s="143" t="inlineStr">
        <is>
          <t>EA</t>
        </is>
      </c>
      <c r="F83" s="143" t="n"/>
      <c r="G83" s="143" t="n"/>
      <c r="H83" s="143" t="n"/>
      <c r="I83" s="143" t="inlineStr">
        <is>
          <t>AN AIRPORT AND/OR HELIPORT BEACON IS AN INTERNATIONALLY RECOGNIZED ROTATING OR FLASHING ILLUMINATED BEACON OPERATED AS A VISUAL AID TO AIR NAVIGATION TO ASSIST AIRCREWS IN LOCATING AND IDENTIFYING AIRPORTS AND/OR HELIPORTS.</t>
        </is>
      </c>
    </row>
    <row r="84">
      <c r="C84" s="143" t="inlineStr">
        <is>
          <t>134 40</t>
        </is>
      </c>
      <c r="D84" s="143" t="inlineStr">
        <is>
          <t>GROUND CONTROL APPR SYST</t>
        </is>
      </c>
      <c r="E84" s="143" t="inlineStr">
        <is>
          <t>EA</t>
        </is>
      </c>
      <c r="F84" s="143" t="n"/>
      <c r="G84" s="143" t="n"/>
      <c r="H84" s="143" t="n"/>
      <c r="I84" s="143" t="inlineStr">
        <is>
          <t>A GROUND CONTROL APPROACH (GCA) SYSTEM IS A RADAR APPROACH SYSTEM OPERATED FROM THE GROUND BY AIR TRAFFIC CONTROL PERSONNEL TRANSMITTING INSTRUCTIONS TO THE PILOT BY RADIO.</t>
        </is>
      </c>
    </row>
    <row r="85">
      <c r="C85" s="143" t="inlineStr">
        <is>
          <t>134 41</t>
        </is>
      </c>
      <c r="D85" s="143" t="inlineStr">
        <is>
          <t>PREC APPR RADAR</t>
        </is>
      </c>
      <c r="E85" s="143" t="inlineStr">
        <is>
          <t>EA</t>
        </is>
      </c>
      <c r="F85" s="143" t="n"/>
      <c r="G85" s="143" t="n"/>
      <c r="H85" s="143" t="n"/>
      <c r="I85" s="143" t="inlineStr">
        <is>
          <t>THE PRECISION APPROACH RADAR (PAR) IS AN UNATTENDED SELF-CONTAINED RADAR SYSTEM. THE PAR DETECTS AZIMUTH, ELEVATION, AND RANGE INFORMATION OF AIRCRAFT ON FINAL LANDING APPROACH TO PAR INSTRUMENTED RUNWAYS. THE INFORMATION IS DISPLAYED IN THE MILITARY TERMINAL RADAR APPROACH CONTROL (MTRACON) FACILITY.</t>
        </is>
      </c>
    </row>
    <row r="86">
      <c r="C86" s="143" t="inlineStr">
        <is>
          <t>134 42</t>
        </is>
      </c>
      <c r="D86" s="143" t="inlineStr">
        <is>
          <t>PREC APPR LAND SYS</t>
        </is>
      </c>
      <c r="E86" s="143" t="inlineStr">
        <is>
          <t>EA</t>
        </is>
      </c>
      <c r="F86" s="143" t="n"/>
      <c r="G86" s="143" t="n"/>
      <c r="H86" s="143" t="n"/>
      <c r="I86" s="143" t="inlineStr">
        <is>
          <t>THE PRECISION APPROACH LANDING SYSTEM (PALS) IS AN UNATTENDED, SELF-CONTAINED RADAR SYSTEM. THE PALS DETECTS AZIMUTH, ELEVATION, AND RANGE INFORMATION OF AIRCRAFT ON FINAL APPROACH TO PALS INSTRUMENTED RUNWAYS.</t>
        </is>
      </c>
    </row>
    <row r="87">
      <c r="C87" s="143" t="inlineStr">
        <is>
          <t>134 43</t>
        </is>
      </c>
      <c r="D87" s="143" t="inlineStr">
        <is>
          <t>INSTR LAND SYS</t>
        </is>
      </c>
      <c r="E87" s="143" t="inlineStr">
        <is>
          <t>EA</t>
        </is>
      </c>
      <c r="F87" s="143" t="n"/>
      <c r="G87" s="143" t="n"/>
      <c r="H87" s="143" t="n"/>
      <c r="I87" s="143" t="inlineStr">
        <is>
          <t>THE INSTRUMENT LANDING SYSTEM (ILS) PROVIDES AZIMUTH, DISTANCE, ELEVATION, AND GLIDE PATH POSITION TO AIRCRAFT ON A PRECISION APPROACH TO THE ILS INSTRUMENTED RUNWAY. THE ILS OPERATES IN THE VHF AND UHF RADIO BANDS.</t>
        </is>
      </c>
    </row>
    <row r="88">
      <c r="C88" s="143" t="inlineStr">
        <is>
          <t>134 44</t>
        </is>
      </c>
      <c r="D88" s="143" t="inlineStr">
        <is>
          <t>MICROW LAND SYS</t>
        </is>
      </c>
      <c r="E88" s="143" t="inlineStr">
        <is>
          <t>EA</t>
        </is>
      </c>
      <c r="F88" s="143" t="n"/>
      <c r="G88" s="143" t="n"/>
      <c r="H88" s="143" t="n"/>
      <c r="I88" s="143" t="inlineStr">
        <is>
          <t>THE MICROWAVE LANDING SYSTEM (MLS) PROVIDES AZIMUTH, DISTANCE, ELEVATION, AND GLIDE PATH POSITION TO AIRCRAFT ON A PRECISION APPROACH TO THE MLS INSTRUMENTED RUNWAY. THE MLS OPERATES IN A NARROW BAND MICROWAVE FREQUENCY.</t>
        </is>
      </c>
    </row>
    <row r="89">
      <c r="C89" s="143" t="inlineStr">
        <is>
          <t>134 45</t>
        </is>
      </c>
      <c r="D89" s="143" t="inlineStr">
        <is>
          <t>SHORE AUTOM CARR LAND SYS</t>
        </is>
      </c>
      <c r="E89" s="143" t="inlineStr">
        <is>
          <t>EA</t>
        </is>
      </c>
      <c r="F89" s="143" t="n"/>
      <c r="G89" s="143" t="n"/>
      <c r="H89" s="143" t="n"/>
      <c r="I89" s="143" t="inlineStr">
        <is>
          <t>THE SHORE-BASED AUTOMATIC CARRIER LANDING SYSTEM (ACLS) IS AN UNATTENDED, SELF-CONTAINED RADAR SYSTEM. THE ACLS CONSISTS OF PRECISION TRACKING RADAR COUPLED TO A COMPUTER DATA LINK TO PROVIDE CONTINUOUS INFORMATION TO THE AIRCRAFT, MONITORING CAPABILITY TO THE PILOT, AND A BACKUP APPROACH SYSTEM.</t>
        </is>
      </c>
    </row>
    <row r="90">
      <c r="C90" s="143" t="inlineStr">
        <is>
          <t>134 50</t>
        </is>
      </c>
      <c r="D90" s="143" t="inlineStr">
        <is>
          <t>OBSTRUCTION LTG / MARKINGS</t>
        </is>
      </c>
      <c r="E90" s="143" t="inlineStr">
        <is>
          <t>EA</t>
        </is>
      </c>
      <c r="F90" s="143" t="n"/>
      <c r="G90" s="143" t="n"/>
      <c r="H90" s="143" t="n"/>
      <c r="I90" s="143" t="inlineStr">
        <is>
          <t>OBSTRUCTION LIGHTING PROVIDES VISUAL IDENTIFICATION OF OBJECTS AT NIGHT, OR IN SOME CASES IN DAY TIMES, THAT ARE POTENTIALLY HAZARDOUS TO AIR NAVIGATION.</t>
        </is>
      </c>
    </row>
    <row r="91">
      <c r="C91" s="143" t="inlineStr">
        <is>
          <t>134 55</t>
        </is>
      </c>
      <c r="D91" s="143" t="inlineStr">
        <is>
          <t>VISUAL APPR SLOPE INDICTR</t>
        </is>
      </c>
      <c r="E91" s="143" t="inlineStr">
        <is>
          <t>EA</t>
        </is>
      </c>
      <c r="F91" s="143" t="n"/>
      <c r="G91" s="143" t="n"/>
      <c r="H91" s="143" t="n"/>
      <c r="I91" s="143" t="inlineStr">
        <is>
          <t>THE VISUAL APPROACH SLOPE INDICATOR (VASI) SYSTEM IS AN UNATTENDED SYSTEM THAT PROVIDES VISUAL GLIDE SLOPE GUIDANCE TO PILOTS OF AIRCRAFT DURING THE FINAL LANDING APPROACH. THE VASI IS HELPFUL DURING DAY AND NIGHT OPERATIONS AND FOR VISUAL FLIGHT RULES (VFR) AND INSTRUMENT FLIGHT RULES (IFR) OPERATIONS.</t>
        </is>
      </c>
    </row>
    <row r="92">
      <c r="C92" s="143" t="inlineStr">
        <is>
          <t>134 56</t>
        </is>
      </c>
      <c r="D92" s="143" t="inlineStr">
        <is>
          <t>PREC APPR PATH IND SYS</t>
        </is>
      </c>
      <c r="E92" s="143" t="inlineStr">
        <is>
          <t>EA</t>
        </is>
      </c>
      <c r="F92" s="143" t="n"/>
      <c r="G92" s="143" t="n"/>
      <c r="H92" s="143" t="n"/>
      <c r="I92" s="143" t="inlineStr">
        <is>
          <t>THE PRECISION APPROACH PATH INDICATOR (PAPI) SYSTEM IS AN UNATTENDED SYSTEM WHICH PROVIDES VISUAL GLIDE SLOPE GUIDANCE TO PILOTS OF AIRCRAFT DURING THE FINAL LANDING APPROACH. THE PAPI SYSTEM PROVIDES THIS INFORMATION DURING THE DAY AND NIGHT FOR VISUAL FLIGHT RULES (VFR) AND INSTRUMENT FLIGHT RULES (IFR) OPERATIONS AS LOW AS CATEGORY I CONDITIONS.</t>
        </is>
      </c>
    </row>
    <row r="93">
      <c r="C93" s="143" t="inlineStr">
        <is>
          <t>134 60</t>
        </is>
      </c>
      <c r="D93" s="143" t="inlineStr">
        <is>
          <t>OPT LANDING AIDS</t>
        </is>
      </c>
      <c r="E93" s="143" t="inlineStr">
        <is>
          <t>EA</t>
        </is>
      </c>
      <c r="F93" s="143" t="n"/>
      <c r="G93" s="143" t="n"/>
      <c r="H93" s="143" t="n"/>
      <c r="I93" s="143" t="inlineStr">
        <is>
          <t>OPTICAL LANDING AIDS PROVIDE THE PILOT APPROACHING FOR A LANDING WITH A VISUAL SIGNAL TO ASSIST IN INTERCEPTING AND MAINTAINING THE CORRECT APPROACH GLIDE SLOPE. THE OLA IS A REQUIRED VISUAL AID FOR LANDINGS ON AIRCRAFT CARRIERS, BUT ON SHORE-BASED AIRFIELDS THE OLA IS PRIMARILY AN AID FOR TRAINING OR PRACTICE. THE OLA MAY BE USED DURING DAY OR NIGHT OPERATIONS AND IN ALL WEATHER CONDITIONS.</t>
        </is>
      </c>
    </row>
    <row r="94">
      <c r="C94" s="143" t="inlineStr">
        <is>
          <t>134 62</t>
        </is>
      </c>
      <c r="D94" s="143" t="inlineStr">
        <is>
          <t>WIND DIRECTION INDICATOR</t>
        </is>
      </c>
      <c r="E94" s="143" t="inlineStr">
        <is>
          <t>EA</t>
        </is>
      </c>
      <c r="F94" s="143" t="n"/>
      <c r="G94" s="143" t="n"/>
      <c r="H94" s="143" t="n"/>
      <c r="I94" s="143" t="inlineStr">
        <is>
          <t>A WIND DIRECTION INDICATOR PROVIDES VISUAL INFORMATION OF THE SURFACE WIND DIRECTION AND GENERAL INDICATION OF THE WIND SPEED TO THE AIRCREW. THIS WIND INFORMATION IS MOST USEFUL DURING TAKEOFF, FOR ORIENTATION TO MAKE AN APPROACH, AND IN THE FINAL PHASE OF APPROACH PRIOR TO TOUCHDOWN.</t>
        </is>
      </c>
    </row>
    <row r="95">
      <c r="C95" s="143" t="inlineStr">
        <is>
          <t>134 64</t>
        </is>
      </c>
      <c r="D95" s="143" t="inlineStr">
        <is>
          <t>RUNWAY DISTANCE MARKERS</t>
        </is>
      </c>
      <c r="E95" s="143" t="inlineStr">
        <is>
          <t>EA</t>
        </is>
      </c>
      <c r="F95" s="143" t="n"/>
      <c r="G95" s="143" t="n"/>
      <c r="H95" s="143" t="n"/>
      <c r="I95" s="143" t="inlineStr">
        <is>
          <t>THE PURPOSE OF RUNWAY DISTANCE MARKERS IS TO INDICATE TO AIRCREWS THE DISTANCE REMAINING TO THE END OF THE RUNWAY DURING TAKEOFF AND LANDING. THE RDM PROVIDE THIS INFORMATION FOR DAY AND NIGHT OPERATIONS IN ALL WEATHER CONDITIONS. THE RDM SHOULD BE PROVIDED FOR ALL RUNWAYS WHERE FIXED WING JET AIRCRAFT OPS ARE CONDUCTED AND ARE RECOMMENDED FOR RUNWAYS INTENDED FOR OPS OF PROPELLER TYPE AIRCRAFT.</t>
        </is>
      </c>
    </row>
    <row r="96">
      <c r="C96" s="143" t="inlineStr">
        <is>
          <t>134 66</t>
        </is>
      </c>
      <c r="D96" s="143" t="inlineStr">
        <is>
          <t>VOR/TACAN CHK SIGN</t>
        </is>
      </c>
      <c r="E96" s="143" t="inlineStr">
        <is>
          <t>EA</t>
        </is>
      </c>
      <c r="F96" s="143" t="n"/>
      <c r="G96" s="143" t="n"/>
      <c r="H96" s="143" t="n"/>
      <c r="I96" s="143" t="inlineStr">
        <is>
          <t>A VOR/TACAN CHECK SIGN PROVIDES INFORMATION FOR THE PILOT WHEN VERIFYING THE OPERATION OF THE NAVIGATIONAL AID IN THE AIRCRAFT BEFORE TAKING OFF. THIS CHECK SIGN IS A VISUAL IDENTIFICATION MARKER ERECTED IN THE AREA ADJACENT TO THE AIRCRAFT HOLDING POINT AT THE TAXIWAY ACCESS TO RUNWAY ENDS.</t>
        </is>
      </c>
    </row>
    <row r="97">
      <c r="C97" s="143" t="inlineStr">
        <is>
          <t>134 70</t>
        </is>
      </c>
      <c r="D97" s="143" t="inlineStr">
        <is>
          <t>RADAR TOWER</t>
        </is>
      </c>
      <c r="E97" s="143" t="inlineStr">
        <is>
          <t>EA</t>
        </is>
      </c>
      <c r="F97" s="143" t="n"/>
      <c r="G97" s="143" t="n"/>
      <c r="H97" s="143" t="n"/>
      <c r="I97" s="143" t="inlineStr">
        <is>
          <t>RADAR TOWERS ARE TOWERS HOSTING VARIOUS RADAR SYSTEMS AND MUST BE PLANNED ON AN INDIVIDUAL BASIS.</t>
        </is>
      </c>
    </row>
    <row r="98">
      <c r="C98" s="143" t="inlineStr">
        <is>
          <t>134 71</t>
        </is>
      </c>
      <c r="D98" s="143" t="inlineStr">
        <is>
          <t>AVIATION METEORLOGICAL FAC</t>
        </is>
      </c>
      <c r="E98" s="143" t="inlineStr">
        <is>
          <t>EA</t>
        </is>
      </c>
      <c r="F98" s="143" t="n"/>
      <c r="G98" s="143" t="n"/>
      <c r="H98" s="143" t="n"/>
      <c r="I98" s="143" t="inlineStr">
        <is>
          <t>WEATHER FORECASTING FACILITY THAT SUPPORTS AIR OPERATIONS.</t>
        </is>
      </c>
    </row>
    <row r="99">
      <c r="C99" s="143" t="inlineStr">
        <is>
          <t>135 10</t>
        </is>
      </c>
      <c r="D99" s="143" t="inlineStr">
        <is>
          <t>COMM LINES EXCL TELEPHONE</t>
        </is>
      </c>
      <c r="E99" s="143" t="inlineStr">
        <is>
          <t>MI</t>
        </is>
      </c>
      <c r="F99" s="143" t="n"/>
      <c r="G99" s="143" t="n"/>
      <c r="H99" s="143" t="n"/>
      <c r="I99" s="143" t="inlineStr">
        <is>
          <t>COMMUNICATION LINES PROVIDE CIRCUITS BETWEEN THE VARIOUS ACTIVITIES ON OR OFF THE STATION. THE COMMUNICATIONS NET MAY INCLUDE TRUNK LINE SERVICE CABLE, FEEDER LINES, AND DIRECT CIRCUITS DEPENDING ON THE COMPLEXITY OF THE SYSTEM.</t>
        </is>
      </c>
    </row>
    <row r="100">
      <c r="C100" s="143" t="inlineStr">
        <is>
          <t>135 20</t>
        </is>
      </c>
      <c r="D100" s="143" t="inlineStr">
        <is>
          <t>TELEPHONE LINES</t>
        </is>
      </c>
      <c r="E100" s="143" t="inlineStr">
        <is>
          <t>MI</t>
        </is>
      </c>
      <c r="F100" s="143" t="n"/>
      <c r="G100" s="143" t="n"/>
      <c r="H100" s="143" t="n"/>
      <c r="I100" s="143" t="inlineStr">
        <is>
          <t>COMMUNICATION LINES, TO INCLUDE OVERHEAD, UNDERGROUND, AND MARINE CABLES AND LINES.</t>
        </is>
      </c>
    </row>
    <row r="101">
      <c r="C101" s="143" t="inlineStr">
        <is>
          <t>136 10</t>
        </is>
      </c>
      <c r="D101" s="143" t="inlineStr">
        <is>
          <t>APPROACH LIGHTING</t>
        </is>
      </c>
      <c r="E101" s="143" t="inlineStr">
        <is>
          <t>LF</t>
        </is>
      </c>
      <c r="F101" s="143" t="n"/>
      <c r="G101" s="143" t="n"/>
      <c r="H101" s="143" t="n"/>
      <c r="I101" s="143" t="inlineStr">
        <is>
          <t>APPROACH LIGHTING ENHANCES THE AIRCREW¿S ABILITY TO ACQUIRE THE RUNWAY ENVIRONMENT VISUALLY WHEN MAKING AN APPROACH FOR LANDING DURING PERIODS OF REDUCED VISIBILITY. VISUAL CUES FOR DIRECTIONAL AND ROLL GUIDANCE ARE PROVIDED TO THE AIRCREW FOR OPERATIONS AT NIGHT AND IN MARGINAL WEATHER CONDITIONS BY DAY. THE SYSTEM INCLUDES BOTH APPROACH LIGHTS AND SEQUENCED FLASHERS.</t>
        </is>
      </c>
    </row>
    <row r="102">
      <c r="C102" s="143" t="inlineStr">
        <is>
          <t>136 20</t>
        </is>
      </c>
      <c r="D102" s="143" t="inlineStr">
        <is>
          <t>APRON &amp; PKG APRN LIGHTING</t>
        </is>
      </c>
      <c r="E102" s="143" t="inlineStr">
        <is>
          <t>LF</t>
        </is>
      </c>
      <c r="F102" s="143" t="n"/>
      <c r="G102" s="143" t="n"/>
      <c r="H102" s="143" t="n"/>
      <c r="I102" s="143" t="inlineStr">
        <is>
          <t>APRON AND PARKING AREA LIGHTING ENABLES THE AIRCREW TO GUIDE THEIR AIRCRAFT INTO POSITION FOR LOADING, SERVICING, OR PARKING AND PROVIDES ILLUMINATION TO PERFORM SUCH FUNCTIONS AS FUELING, MAINTENANCE, LOADING, UNLOADING, AND SECURITY.</t>
        </is>
      </c>
    </row>
    <row r="103">
      <c r="C103" s="143" t="inlineStr">
        <is>
          <t>136 30</t>
        </is>
      </c>
      <c r="D103" s="143" t="inlineStr">
        <is>
          <t>RUNWAY EDGE LIGHTING</t>
        </is>
      </c>
      <c r="E103" s="143" t="inlineStr">
        <is>
          <t>LF</t>
        </is>
      </c>
      <c r="F103" s="143" t="n"/>
      <c r="G103" s="143" t="n"/>
      <c r="H103" s="143" t="n"/>
      <c r="I103" s="143" t="inlineStr">
        <is>
          <t>THIS CATEGORY CODE INCLUDES TWO GROUPS OF LIGHTS, RUNWAY EDGE LIGHTS, WHICH DEFINE THE LATERAL LIMITS OF THE PAVEMENT, AND CIRCLING GUIDANCE LIGHTS (CGLS), WHICH ENABLE AN AIRBORNE AIRCREW TO LOCATE THE RUNWAY WHILE OFF TO THE SIDE OF THE RUNWAY, AND ESTABLISH THE PROPER TRAFFIC PATTERN.</t>
        </is>
      </c>
    </row>
    <row r="104">
      <c r="C104" s="143" t="inlineStr">
        <is>
          <t>136 35</t>
        </is>
      </c>
      <c r="D104" s="143" t="inlineStr">
        <is>
          <t>RUNWAY CENTERLINE LIGHTING</t>
        </is>
      </c>
      <c r="E104" s="143" t="inlineStr">
        <is>
          <t>LF</t>
        </is>
      </c>
      <c r="F104" s="143" t="n"/>
      <c r="G104" s="143" t="n"/>
      <c r="H104" s="143" t="n"/>
      <c r="I104" s="143" t="inlineStr">
        <is>
          <t>RUNWAY CENTERLINE LIGHTING PROVIDES VISUAL AID TO ASSIST THE AIRCREW IN KEEPING THE AIRCRAFT CENTERED ON THE RUNWAY DURING TAKE-OFF AND AFTER LANDING AT NIGHT OR IN CONDITION OF REDUCED VISIBILITY. IT IS A SUPPLEMENT TO RUNWAY EDGE LIGHTING AND MARKINGS AND CIRCLING GUIDANCE LIGHTING, CATEGORY CODE 136 30.</t>
        </is>
      </c>
    </row>
    <row r="105">
      <c r="C105" s="143" t="inlineStr">
        <is>
          <t>136 36</t>
        </is>
      </c>
      <c r="D105" s="143" t="inlineStr">
        <is>
          <t>SIMULATE CARRIER DECK LTG</t>
        </is>
      </c>
      <c r="E105" s="143" t="inlineStr">
        <is>
          <t>EA</t>
        </is>
      </c>
      <c r="F105" s="143" t="n"/>
      <c r="G105" s="143" t="n"/>
      <c r="H105" s="143" t="n"/>
      <c r="I105" s="143" t="inlineStr">
        <is>
          <t>A SIMULATED CARRIER DECK IS USED TO TRAIN PILOTS ASHORE FOR LANDING AIRCRAFT UNDER SIMULATED CONDITIONS OF A CARRIER AT SEA. SIMULATED CARRIER DECK LIGHTING AND MARKINGS PERMITS TRAINING DURING THE DAY, NIGHT, AND ADVERSE VISIBILITY CONDITIONS.</t>
        </is>
      </c>
    </row>
    <row r="106">
      <c r="C106" s="143" t="inlineStr">
        <is>
          <t>136 45</t>
        </is>
      </c>
      <c r="D106" s="143" t="inlineStr">
        <is>
          <t>WHEELS UP / WAVE OFF LTG</t>
        </is>
      </c>
      <c r="E106" s="143" t="inlineStr">
        <is>
          <t>EA</t>
        </is>
      </c>
      <c r="F106" s="143" t="n"/>
      <c r="G106" s="143" t="n"/>
      <c r="H106" s="143" t="n"/>
      <c r="I106" s="143" t="inlineStr">
        <is>
          <t>WHEELS-UP AND WAVE-OFF LIGHTS ARE PROVIDED TO ALLOW EITHER THE WHEEL WATCH, THE LANDING SIGNAL OFFICER (LSO), OR CONTROL TOWER PERSONNEL TO DETERMINE IF A LANDING AIRCRAFT HAS ITS LANDING GEAR FULLY EXTENDED AND/OR TO SIGNAL TO AN AIRCREW TO ABORT OR ¿WAVE-OFF¿ A LANDING ATTEMPT.</t>
        </is>
      </c>
    </row>
    <row r="107">
      <c r="C107" s="143" t="inlineStr">
        <is>
          <t>136 50</t>
        </is>
      </c>
      <c r="D107" s="143" t="inlineStr">
        <is>
          <t>TAXIWAY LIGHTING</t>
        </is>
      </c>
      <c r="E107" s="143" t="inlineStr">
        <is>
          <t>LF</t>
        </is>
      </c>
      <c r="F107" s="143" t="n"/>
      <c r="G107" s="143" t="n"/>
      <c r="H107" s="143" t="n"/>
      <c r="I107" s="143" t="inlineStr">
        <is>
          <t>TAXIWAY LIGHTING AND MARKINGS DEFINE THE LATERAL LIMITS AND DIRECTION OF A TAXIWAY, CATEGORY CODE 112-10, TO GUIDE AIRCRAFT MOVEMENT BETWEEN THE RUNWAY OPERATIONAL AREA AND THE AIRCRAFT PARKING AREA DURING NIGHT OPERATIONS OR CONDITIONS OF POOR VISIBILITY.</t>
        </is>
      </c>
    </row>
    <row r="108">
      <c r="C108" s="143" t="inlineStr">
        <is>
          <t>136 55</t>
        </is>
      </c>
      <c r="D108" s="143" t="inlineStr">
        <is>
          <t>TOUCHDOWN ZONE LIGHTING</t>
        </is>
      </c>
      <c r="E108" s="143" t="inlineStr">
        <is>
          <t>EA</t>
        </is>
      </c>
      <c r="F108" s="143" t="n"/>
      <c r="G108" s="143" t="n"/>
      <c r="H108" s="143" t="n"/>
      <c r="I108" s="143" t="inlineStr">
        <is>
          <t>TOUCHDOWN ZONE LIGHTING DELINEATES THE TOUCHDOWN ZONE AND PROVIDES DIRECTIONAL AND ROLL GUIDANCE FOR AIRCRAFT APPROACHING THE THRESHOLD. IT PROVIDES VISUAL CUES FOR MORE ACCURATELY CENTERING THE AIRCRAFT ON THE RUNWAY, ADJUSTING ATTITUDE FOR TOUCHDOWN, AND DETERMINING THE TOUCHDOWN POSITION. THE LIGHTING CONSISTS OF BARS OF WHITE LIGHTS IN THE PAVEMENT ON EACH SIDE OF THE RUNWAY CENTERLINE.</t>
        </is>
      </c>
    </row>
    <row r="109">
      <c r="C109" s="143" t="inlineStr">
        <is>
          <t>136 60</t>
        </is>
      </c>
      <c r="D109" s="143" t="inlineStr">
        <is>
          <t>THRESHOLD LIGHTING</t>
        </is>
      </c>
      <c r="E109" s="143" t="inlineStr">
        <is>
          <t>EA</t>
        </is>
      </c>
      <c r="F109" s="143" t="n"/>
      <c r="G109" s="143" t="n"/>
      <c r="H109" s="143" t="n"/>
      <c r="I109" s="143" t="inlineStr">
        <is>
          <t>THRESHOLD LIGHTING IS A SYSTEM OF LIGHTS DEFINING THE ENDS OF THE USABLE RUNWAY SURFACE. THEY INCLUDE THRESHOLD LIGHTS, DISPLACED THRESHOLD LIGHTS, RUNWAY END IDENTIFICATION LIGHTS (REIL) AND RUNWAY END LIGHTS. THE THRESHOLD LIGHTS ARE DISPLACED FROM THE EXTREMITY OF THE RUNWAY WHEN A PORTION IS UNAVAILABLE FOR NORMAL OPERATIONS</t>
        </is>
      </c>
    </row>
    <row r="110">
      <c r="C110" s="143" t="inlineStr">
        <is>
          <t>136 65</t>
        </is>
      </c>
      <c r="D110" s="143" t="inlineStr">
        <is>
          <t>HELIPORT LIGHTING</t>
        </is>
      </c>
      <c r="E110" s="143" t="inlineStr">
        <is>
          <t>LF</t>
        </is>
      </c>
      <c r="F110" s="143" t="n"/>
      <c r="G110" s="143" t="n"/>
      <c r="H110" s="143" t="n"/>
      <c r="I110" s="143" t="inlineStr">
        <is>
          <t>HELIPORT LIGHTING IS A SYSTEM OF LIGHTS ARRANGED TO CLEARLY DEFINE THE HELICOPTER LANDING PAD FOR OPERATIONS AT NIGHT AND DURING PERIODS OF POOR VISIBILITY. HELIPORT LIGHTING INCLUDES ALL VISUAL REFERENCE ASPECTS OF THE APPROACH AND LANDING OF ROTARY WING AIRCRAFT. THIS INCLUDES VISUAL AIDS, MARKINGS, PERIMETER AND APPROACH LIGHTS, AND RUNWAY AND TAXIWAY LIGHTS.</t>
        </is>
      </c>
    </row>
    <row r="111">
      <c r="C111" s="143" t="inlineStr">
        <is>
          <t>137 20</t>
        </is>
      </c>
      <c r="D111" s="143" t="inlineStr">
        <is>
          <t>LIGHTHOUSE</t>
        </is>
      </c>
      <c r="E111" s="143" t="inlineStr">
        <is>
          <t>SF</t>
        </is>
      </c>
      <c r="F111" s="143" t="n"/>
      <c r="G111" s="143" t="n"/>
      <c r="H111" s="143" t="n"/>
      <c r="I111" s="143" t="inlineStr">
        <is>
          <t>A LIGHTHOUSE IS A BUILDING THAT HOUSES A NAVIGATION BEACON THAT MAY EMIT LIGHT, SOUND, RADIO, RADAR, OR A COMBINATION THEREOF. IT MAY BE ONSHORE OR OFFSHORE. CONSTRUCTION IS DONE OVERSEAS WHEN APPROPRIATE BY THE NAVAL FACILITIES ENGINEERING COMMAND.</t>
        </is>
      </c>
    </row>
    <row r="112">
      <c r="C112" s="143" t="inlineStr">
        <is>
          <t>138 10</t>
        </is>
      </c>
      <c r="D112" s="143" t="inlineStr">
        <is>
          <t>BEACON-SHIP</t>
        </is>
      </c>
      <c r="E112" s="143" t="inlineStr">
        <is>
          <t>EA</t>
        </is>
      </c>
      <c r="F112" s="143" t="n"/>
      <c r="G112" s="143" t="n"/>
      <c r="H112" s="143" t="n"/>
      <c r="I112" s="143" t="inlineStr">
        <is>
          <t>THE U.S. COAST GUARD HAS SPECIFIC JURISDICTION OVER ALL AIDS TO NAVIGATION (DAY BEACONS, BUOYS, FOGHORNS, ETC.,) IN THE CONTINENTAL UNITED STATES AND IN ALL OUTLYING TERRITORIES AND POSSESSIONS. DAY BEACONS ARE UNLIGHTED STRUCTURES USED TO MARK ISOLATED DANGERS OR CHANNELS, EDGES, OR ALIGNMENT.</t>
        </is>
      </c>
    </row>
    <row r="113">
      <c r="C113" s="143" t="inlineStr">
        <is>
          <t>138 20</t>
        </is>
      </c>
      <c r="D113" s="143" t="inlineStr">
        <is>
          <t>NAVIGATION AID TARGET</t>
        </is>
      </c>
      <c r="E113" s="143" t="inlineStr">
        <is>
          <t>EA</t>
        </is>
      </c>
      <c r="F113" s="143" t="n"/>
      <c r="G113" s="143" t="n"/>
      <c r="H113" s="143" t="n"/>
      <c r="I113" s="143" t="inlineStr">
        <is>
          <t>THIS CATEGORY CODE IS TO BE USED FOR NAVIGATIONAL AID TARGETS WHICH ARE A PART OF MARITIME NAVIGATIONAL AIDS.</t>
        </is>
      </c>
    </row>
    <row r="114">
      <c r="C114" s="143" t="inlineStr">
        <is>
          <t>138 25</t>
        </is>
      </c>
      <c r="D114" s="143" t="inlineStr">
        <is>
          <t>ANTENNA- NAVIGATION</t>
        </is>
      </c>
      <c r="E114" s="143" t="inlineStr">
        <is>
          <t>EA</t>
        </is>
      </c>
      <c r="F114" s="143" t="n"/>
      <c r="G114" s="143" t="n"/>
      <c r="H114" s="143" t="n"/>
      <c r="I114" s="143" t="inlineStr">
        <is>
          <t>THIS CATEGORY CODE IS TO BE USED FOR ANTENNAS OR ANTENNA SYSTEMS WHICH ARE A PART OF MARITIME NAVIGATIONAL AIDS.</t>
        </is>
      </c>
    </row>
    <row r="115">
      <c r="C115" s="143" t="inlineStr">
        <is>
          <t>141 11</t>
        </is>
      </c>
      <c r="D115" s="143" t="inlineStr">
        <is>
          <t>AIR PASSENGER TERMINAL</t>
        </is>
      </c>
      <c r="E115" s="143" t="inlineStr">
        <is>
          <t>SF</t>
        </is>
      </c>
      <c r="F115" s="143" t="n"/>
      <c r="G115" s="143" t="n"/>
      <c r="H115" s="143" t="n"/>
      <c r="I115" s="143" t="inlineStr">
        <is>
          <t>THE AIR PASSENGER TERMINAL PROVIDES FACILITIES FOR PROCESSING AUTHORIZED PASSENGERS AND THEIR BAGGAGE AND FOR PROCESSING INCIDENTAL FREIGHT. SPACE IS PROVIDED IN THE TERMINAL FOR THE FOLLOWING FUNCTIONAL AREAS: ADMINISTRATIVE SPACE, BAGGAGE CLAIM ROOM, CHECK-IN COUNTER, MINOR FREIGHT STORAGE, INFORMATION COUNTER, AND WAITING LOUNGE WITH FOOD CONCESSIONS.</t>
        </is>
      </c>
    </row>
    <row r="116">
      <c r="C116" s="143" t="inlineStr">
        <is>
          <t>141 12</t>
        </is>
      </c>
      <c r="D116" s="143" t="inlineStr">
        <is>
          <t>AIR CARGO TERMINAL</t>
        </is>
      </c>
      <c r="E116" s="143" t="inlineStr">
        <is>
          <t>SF</t>
        </is>
      </c>
      <c r="F116" s="143" t="n"/>
      <c r="G116" s="143" t="n"/>
      <c r="H116" s="143" t="n"/>
      <c r="I116" s="143" t="inlineStr">
        <is>
          <t>AN AIR CARGO TERMINAL IS PLANNED FOR AIR STATIONS WHERE CARGO AND FREIGHT HANDLING EXCEEDS 10,000 POUNDS PER DAY. THE AIR CARGO TERMINAL IS SEPARATE FROM THE AIR PASSENGER TERMINAL WHERE ONLY INCIDENTAL FREIGHT IS HANDLED. AIR CARGO TERMINAL FUNCTIONS INCLUDE RECEIPT OF PACKAGES, CONTROL DOCUMENTATION, PALLETIZATION, HOLDING FOR SHIPMENT, AIRCRAFT LOADING AND UNLOADING.</t>
        </is>
      </c>
    </row>
    <row r="117">
      <c r="C117" s="143" t="inlineStr">
        <is>
          <t>141 13</t>
        </is>
      </c>
      <c r="D117" s="143" t="inlineStr">
        <is>
          <t>COURIER STATION</t>
        </is>
      </c>
      <c r="E117" s="143" t="inlineStr">
        <is>
          <t>SF</t>
        </is>
      </c>
      <c r="F117" s="143" t="n"/>
      <c r="G117" s="143" t="n"/>
      <c r="H117" s="143" t="n"/>
      <c r="I117" s="143" t="inlineStr">
        <is>
          <t>THIS FACILITY IS USED TO STORE AND DISSEMINATE CLASSIFIED MATERIAL FOR MISSION PLANNING, PILOT TRAINING AND BRIEFINGS IN SUPPORT OF ATTACK AIRCRAFT OPERATIONS.</t>
        </is>
      </c>
    </row>
    <row r="118">
      <c r="C118" s="143" t="inlineStr">
        <is>
          <t>141 20</t>
        </is>
      </c>
      <c r="D118" s="143" t="inlineStr">
        <is>
          <t>ACFT FIRE AND RESCUE STA</t>
        </is>
      </c>
      <c r="E118" s="143" t="inlineStr">
        <is>
          <t>SF</t>
        </is>
      </c>
      <c r="F118" s="143" t="n"/>
      <c r="G118" s="143" t="n"/>
      <c r="H118" s="143" t="n"/>
      <c r="I118" s="143" t="inlineStr">
        <is>
          <t>THE AIRCRAFT FIRE AND RESCUE STATION PROVIDES FIRE AND EMERGENCY RESCUE PROTECTION FOR PILOTS AND AIRCRAFT. WHEN FEASIBLE, THE AIRCRAFT FIRE AND RESCUE STATION IS COMBINED WITH THE STRUCTURAL FIRE STATION (CATEGORY CODE 730 10) TO FORM ONE COMPLETE EMERGENCY FACILITY, CATEGORY CODE 141 25, COMBINED STRUCTURAL/ AIRCRAFT FIRE/RESCUE STATION.</t>
        </is>
      </c>
    </row>
    <row r="119">
      <c r="C119" s="143" t="inlineStr">
        <is>
          <t>141 25</t>
        </is>
      </c>
      <c r="D119" s="143" t="inlineStr">
        <is>
          <t>COMBINED FIRE/RESCUE STA</t>
        </is>
      </c>
      <c r="E119" s="143" t="inlineStr">
        <is>
          <t>SF</t>
        </is>
      </c>
      <c r="F119" s="143" t="n"/>
      <c r="G119" s="143" t="n"/>
      <c r="H119" s="143" t="n"/>
      <c r="I119" s="143" t="inlineStr">
        <is>
          <t>A COMBINED STRUCTURAL/AIRCRAFT FIRE/RESCUE STATION IS PLANNED UNDER CERTAIN CONDITIONS TO SERVE THE FUNCTION OF A STRUCTURAL FIRE STATION (CATEGORY CODE 730 10) AND AN AIRCRAFT FIRE AND RESCUE STATIONS. FIRE AND RESCUE STATION. THE COMBINED FACILITY IS PLANNED FOR A LOCATION THAT SATISFIES THE RESPONSE TIME AND DISTANCE REQUIREMENTS FOR BOTH THE STRUCTURAL FIRE AND THE AIRCRAFT FIRE.</t>
        </is>
      </c>
    </row>
    <row r="120">
      <c r="C120" s="143" t="inlineStr">
        <is>
          <t>141 30</t>
        </is>
      </c>
      <c r="D120" s="143" t="inlineStr">
        <is>
          <t>ACFT LINE OPERATIONS BLDG</t>
        </is>
      </c>
      <c r="E120" s="143" t="inlineStr">
        <is>
          <t>SF</t>
        </is>
      </c>
      <c r="F120" s="143" t="n"/>
      <c r="G120" s="143" t="n"/>
      <c r="H120" s="143" t="n"/>
      <c r="I120" s="143" t="inlineStr">
        <is>
          <t>THE AIRCRAFT LINE OPERATIONS BUILDING IS USED TO CENTRALIZE GROUND OPERATIONS OF THE FLIGHT LINE. THE BUILDING IS UTILIZED IN KEEPING OF SQUADRON DAILY FLIGHT BOOKS, AIRCRAFT STATUS BOARDS, AND BULLETIN BOARDS AND AS SUPPORT FOR LINE OPERATIONS PERSONNEL BY PROVIDING SHELTER, A WATER COOLER, AND A CHEMICAL TOILET.</t>
        </is>
      </c>
    </row>
    <row r="121">
      <c r="C121" s="143" t="inlineStr">
        <is>
          <t>141 40</t>
        </is>
      </c>
      <c r="D121" s="143" t="inlineStr">
        <is>
          <t>ACFT OPS BLDG *EXC 141-70*</t>
        </is>
      </c>
      <c r="E121" s="143" t="inlineStr">
        <is>
          <t>SF</t>
        </is>
      </c>
      <c r="F121" s="143" t="n"/>
      <c r="G121" s="143" t="n"/>
      <c r="H121" s="143" t="n"/>
      <c r="I121" s="143" t="inlineStr">
        <is>
          <t>AN AIRCRAFT OPERATIONS BUILDING IS PLANNED FOR ALL NAVY AIR STATIONS, AUXILIARY AIR STATIONS, AND AIR FACILITIES. THE BUILDING HOUSES THE ADMINISTRATION OF FLIGHT OPERATIONAL ACTIVITIES WITH ALL SUPPORTING FUNCTIONS INCLUDING FLIGHT CONTROL, COMMUNICATIONS, AND WEATHER SERVICES.</t>
        </is>
      </c>
    </row>
    <row r="122">
      <c r="C122" s="143" t="inlineStr">
        <is>
          <t>141 41</t>
        </is>
      </c>
      <c r="D122" s="143" t="inlineStr">
        <is>
          <t>MATCU OPERATIONS BUILDING</t>
        </is>
      </c>
      <c r="E122" s="143" t="inlineStr">
        <is>
          <t>SF</t>
        </is>
      </c>
      <c r="F122" s="143" t="n"/>
      <c r="G122" s="143" t="n"/>
      <c r="H122" s="143" t="n"/>
      <c r="I122" s="143" t="inlineStr">
        <is>
          <t>THE MATCU PERFORMS A COMBINED FUNCTION SIMILAR TO THAT ACCOMPLISHED WITH GROUND CONTROL APPROACH (GCA) SYSTEM; TACAN BUILDING; AND, AIR SURVEILLANCE RADAR (ASR) BUILDING. DEPENDING ON THE LEVEL OF AIRCRAFT OPERATIONS, THE MATCU OPERATIONS BUILDING MAY PROVIDE THE SOLE GCA SUPPORT AT AN AIR INSTALLATION OR MAY SUPPLEMENT AND BE IN ADDITION TO PERMANENT ASR, TACAN, AND GCA FACILITIES</t>
        </is>
      </c>
    </row>
    <row r="123">
      <c r="C123" s="143" t="inlineStr">
        <is>
          <t>141 42</t>
        </is>
      </c>
      <c r="D123" s="143" t="inlineStr">
        <is>
          <t>AIR INTELLIGENCE SUPPT CTR</t>
        </is>
      </c>
      <c r="E123" s="143" t="inlineStr">
        <is>
          <t>SF</t>
        </is>
      </c>
      <c r="F123" s="143" t="n"/>
      <c r="G123" s="143" t="n"/>
      <c r="H123" s="143" t="n"/>
      <c r="I123" s="143" t="inlineStr">
        <is>
          <t>THIS FACILITY IS USED TO STORE AND DISSEMINATE CLASSIFIED MATERIAL FOR MISSION PLANNING, PILOT TRAINING AND BRIEFINGS IN SUPPORT OF ATTACK AIRCRAFT OPERATIONS.</t>
        </is>
      </c>
    </row>
    <row r="124">
      <c r="C124" s="143" t="inlineStr">
        <is>
          <t>141 60</t>
        </is>
      </c>
      <c r="D124" s="143" t="inlineStr">
        <is>
          <t>VISUAL INFORMATION FAC</t>
        </is>
      </c>
      <c r="E124" s="143" t="inlineStr">
        <is>
          <t>SF</t>
        </is>
      </c>
      <c r="F124" s="143" t="n"/>
      <c r="G124" s="143" t="n"/>
      <c r="H124" s="143" t="n"/>
      <c r="I124" s="143" t="inlineStr">
        <is>
          <t>A PHOTOGRAPHIC BUILDING IS PLANNED TO SUPPORT THE PHOTOGRAPHIC MISSION OF AN ACTIVITY. IT PROVIDES THE LABORATORY COMPLETE WITH EQUIPMENT AND STORAGE THAT APPLIES TO THE SPECIFIC MISSION.</t>
        </is>
      </c>
    </row>
    <row r="125">
      <c r="C125" s="143" t="inlineStr">
        <is>
          <t>141 65</t>
        </is>
      </c>
      <c r="D125" s="143" t="inlineStr">
        <is>
          <t>FLEET RECON PHOTO LAB</t>
        </is>
      </c>
      <c r="E125" s="143" t="inlineStr">
        <is>
          <t>SF</t>
        </is>
      </c>
      <c r="F125" s="143" t="n"/>
      <c r="G125" s="143" t="n"/>
      <c r="H125" s="143" t="n"/>
      <c r="I125" s="143" t="inlineStr">
        <is>
          <t>A FLEET RECONNAISSANCE PHOTOGRAPHIC LABORATORY IS PLANNED ONLY WHERE THE STATION SUPPORTS THE MISSION OF PHOTOGRAPHIC RECONNAISSANCE SQUADRONS AND THERE IS NO PHOTOGRAPHIC BUILDING (CATEGORY CODE 141 60) TO PROVIDE THE SUPPORT.</t>
        </is>
      </c>
    </row>
    <row r="126">
      <c r="C126" s="143" t="inlineStr">
        <is>
          <t>141 70</t>
        </is>
      </c>
      <c r="D126" s="143" t="inlineStr">
        <is>
          <t>Air Traffic Control Tower</t>
        </is>
      </c>
      <c r="E126" s="143" t="inlineStr">
        <is>
          <t>SF</t>
        </is>
      </c>
      <c r="F126" s="143" t="n">
        <v>2956</v>
      </c>
      <c r="G126" s="143" t="inlineStr">
        <is>
          <t>Standard 6-floor tower &amp; cab; add levels for height.</t>
        </is>
      </c>
      <c r="H126" s="143" t="n">
        <v>1.1</v>
      </c>
      <c r="I126" s="143" t="inlineStr">
        <is>
          <t>Each tower</t>
        </is>
      </c>
    </row>
    <row r="127">
      <c r="C127" s="143" t="inlineStr">
        <is>
          <t>141 81</t>
        </is>
      </c>
      <c r="D127" s="143" t="inlineStr">
        <is>
          <t>GCA CREW FACILITY</t>
        </is>
      </c>
      <c r="E127" s="143" t="inlineStr">
        <is>
          <t>SF</t>
        </is>
      </c>
      <c r="F127" s="143" t="n"/>
      <c r="G127" s="143" t="n"/>
      <c r="H127" s="143" t="n"/>
      <c r="I127" s="143" t="inlineStr">
        <is>
          <t>THE GROUND CONTROL APPROACH (GCA) CREW FACILITY PROVIDES A READY ROOM FOR ON DUTY PERSONNEL ASSIGNED TO THE GCA VAN. THE FACILITY CONSISTS OF TWO (2) STANDARD DESIGN SKID-MOUNTED SHELTERS (EACH 12 FEET BY 20 FEET). THE CREW FACILITY IS AUTHORIZED WHENEVER THE MOBILE GCA UNIT IS FURNISHED.</t>
        </is>
      </c>
    </row>
    <row r="128">
      <c r="C128" s="143" t="inlineStr">
        <is>
          <t>141 82</t>
        </is>
      </c>
      <c r="D128" s="143" t="inlineStr">
        <is>
          <t>FULL PRESSURE SUIT FAC</t>
        </is>
      </c>
      <c r="E128" s="143" t="inlineStr">
        <is>
          <t>SF</t>
        </is>
      </c>
      <c r="F128" s="143" t="n"/>
      <c r="G128" s="143" t="n"/>
      <c r="H128" s="143" t="n"/>
      <c r="I128" s="143" t="inlineStr">
        <is>
          <t>PRESSURE SUIT MAINTENANCE PERFORMED UNDER THIS CATCODE, NORMALLY IN THE PARACHUTE AND SURVIVAL EQUIPMENT SHOP (CATEGORY CODE 211 34). SPECIAL JUSTIFICATION IS REQUIRED TO PROVIDE A SEPARATE FACILITY FOR THIS PURPOSE.</t>
        </is>
      </c>
    </row>
    <row r="129">
      <c r="C129" s="143" t="inlineStr">
        <is>
          <t>141 87</t>
        </is>
      </c>
      <c r="D129" s="143" t="inlineStr">
        <is>
          <t>LIQUID OXY/NIT FAC(NONIND)</t>
        </is>
      </c>
      <c r="E129" s="143" t="inlineStr">
        <is>
          <t>SF</t>
        </is>
      </c>
      <c r="F129" s="143" t="n"/>
      <c r="G129" s="143" t="n"/>
      <c r="H129" s="143" t="n"/>
      <c r="I129" s="143" t="inlineStr">
        <is>
          <t>A LIQUID OXYGEN/NITROGEN FACILITY IS REQUIRED AT EACH NAVY AND MARINE CORPS AIR STATION WHERE 50 OR MORE ATTACK AND FIGHTER-TYPE AIRCRAFT ATE ASSIGNED. THE FACILITY PROVIDES FOR STORAGE, VAPORIZATION, AND TRANSFER OF NON- INDUSTRIAL OXYGEN AND NITROGEN AND FOR TEST AND REPAIR OF CRYOGENIC EQUIPMENT ASSOCIATED WITH AVIATOR AND AIRCRAFT SUPPORT.</t>
        </is>
      </c>
    </row>
    <row r="130">
      <c r="C130" s="143" t="inlineStr">
        <is>
          <t>141 88</t>
        </is>
      </c>
      <c r="D130" s="143" t="inlineStr">
        <is>
          <t>HARDENED AIRCRAFT SHELTER</t>
        </is>
      </c>
      <c r="E130" s="143" t="inlineStr">
        <is>
          <t>SF</t>
        </is>
      </c>
      <c r="F130" s="143" t="n"/>
      <c r="G130" s="143" t="n"/>
      <c r="H130" s="143" t="n"/>
      <c r="I130" s="143" t="inlineStr">
        <is>
          <t>A REINFORCED HANGAR OR SHELTER USED TO PROTECT AIRCRAFT FROM ATTACK AND OFTEN USED IN FORWARD DEPLOYED LOCATIONS.</t>
        </is>
      </c>
    </row>
    <row r="131">
      <c r="C131" s="143" t="inlineStr">
        <is>
          <t>142 10</t>
        </is>
      </c>
      <c r="D131" s="143" t="inlineStr">
        <is>
          <t>HELIUM PROCESSING PLANT</t>
        </is>
      </c>
      <c r="E131" s="143" t="inlineStr">
        <is>
          <t>SF</t>
        </is>
      </c>
      <c r="F131" s="143" t="n"/>
      <c r="G131" s="143" t="n"/>
      <c r="H131" s="143" t="n"/>
      <c r="I131" s="143" t="inlineStr">
        <is>
          <t>A BUILDING FOR THE RECEIPT, BULK STORAGE, PROCESSING, AND DISPENSING OF HELIUM GAS. INCLUDED ARE TANKS, VALVES, VALVE CHAMBERS, AND SIMILAR EQUIPMENT.</t>
        </is>
      </c>
    </row>
    <row r="132">
      <c r="C132" s="143" t="inlineStr">
        <is>
          <t>142 19</t>
        </is>
      </c>
      <c r="D132" s="143" t="inlineStr">
        <is>
          <t>HELIUM STORAGE BUILDING</t>
        </is>
      </c>
      <c r="E132" s="143" t="inlineStr">
        <is>
          <t>SF</t>
        </is>
      </c>
      <c r="F132" s="143" t="n"/>
      <c r="G132" s="143" t="n"/>
      <c r="H132" s="143" t="n"/>
      <c r="I132" s="143" t="inlineStr">
        <is>
          <t>A BUILDING FOR THE STORAGE OF BULK HELIUM GAS.</t>
        </is>
      </c>
    </row>
    <row r="133">
      <c r="C133" s="143" t="inlineStr">
        <is>
          <t>142 20</t>
        </is>
      </c>
      <c r="D133" s="143" t="inlineStr">
        <is>
          <t>HELIUM STORAGE FACILITY</t>
        </is>
      </c>
      <c r="E133" s="143" t="inlineStr">
        <is>
          <t>EA</t>
        </is>
      </c>
      <c r="F133" s="143" t="n"/>
      <c r="G133" s="143" t="n"/>
      <c r="H133" s="143" t="n"/>
      <c r="I133" s="143" t="inlineStr">
        <is>
          <t>A FACILITY, OTHER THAN A BUILDING, FOR THE BULK STORAGE OF HELIUM GAS.</t>
        </is>
      </c>
    </row>
    <row r="134">
      <c r="C134" s="143" t="inlineStr">
        <is>
          <t>143 09</t>
        </is>
      </c>
      <c r="D134" s="143" t="inlineStr">
        <is>
          <t>EXP OPS SUP FAC</t>
        </is>
      </c>
      <c r="E134" s="143" t="inlineStr">
        <is>
          <t>SF</t>
        </is>
      </c>
      <c r="F134" s="143" t="n"/>
      <c r="G134" s="143" t="n"/>
      <c r="H134" s="143" t="n"/>
      <c r="I134" s="143" t="inlineStr">
        <is>
          <t>AN EXPEDITIONARY OPERATIONS SUPPORT MODULE (EOSM) PROVIDES SPACES FOR THE FOLLOWING: ADMIN, MEDICAL, MISSION PLANNING CELL (MAY OR MAY NOT BE PART OF SCIF), TRAINING CLASSROOMS, ARMORY, STORAGE, AND LOCKER AND SHOWER SPACES.</t>
        </is>
      </c>
    </row>
    <row r="135">
      <c r="C135" s="143" t="inlineStr">
        <is>
          <t>143 10</t>
        </is>
      </c>
      <c r="D135" s="143" t="inlineStr">
        <is>
          <t>Emergency Vehicle Garage</t>
        </is>
      </c>
      <c r="E135" s="143" t="inlineStr">
        <is>
          <t>SF</t>
        </is>
      </c>
      <c r="F135" s="143" t="inlineStr">
        <is>
          <t>see notes</t>
        </is>
      </c>
      <c r="G135" s="143" t="inlineStr">
        <is>
          <t>Vehicle area + 3 ft clearance/side × NTG 1.05.</t>
        </is>
      </c>
      <c r="H135" s="143" t="n">
        <v>1.05</v>
      </c>
      <c r="I135" s="143" t="inlineStr">
        <is>
          <t>Sum of vehicle plan-areas</t>
        </is>
      </c>
    </row>
    <row r="136">
      <c r="C136" s="143" t="inlineStr">
        <is>
          <t>143 11</t>
        </is>
      </c>
      <c r="D136" s="143" t="inlineStr">
        <is>
          <t>Operational Vehicle Garage</t>
        </is>
      </c>
      <c r="E136" s="143" t="inlineStr">
        <is>
          <t>SF</t>
        </is>
      </c>
      <c r="F136" s="143" t="inlineStr">
        <is>
          <t>see notes</t>
        </is>
      </c>
      <c r="G136" s="143" t="inlineStr">
        <is>
          <t>Per Table 14311-1 (Type A 108 NSF … Type G 888 NSF) + 250 SF mech rm.</t>
        </is>
      </c>
      <c r="H136" s="143" t="n">
        <v>1.2</v>
      </c>
      <c r="I136" s="143" t="inlineStr">
        <is>
          <t># of vehicles by Type A–G</t>
        </is>
      </c>
    </row>
    <row r="137">
      <c r="C137" s="143" t="inlineStr">
        <is>
          <t>143 12</t>
        </is>
      </c>
      <c r="D137" s="143" t="inlineStr">
        <is>
          <t>Operational Vehicle Laydown Area</t>
        </is>
      </c>
      <c r="E137" s="143" t="inlineStr">
        <is>
          <t>SY</t>
        </is>
      </c>
      <c r="F137" s="143" t="inlineStr">
        <is>
          <t>see notes</t>
        </is>
      </c>
      <c r="G137" s="143" t="inlineStr">
        <is>
          <t>Per Table 14312-1 (Type A 19 GSY … Type G 99 GSY).</t>
        </is>
      </c>
      <c r="H137" s="143" t="n">
        <v>1</v>
      </c>
      <c r="I137" s="143" t="inlineStr">
        <is>
          <t># of vehicles by Type A–G</t>
        </is>
      </c>
    </row>
    <row r="138">
      <c r="C138" s="143" t="inlineStr">
        <is>
          <t>143 13</t>
        </is>
      </c>
      <c r="D138" s="143" t="inlineStr">
        <is>
          <t>Operational Vehicle/Equipment Canopy</t>
        </is>
      </c>
      <c r="E138" s="143" t="inlineStr">
        <is>
          <t>SF</t>
        </is>
      </c>
      <c r="F138" s="143" t="inlineStr">
        <is>
          <t>see notes</t>
        </is>
      </c>
      <c r="G138" s="143" t="inlineStr">
        <is>
          <t>Vehicle/equip area + circulation (drip line).</t>
        </is>
      </c>
      <c r="H138" s="143" t="n">
        <v>1</v>
      </c>
      <c r="I138" s="143" t="inlineStr">
        <is>
          <t>Sum of vehicle plan-areas</t>
        </is>
      </c>
    </row>
    <row r="139">
      <c r="C139" s="143" t="inlineStr">
        <is>
          <t>143 15</t>
        </is>
      </c>
      <c r="D139" s="143" t="inlineStr">
        <is>
          <t>RANGE OPERATIONS CENTER</t>
        </is>
      </c>
      <c r="E139" s="143" t="inlineStr">
        <is>
          <t>SF</t>
        </is>
      </c>
      <c r="F139" s="143" t="n"/>
      <c r="G139" s="143" t="n"/>
      <c r="H139" s="143" t="n"/>
      <c r="I139" s="143" t="inlineStr">
        <is>
          <t>A RANGE OPERATIONS CENTER IS THE CONTROL POINT FOR TESTING TORPEDOES, CALIBRATING SHIPS¿ FIRING SYSTEMS, AND TRAINING PILOTS AND TESTING AIRCRAFT ON GUNNERY AND BOMBING RANGES. THE CENTER WILL VARY WITH THE EQUIPMENT AND CONTROL AREAS REQUIRED. STANDARD PLANNING FACTORS FOR A CENTER ARE NOT AVAILABLE. ITS SIZE MUST BE PLANNED TO SUPPORT THE EQUIPMENT AND CONTROL AREAS TO BE HOUSED.</t>
        </is>
      </c>
    </row>
    <row r="140">
      <c r="C140" s="143" t="inlineStr">
        <is>
          <t>143 17</t>
        </is>
      </c>
      <c r="D140" s="143" t="inlineStr">
        <is>
          <t>SPACE SURVEILANCE FACILITY</t>
        </is>
      </c>
      <c r="E140" s="143" t="inlineStr">
        <is>
          <t>SF</t>
        </is>
      </c>
      <c r="F140" s="143" t="n"/>
      <c r="G140" s="143" t="n"/>
      <c r="H140" s="143" t="n"/>
      <c r="I140" s="143" t="inlineStr">
        <is>
          <t>FACILITIES TYPICALLY SUPPORT GLOBAL SPACE SURVEILLANCE NETWORK WHICH DETECTS, TRACKS, IDENTIFIES, AND CATALOGS MAN-MADE OBJECTS IN SPACE AND PROVIDES POSITION INFORMATION ON THESE OBJECTS. REQUIREMENTS ARE DETERMINED BY NAVAL NETWORK AND SPACE OPERATIONS COMMAND.</t>
        </is>
      </c>
    </row>
    <row r="141">
      <c r="C141" s="143" t="inlineStr">
        <is>
          <t>143 20</t>
        </is>
      </c>
      <c r="D141" s="143" t="inlineStr">
        <is>
          <t>ORDNANCE OPERATIONS BLDG</t>
        </is>
      </c>
      <c r="E141" s="143" t="inlineStr">
        <is>
          <t>SF</t>
        </is>
      </c>
      <c r="F141" s="143" t="n"/>
      <c r="G141" s="143" t="n"/>
      <c r="H141" s="143" t="n"/>
      <c r="I141" s="143" t="inlineStr">
        <is>
          <t>AN ORDNANCE OPERATIONS BUILDING IS AUTHORIZED WHERE THERE IS A NEED TO CONTROL AN ORDNANCE OPERATION. ORDNANCE OPERATIONS ARE THOSE INVOLVING AMMUNITION STORAGE, HANDLING OR DISPOSAL AND ORGANIZATIONAL LEVEL MAINTENANCE. THE FACILITIES WHOSE PRIMARY FUNCTION IS ORDNANCE MAINTENANCE, INTERMEDIATE LEVEL AND ABOVE, ARE ADDRESSED IN THE 200 SERIES CATEGORY CODES.</t>
        </is>
      </c>
    </row>
    <row r="142">
      <c r="C142" s="143" t="inlineStr">
        <is>
          <t>143 21</t>
        </is>
      </c>
      <c r="D142" s="143" t="inlineStr">
        <is>
          <t>AMMUNITION SEGREGATION FAC</t>
        </is>
      </c>
      <c r="E142" s="143" t="inlineStr">
        <is>
          <t>SF</t>
        </is>
      </c>
      <c r="F142" s="143" t="n"/>
      <c r="G142" s="143" t="n"/>
      <c r="H142" s="143" t="n"/>
      <c r="I142" s="143" t="inlineStr">
        <is>
          <t>A SEGREGATION FACILITY IS A BUILDING OR SERIES OF BUILDINGS WHERE FLEET RETURN EXPLOSIVE AND INERT MATERIAL ARE SCREENED AND GROUPED BY TYPE AND PHYSICAL CONDITION.</t>
        </is>
      </c>
    </row>
    <row r="143">
      <c r="C143" s="143" t="inlineStr">
        <is>
          <t>143 22</t>
        </is>
      </c>
      <c r="D143" s="143" t="inlineStr">
        <is>
          <t>NAVY EOD SHORE DET</t>
        </is>
      </c>
      <c r="E143" s="143" t="inlineStr">
        <is>
          <t>SF</t>
        </is>
      </c>
      <c r="F143" s="143" t="n"/>
      <c r="G143" s="143" t="n"/>
      <c r="H143" s="143" t="n"/>
      <c r="I143" s="143" t="inlineStr">
        <is>
          <t>THIS FACILITY PROVIDES SUPPORT FOR EOD SHORE DETACHMENTS PERMANENTLY ASSIGNED TO NAVY INSTALLATIONS.</t>
        </is>
      </c>
    </row>
    <row r="144">
      <c r="C144" s="143" t="inlineStr">
        <is>
          <t>143 23</t>
        </is>
      </c>
      <c r="D144" s="143" t="inlineStr">
        <is>
          <t>NAVY EODMU</t>
        </is>
      </c>
      <c r="E144" s="143" t="inlineStr">
        <is>
          <t>SF</t>
        </is>
      </c>
      <c r="F144" s="143" t="n"/>
      <c r="G144" s="143" t="n"/>
      <c r="H144" s="143" t="n"/>
      <c r="I144" s="143" t="inlineStr">
        <is>
          <t>A FACILITY THAT SUPPORTS EXPLOSIVE ORDNANCE DISPOSAL MOBILE UNITS. EODMUS ARE RESPONSIBLE FOR MANNING, EQUIPPING AND TRAINING OF ANY NUMBER OF DEPLOYABLE EOD DETACHMENTS: MOBILE DETACHMENTS, AREA SEARCH DETACHMENTS, ORDNANCE CLEARANCE DETACHMENTS, MOBILE COMMUNICATIONS DETACHMENTS, COMBAT SERVICE SUPPORT DETACHMENTS, FLY AWAY RECOMPRESSION CHAMBER DETACHMENTS, MINE COUNTER MEASURES DETACHMENTS</t>
        </is>
      </c>
    </row>
    <row r="145">
      <c r="C145" s="143" t="inlineStr">
        <is>
          <t>143 24</t>
        </is>
      </c>
      <c r="D145" s="143" t="inlineStr">
        <is>
          <t>Marine Corps EOD Facility</t>
        </is>
      </c>
      <c r="E145" s="143" t="inlineStr">
        <is>
          <t>SF</t>
        </is>
      </c>
      <c r="F145" s="143" t="n">
        <v>7000</v>
      </c>
      <c r="G145" s="143" t="inlineStr">
        <is>
          <t>7,000 GSF EOD bldg + 204 GSF Haz/Flam + magazines as required.</t>
        </is>
      </c>
      <c r="H145" s="143" t="n">
        <v>1</v>
      </c>
      <c r="I145" s="143" t="inlineStr">
        <is>
          <t>Each EOD facility</t>
        </is>
      </c>
    </row>
    <row r="146">
      <c r="C146" s="143" t="inlineStr">
        <is>
          <t>143 25</t>
        </is>
      </c>
      <c r="D146" s="143" t="inlineStr">
        <is>
          <t>SEAL TEAM BUILDING</t>
        </is>
      </c>
      <c r="E146" s="143" t="inlineStr">
        <is>
          <t>SF</t>
        </is>
      </c>
      <c r="F146" s="143" t="n"/>
      <c r="G146" s="143" t="n"/>
      <c r="H146" s="143" t="n"/>
      <c r="I146" s="143" t="inlineStr">
        <is>
          <t>THIS FACILITY IS FOR THE SUPPORT OF SEAL TEAMS. THE REQUIREMENTS FOR THESE FACILITIES ARE DEVELOPED BY AN INDUSTRIAL ANALYSIS FOR THE SPECIFIC FACILITY. SEE CATEGORY CODE 610 10 FOR ADMINISTRATIVE SPACE GUIDELINES AND CATEGORY CODE 159 64 FOR WATERFRONT OPERATIONS BUILDING GUIDELINES.</t>
        </is>
      </c>
    </row>
    <row r="147">
      <c r="C147" s="143" t="inlineStr">
        <is>
          <t>143 26</t>
        </is>
      </c>
      <c r="D147" s="143" t="inlineStr">
        <is>
          <t>Marine Corps EOD Company Facility</t>
        </is>
      </c>
      <c r="E147" s="143" t="inlineStr">
        <is>
          <t>SF</t>
        </is>
      </c>
      <c r="F147" s="143" t="inlineStr">
        <is>
          <t>see notes</t>
        </is>
      </c>
      <c r="G147" s="143" t="inlineStr">
        <is>
          <t>NSF per function × NTG 1.40 (Admin 1,910 SF; classrooms via 171 10).</t>
        </is>
      </c>
      <c r="H147" s="143" t="n">
        <v>1.4</v>
      </c>
      <c r="I147" s="143" t="inlineStr">
        <is>
          <t>Engineering analysis per function</t>
        </is>
      </c>
    </row>
    <row r="148">
      <c r="C148" s="143" t="inlineStr">
        <is>
          <t>143 35</t>
        </is>
      </c>
      <c r="D148" s="143" t="inlineStr">
        <is>
          <t>REGISTERED PUB ISSUE OFF</t>
        </is>
      </c>
      <c r="E148" s="143" t="inlineStr">
        <is>
          <t>SF</t>
        </is>
      </c>
      <c r="F148" s="143" t="n"/>
      <c r="G148" s="143" t="n"/>
      <c r="H148" s="143" t="n"/>
      <c r="I148" s="143" t="inlineStr">
        <is>
          <t>A REGISTERED PUBLICATIONS ISSUING OFFICE (RPIO) HAS A PRIMARY MISSION OF SUPPORTING COMMUNICATIONS OPERATIONS OF THE FLEET, NAVAL AVIATION, U.S. MARINE CORPS, AND THE U.S. COAST GUARD. RPIO¿S RECEIVE, STORE, ISSUE, ACCOUNT FOR, AND-OFFICIATE DURING THE DESTRUCTION OF HIGHLY CLASSIFIED CRYPTOLOGICAL PUBLICATIONS, EQUIPMENT, AND DEVICES CIRCULATING IN THE REGISTERED PUBLICATIONS SYSTEM (RPS).</t>
        </is>
      </c>
    </row>
    <row r="149">
      <c r="C149" s="143" t="inlineStr">
        <is>
          <t>143 41</t>
        </is>
      </c>
      <c r="D149" s="143" t="inlineStr">
        <is>
          <t>AMPHIBIOUS OPERATIONS BLDG</t>
        </is>
      </c>
      <c r="E149" s="143" t="inlineStr">
        <is>
          <t>SF</t>
        </is>
      </c>
      <c r="F149" s="143" t="n"/>
      <c r="G149" s="143" t="n"/>
      <c r="H149" s="143" t="n"/>
      <c r="I149" s="143" t="inlineStr">
        <is>
          <t>ORGANIZATIONAL FACILITY FOR EXPEDITIONARY AMPHIBIOUS OPERATIONS.</t>
        </is>
      </c>
    </row>
    <row r="150">
      <c r="C150" s="143" t="inlineStr">
        <is>
          <t>143 45</t>
        </is>
      </c>
      <c r="D150" s="143" t="inlineStr">
        <is>
          <t>Armory</t>
        </is>
      </c>
      <c r="E150" s="143" t="inlineStr">
        <is>
          <t>SF</t>
        </is>
      </c>
      <c r="F150" s="143" t="inlineStr">
        <is>
          <t>see notes</t>
        </is>
      </c>
      <c r="G150" s="143" t="inlineStr">
        <is>
          <t>Per Table 14345-1 (1–2K strength: 576 GSF; &gt;10K: +0.1 SF/PN).</t>
        </is>
      </c>
      <c r="H150" s="143" t="n">
        <v>1</v>
      </c>
      <c r="I150" s="143" t="inlineStr">
        <is>
          <t>Military strength + weapons</t>
        </is>
      </c>
    </row>
    <row r="151">
      <c r="C151" s="143" t="inlineStr">
        <is>
          <t>143 46</t>
        </is>
      </c>
      <c r="D151" s="143" t="inlineStr">
        <is>
          <t>Marine Barracks - General Purpose</t>
        </is>
      </c>
      <c r="E151" s="143" t="inlineStr">
        <is>
          <t>SF</t>
        </is>
      </c>
      <c r="F151" s="143" t="inlineStr">
        <is>
          <t>see notes</t>
        </is>
      </c>
      <c r="G151" s="143" t="inlineStr">
        <is>
          <t>Per Table 14346-1 (1–50: 75 GSF/PN; 201+: +30 GSF/PN).</t>
        </is>
      </c>
      <c r="H151" s="143" t="n">
        <v>1</v>
      </c>
      <c r="I151" s="143" t="inlineStr">
        <is>
          <t># of personnel barracked</t>
        </is>
      </c>
    </row>
    <row r="152">
      <c r="C152" s="143" t="inlineStr">
        <is>
          <t>143 47</t>
        </is>
      </c>
      <c r="D152" s="143" t="inlineStr">
        <is>
          <t>Alert Force Building</t>
        </is>
      </c>
      <c r="E152" s="143" t="inlineStr">
        <is>
          <t>SF</t>
        </is>
      </c>
      <c r="F152" s="143" t="inlineStr">
        <is>
          <t>see notes</t>
        </is>
      </c>
      <c r="G152" s="143" t="inlineStr">
        <is>
          <t>Engineering analysis (barracks + messing + duty + weapons stg).</t>
        </is>
      </c>
      <c r="H152" s="143" t="n">
        <v>1</v>
      </c>
      <c r="I152" s="143" t="inlineStr">
        <is>
          <t>Alert force size</t>
        </is>
      </c>
    </row>
    <row r="153">
      <c r="C153" s="143" t="inlineStr">
        <is>
          <t>143 55</t>
        </is>
      </c>
      <c r="D153" s="143" t="inlineStr">
        <is>
          <t>TRANSIT SHED</t>
        </is>
      </c>
      <c r="E153" s="143" t="inlineStr">
        <is>
          <t>SF</t>
        </is>
      </c>
      <c r="F153" s="143" t="n"/>
      <c r="G153" s="143" t="n"/>
      <c r="H153" s="143" t="n"/>
      <c r="I153" s="143" t="inlineStr">
        <is>
          <t>A TRANSIT SHED IS PLANNED TO SUPPORT THE RAPID AND ORDERLY TRANSFER OF TRUCK AND RAIL FREIGHT IN SHIPMENT FROM ONE CARRIER TO ANOTHER WITH MINIMUM STORAGE. FOR A WATERFRONT TRANSIT SHED, SEE CATEGORY CODE 156 10. THE TRANSIT SHED IS OF THE MINIMUM DESIGN THAT WILL PROTECT THE FREIGHT FROM THE WEATHER AND PROVIDE ANY SECURITY NECESSARY.</t>
        </is>
      </c>
    </row>
    <row r="154">
      <c r="C154" s="143" t="inlineStr">
        <is>
          <t>143 60</t>
        </is>
      </c>
      <c r="D154" s="143" t="inlineStr">
        <is>
          <t>EXPLOSIVES SHIP/TRAN DEP</t>
        </is>
      </c>
      <c r="E154" s="143" t="inlineStr">
        <is>
          <t>SF</t>
        </is>
      </c>
      <c r="F154" s="143" t="n"/>
      <c r="G154" s="143" t="n"/>
      <c r="H154" s="143" t="n"/>
      <c r="I154" s="143" t="inlineStr">
        <is>
          <t>AN EXPLOSIVES TRANSFER DEPOT IS A FACILITY USED TO TRANSFER BREAK- BULK AMMUNITION AND EXPLOSIVES BETWEEN AUTOMOTIVE VEHICLES AND RAILCARS FOR FURTHER SHIPMENT, OR FOR DELIVERY TO A STORAGE MAGAZINE, LOADING BUILDING, WATERFRONT OR AIRFIELD.</t>
        </is>
      </c>
    </row>
    <row r="155">
      <c r="C155" s="143" t="inlineStr">
        <is>
          <t>143 65</t>
        </is>
      </c>
      <c r="D155" s="143" t="inlineStr">
        <is>
          <t>REG/INST EMER OPS CTR</t>
        </is>
      </c>
      <c r="E155" s="143" t="inlineStr">
        <is>
          <t>SF</t>
        </is>
      </c>
      <c r="F155" s="143" t="n"/>
      <c r="G155" s="143" t="n"/>
      <c r="H155" s="143" t="n"/>
      <c r="I155" s="143" t="inlineStr">
        <is>
          <t>A REGION/INSTALLATION EMERGENCY OPERATIONS FACILITY IS A SHORE MISSION SPECIFIC COMMAND, CONTROL, AND COORDINATION (C3) AREA IN DIRECT SUPPORT OF THE OPERATIONAL MISSION OF A REGION/INSTALLATION NAVY OR MARINE CORPS ACTIVITY. THIS FACILITY CAN ALSO BE DESIGNATED AS A REGIONAL OPERATIONS CENTER (ROC), EMERGENCY CONTROL CENTER (ECC), OR EMERGENCY ACTION CENTER (EAC).</t>
        </is>
      </c>
    </row>
    <row r="156">
      <c r="C156" s="143" t="inlineStr">
        <is>
          <t>143 70</t>
        </is>
      </c>
      <c r="D156" s="143" t="inlineStr">
        <is>
          <t>RADIATN INST CALIBRTN FAC</t>
        </is>
      </c>
      <c r="E156" s="143" t="inlineStr">
        <is>
          <t>SF</t>
        </is>
      </c>
      <c r="F156" s="143" t="n"/>
      <c r="G156" s="143" t="n"/>
      <c r="H156" s="143" t="n"/>
      <c r="I156" s="143" t="inlineStr">
        <is>
          <t>A HEALTH PHYSICS CALIBRATION BUILDING CONTAINS FACILITIES REQUIRED FOR CALIBRATION OF HEALTH PHYSICS SURVEY INSTRUMENTS AND AREA MONITORING DEVICES. THESE DEVICES ARE USED TO PROTECT PERSONNEL AGAINST IONIZING RADIATION FROM X-RAYS AND ATOMIC PARTICLES.</t>
        </is>
      </c>
    </row>
    <row r="157">
      <c r="C157" s="143" t="inlineStr">
        <is>
          <t>143 75</t>
        </is>
      </c>
      <c r="D157" s="143" t="inlineStr">
        <is>
          <t>POL OPN/SAMPLING/TES T BLDG</t>
        </is>
      </c>
      <c r="E157" s="143" t="inlineStr">
        <is>
          <t>SF</t>
        </is>
      </c>
      <c r="F157" s="143" t="n"/>
      <c r="G157" s="143" t="n"/>
      <c r="H157" s="143" t="n"/>
      <c r="I157" s="143" t="inlineStr">
        <is>
          <t>THE POL OPERATION BUILDING PROVIDES SPACE REQUIRED FOR QUALITY CONTROL AND ADMINISTRATION OF FUEL ACTIVITY. SPACE IS PROVIDED IN THE BUILDING FOR AN ADMINISTRATIVE OFFICE, CONTROL/GAUGE MONITORING CENTER, AND FUELS TESTING LABORATORY. PHYSICAL OPERATION AND CONTROL OF THE FUEL SYSTEM WILL BE ACCOMPLISHED ELSEWHERE (SUCH AS THE PUMP HOUSE).</t>
        </is>
      </c>
    </row>
    <row r="158">
      <c r="C158" s="143" t="inlineStr">
        <is>
          <t>143 77</t>
        </is>
      </c>
      <c r="D158" s="143" t="inlineStr">
        <is>
          <t>OPERATIONAL STORAGE</t>
        </is>
      </c>
      <c r="E158" s="143" t="inlineStr">
        <is>
          <t>SF</t>
        </is>
      </c>
      <c r="F158" s="143" t="n"/>
      <c r="G158" s="143" t="n"/>
      <c r="H158" s="143" t="n"/>
      <c r="I158" s="143" t="inlineStr">
        <is>
          <t>OPERATIONAL STORAGE SUPPORTS MULTIPLE DEPARTMENTS/DIVISIONS WITHIN A COMMAND. IT IS UNDER THE CONTROL OF THE LOGISTICS AND SUPPLY DEPARTMENT. THIS CATEGORY CODE IS USED TO IDENTIFY AREAS USED FOR BULK STORAGE AREAS OF MAJOR END ITEMS, AND OPERATIONAL MATERIAL.</t>
        </is>
      </c>
    </row>
    <row r="159">
      <c r="C159" s="143" t="inlineStr">
        <is>
          <t>143 78</t>
        </is>
      </c>
      <c r="D159" s="143" t="inlineStr">
        <is>
          <t>OP HAZARD/FLAMMABLE STRGE</t>
        </is>
      </c>
      <c r="E159" s="143" t="inlineStr">
        <is>
          <t>SF</t>
        </is>
      </c>
      <c r="F159" s="143" t="n"/>
      <c r="G159" s="143" t="n"/>
      <c r="H159" s="143" t="n"/>
      <c r="I159" s="143" t="inlineStr">
        <is>
          <t>THIS CATEGORY WILL BE USED TO PROVIDE A FACILITY FOR THE STORAGE OF MATERIALS USED IN DAILY OPERATIONS THAT REQUIRE SPECIAL ENVIRONMENTAL SEPARATION. THESE MATERIALS SUCH AS PAINT, ACETONE, OIL, ETC. ARE CONSIDERED TO BE HAZARDOUS AND/OR FLAMMABLE.</t>
        </is>
      </c>
    </row>
    <row r="160">
      <c r="C160" s="143" t="inlineStr">
        <is>
          <t>143 80</t>
        </is>
      </c>
      <c r="D160" s="143" t="inlineStr">
        <is>
          <t>MISSION OPS COMM/CONTR FAC</t>
        </is>
      </c>
      <c r="E160" s="143" t="inlineStr">
        <is>
          <t>SF</t>
        </is>
      </c>
      <c r="F160" s="143" t="n"/>
      <c r="G160" s="143" t="n"/>
      <c r="H160" s="143" t="n"/>
      <c r="I160" s="143" t="inlineStr">
        <is>
          <t>A MISSION OPERATION COMMAND AND CONTROL FACILITY IS A SPECIALIZED FACILITY THAT IS ONLY REQUIRED IN SELECT LOCATIONS TO SUPPORT THE OPERATIONS OF FORCE COMMANDERS AND FLEET COMMANDERS (E.G. US FLEET FORCES COMMANDER, PACIFIC FLEET) AND SELECTED OTHERS AS ESTABLISHED BY DOD. A MISSION OPERATION COMMAND AND CONTROL FACILITY MAY ALSO CONTAIN FACILITY REQUIREMENTS FOR TYPE COMMANDS (E.G. AIRLANT, SUBPAC), OPERATIONAL SUPPORT COMMANDS (E.G. CTF AND CTG) AND A MARITIME OPERATIONS CENTER (MOC).</t>
        </is>
      </c>
    </row>
    <row r="161">
      <c r="C161" s="143" t="inlineStr">
        <is>
          <t>143 85</t>
        </is>
      </c>
      <c r="D161" s="143" t="inlineStr">
        <is>
          <t>JOINT RESERVE INTEL CENTER</t>
        </is>
      </c>
      <c r="E161" s="143" t="inlineStr">
        <is>
          <t>SF</t>
        </is>
      </c>
      <c r="F161" s="143" t="n"/>
      <c r="G161" s="143" t="n"/>
      <c r="H161" s="143" t="n"/>
      <c r="I161" s="143" t="inlineStr">
        <is>
          <t>JOINT RESERVE INTELLIGENCE CENTER (JRIC). A JRIC IS A JOINT INTELLIGENCE PRODUCTION AND TRAINING ACTIVITY THAT USES INFORMATION NETWORKS TO LINK RESERVIST INTELLIGENCE PERSONNEL, ACTIVE DUTY UNITS AND CONTRACTORS WITH THE COMBATANT COMMANDS, SERVICES, AND/OR COMBAT SUPPORT AGENCIES.</t>
        </is>
      </c>
    </row>
    <row r="162">
      <c r="C162" s="143" t="inlineStr">
        <is>
          <t>148 10</t>
        </is>
      </c>
      <c r="D162" s="143" t="inlineStr">
        <is>
          <t>NUCLEAR PROPULSN SUPP FAC</t>
        </is>
      </c>
      <c r="E162" s="143" t="inlineStr">
        <is>
          <t>EA</t>
        </is>
      </c>
      <c r="F162" s="143" t="n"/>
      <c r="G162" s="143" t="n"/>
      <c r="H162" s="143" t="n"/>
      <c r="I162" s="143" t="inlineStr">
        <is>
          <t>A FACILITY, OTHER THAN A BUILDING, DIRECTLY RELATED TO NUCLEAR PROPULSION OPERATIONS. PLANNING AND PROGRAMMING FOR THIS FACILITY REQUIRES CONCURRENCE AND PLANNING GUIDANCE BY NAVSEA CODE 08 (NUCLEAR POWER DIRECTORATE).</t>
        </is>
      </c>
    </row>
    <row r="163">
      <c r="C163" s="143" t="inlineStr">
        <is>
          <t>148 15</t>
        </is>
      </c>
      <c r="D163" s="143" t="inlineStr">
        <is>
          <t>NUCLEAR WPNS HANDLING FAC</t>
        </is>
      </c>
      <c r="E163" s="143" t="inlineStr">
        <is>
          <t>EA</t>
        </is>
      </c>
      <c r="F163" s="143" t="n"/>
      <c r="G163" s="143" t="n"/>
      <c r="H163" s="143" t="n"/>
      <c r="I163" s="143" t="inlineStr">
        <is>
          <t>A FACILITY, OTHER THAN A BUILDING, DIRECTLY RELATED TO NUCLEAR WEAPONS HANDLING OPERATIONS. PLANNING AND PROGRAMMING FOR THIS FACILITY PLEASE CONTACT DIRECTOR, STRATEGIC SYSTEMS PROGRAM (SSP) OFFICE.</t>
        </is>
      </c>
    </row>
    <row r="164">
      <c r="C164" s="143" t="inlineStr">
        <is>
          <t>148 17</t>
        </is>
      </c>
      <c r="D164" s="143" t="inlineStr">
        <is>
          <t>SPACE SURVEILLANCE ANTENNA</t>
        </is>
      </c>
      <c r="E164" s="143" t="inlineStr">
        <is>
          <t>EA</t>
        </is>
      </c>
      <c r="F164" s="143" t="n"/>
      <c r="G164" s="143" t="n"/>
      <c r="H164" s="143" t="n"/>
      <c r="I164" s="143" t="inlineStr">
        <is>
          <t>REQUIREMENTS ARE DETERMINED BY NAVAL NETWORK AND SPACE OPERATIONS COMMAND. FACILITIES TYPICALLY SUPPORT GLOBAL SPACE SURVEILLANCE NETWORK WHICH DETECTS, TRACKS, IDENTIFIES, AND CATALOGS MAN-MADE OBJECTS IN SPACE AND PROVIDES POSITION INFORMATION ON THESE OBJECTS.</t>
        </is>
      </c>
    </row>
    <row r="165">
      <c r="C165" s="143" t="inlineStr">
        <is>
          <t>148 20</t>
        </is>
      </c>
      <c r="D165" s="143" t="inlineStr">
        <is>
          <t>ORDNANCE DEMOLITION AREA</t>
        </is>
      </c>
      <c r="E165" s="143" t="inlineStr">
        <is>
          <t>EA</t>
        </is>
      </c>
      <c r="F165" s="143" t="n"/>
      <c r="G165" s="143" t="n"/>
      <c r="H165" s="143" t="n"/>
      <c r="I165" s="143" t="inlineStr">
        <is>
          <t>AN ORDNANCE DEMOLITION (TREATMENT) AREA IS A LOCATION SPECIFICALLY DESIGNATED AND RESERVED FOR DESTROYING EXPLOSIVES AND EXPLOSIVES-LOADED DEVICES. THE FUNCTION TYPICALLY MEANS BURNING OR DETONATING EXPLOSIVES IN A BERMED OPEN BURN/OPEN DETONATION (OB/OD) AREA.</t>
        </is>
      </c>
    </row>
    <row r="166">
      <c r="C166" s="143" t="inlineStr">
        <is>
          <t>148 25</t>
        </is>
      </c>
      <c r="D166" s="143" t="inlineStr">
        <is>
          <t>EXPLOSIVE TRUCK HOLDG YD</t>
        </is>
      </c>
      <c r="E166" s="143" t="inlineStr">
        <is>
          <t>SY</t>
        </is>
      </c>
      <c r="F166" s="143" t="n"/>
      <c r="G166" s="143" t="n"/>
      <c r="H166" s="143" t="n"/>
      <c r="I166" s="143" t="inlineStr">
        <is>
          <t>THIS YARD IS WHERE TRUCKS CONTAINING AMMUNITION AND/OR EXPLOSIVES ARE HELD FOR INTERIM PERIODS OF TIME PRIOR TO STORAGE OR SHIPMENT. SAFE HAVENS AND WHARF YARDS NEAR PIERS AND WHARVES SHOULD BE CATEGORIZED UNDER THIS FUNCTION. EACH FACILITY REQUIRES INDIVIDUAL JUSTIFICATION. DEPENDING ON LAND CONSTRAINTS AND EXPLOSIVE SAFETY CRITERIA THESE FACILITIES MAY OR MAY NOT BE BARRICADED.</t>
        </is>
      </c>
    </row>
    <row r="167">
      <c r="C167" s="143" t="inlineStr">
        <is>
          <t>148 30</t>
        </is>
      </c>
      <c r="D167" s="143" t="inlineStr">
        <is>
          <t>EXPLOSIVES RR CAR HOLDG YD</t>
        </is>
      </c>
      <c r="E167" s="143" t="inlineStr">
        <is>
          <t>EA</t>
        </is>
      </c>
      <c r="F167" s="143" t="n"/>
      <c r="G167" s="143" t="n"/>
      <c r="H167" s="143" t="n"/>
      <c r="I167" s="143" t="inlineStr">
        <is>
          <t>THIS IS A TEMPORARY HOLDING AREA FOR RAILCARS CONTAINING ORDNANCE PRIOR TO STORAGE OR SHIPMENT. EACH FACILITY REQUIRES INDIVIDUAL JUSTIFICATION. DEPENDING ON LAND CONSTRAINTS AND EXPLOSIVE SAFETY CRITERIA THESE FACILITIES MAY OR MAY NOT BE BARRICADED. FOR CONTAINERIZED ORDNANCE USE CATEGORY CODE 148 35, CONTAINER HOLDING YARD.</t>
        </is>
      </c>
    </row>
    <row r="168">
      <c r="C168" s="143" t="inlineStr">
        <is>
          <t>148 35</t>
        </is>
      </c>
      <c r="D168" s="143" t="inlineStr">
        <is>
          <t>CONTAINER HOLDING YARD</t>
        </is>
      </c>
      <c r="E168" s="143" t="inlineStr">
        <is>
          <t>SY</t>
        </is>
      </c>
      <c r="F168" s="143" t="n"/>
      <c r="G168" s="143" t="n"/>
      <c r="H168" s="143" t="n"/>
      <c r="I168" s="143" t="inlineStr">
        <is>
          <t>THIS IS AN OPEN AREA THAT PROVIDES A TEMPORARY HOLDING OR STAGING AREA FOR CONTAINERS LOADED WITH EXPLOSIVE ORDNANCE. WHARF YARDS NEAR PIERS AND WHARVES ARE ALSO DESCRIBED BY THIS FUNCTION.</t>
        </is>
      </c>
    </row>
    <row r="169">
      <c r="C169" s="143" t="inlineStr">
        <is>
          <t>148 40</t>
        </is>
      </c>
      <c r="D169" s="143" t="inlineStr">
        <is>
          <t>CONTNR TRANSFER FAC (ORD)</t>
        </is>
      </c>
      <c r="E169" s="143" t="inlineStr">
        <is>
          <t>SY</t>
        </is>
      </c>
      <c r="F169" s="143" t="n"/>
      <c r="G169" s="143" t="n"/>
      <c r="H169" s="143" t="n"/>
      <c r="I169" s="143" t="inlineStr">
        <is>
          <t>A CONTAINER TRANSFER FACILITY IS USED TO TRANSFER CONTAINERS BETWEEN RAIL FLATCARS AND TRUCK FLATBEDS OR CHASSIS, ON A PAVED HARDSTAND AREA, BY MEANS OF A BRIDGE CRANE OR CONTAINER HANDLING EQUIPMENT. SCALE EQUIPMENT SHOULD BE EXPECTED TO A PART OF THIS FUNCTION. THE AREA MAY BE BARRICADED OR UNBARRICADED.</t>
        </is>
      </c>
    </row>
    <row r="170">
      <c r="C170" s="143" t="inlineStr">
        <is>
          <t>148 45</t>
        </is>
      </c>
      <c r="D170" s="143" t="inlineStr">
        <is>
          <t>RAIL/TRUCK RECEIVING STA</t>
        </is>
      </c>
      <c r="E170" s="143" t="inlineStr">
        <is>
          <t>SY</t>
        </is>
      </c>
      <c r="F170" s="143" t="n"/>
      <c r="G170" s="143" t="n"/>
      <c r="H170" s="143" t="n"/>
      <c r="I170" s="143" t="inlineStr">
        <is>
          <t>A RAIL/TRUCK RECEIVING STATION WEIGHS AND INSPECTS ALL INCOMING SHIPMENTS OF BREAK-BULK AND CONTAINERIZED ORDNANCE ARRIVING BY RAIL OR TRUCK AND ALSO A PERCENTAGE OF THE OUTGOING SHIPMENTS. THIS STATION CAN BE USED AS A SHORT TERM STORAGE FACILITY LIMITED TO OVERNIGHT AND WEEKEND PERIODS AND AS AN INTERCHANGE STORAGE FACILITY LIMITED TO OVERNIGHT AND WEEKEND PERIODS AND AS AN INTERCHANGE YARD.</t>
        </is>
      </c>
    </row>
    <row r="171">
      <c r="C171" s="143" t="inlineStr">
        <is>
          <t>149 10</t>
        </is>
      </c>
      <c r="D171" s="143" t="inlineStr">
        <is>
          <t>PROT BARR/REVETMENT</t>
        </is>
      </c>
      <c r="E171" s="143" t="inlineStr">
        <is>
          <t>EA</t>
        </is>
      </c>
      <c r="F171" s="143" t="n"/>
      <c r="G171" s="143" t="n"/>
      <c r="H171" s="143" t="n"/>
      <c r="I171" s="143" t="inlineStr">
        <is>
          <t>PROTECTIVE BARRICADES (ALSO KNOWN AS REVETMENTS) ARE CONSTRUCTED AT LOCATIONS WHERE EXPLOSIVES SAFETY DICTATES THE NEED, SUCH AS IN MAGAZINE AREAS, COMBAT AIRCRAFT LOADING AREAS, EXPLOSIVE HOLDING YARDS, ETC.</t>
        </is>
      </c>
    </row>
    <row r="172">
      <c r="C172" s="143" t="inlineStr">
        <is>
          <t>149 15</t>
        </is>
      </c>
      <c r="D172" s="143" t="inlineStr">
        <is>
          <t>FIXED PT UTIL SYS</t>
        </is>
      </c>
      <c r="E172" s="143" t="inlineStr">
        <is>
          <t>EA</t>
        </is>
      </c>
      <c r="F172" s="143" t="n"/>
      <c r="G172" s="143" t="n"/>
      <c r="H172" s="143" t="n"/>
      <c r="I172" s="143" t="inlineStr">
        <is>
          <t>FIXED POINT UTILITIES SYSTEMS SUPPLY UTILITIES TO AIRCRAFT PARKING APRON SERVICE POINTS AND AIRCRAFT MAINTENANCE HANGAR SERVICE POINT. THE FPUS CAN PROVIDE COMPRESSED AIR, PRECONDITIONED AIR FOR HANGARED AIRCRAFT, AND/OR ELECTRICAL POWER. IT CAN CONSIST OF AN ENCLOSED PUMP HOUSE AND STORAGE TANKS, AN IN- GROUND DIST. SYSTEM AND SERVICE POINTS IN AIRCRAFT PARKING APRONS OR AIRCRAFT HANGARS.</t>
        </is>
      </c>
    </row>
    <row r="173">
      <c r="C173" s="143" t="inlineStr">
        <is>
          <t>149 20</t>
        </is>
      </c>
      <c r="D173" s="143" t="inlineStr">
        <is>
          <t>AIRCRAFT CATAPULT</t>
        </is>
      </c>
      <c r="E173" s="143" t="inlineStr">
        <is>
          <t>EA</t>
        </is>
      </c>
      <c r="F173" s="143" t="n"/>
      <c r="G173" s="143" t="n"/>
      <c r="H173" s="143" t="n"/>
      <c r="I173" s="143" t="inlineStr">
        <is>
          <t>THIS IS A FACILITY FOR AIR INSTALLATIONS WHERE SPECIALIZED TRAINING, TEST AND EVALUATION, OR RESEARCH AND DEVELOPMENT ARE PERFORMED ON CATAPULT TAKEOFFS.</t>
        </is>
      </c>
    </row>
    <row r="174">
      <c r="C174" s="143" t="inlineStr">
        <is>
          <t>149 30</t>
        </is>
      </c>
      <c r="D174" s="143" t="inlineStr">
        <is>
          <t>AIRCRAFT ARRESTING GEAR</t>
        </is>
      </c>
      <c r="E174" s="143" t="inlineStr">
        <is>
          <t>EA</t>
        </is>
      </c>
      <c r="F174" s="143" t="n"/>
      <c r="G174" s="143" t="n"/>
      <c r="H174" s="143" t="n"/>
      <c r="I174" s="143" t="inlineStr">
        <is>
          <t>AIRCRAFT ARRESTING GEAR IS DESIGNED TO BRING AN AIRCRAFT TO A STOP IN CASE OF AN ABORTED TAKEOFF OR AN EMERGENCY LANDING.</t>
        </is>
      </c>
    </row>
    <row r="175">
      <c r="C175" s="143" t="inlineStr">
        <is>
          <t>149 45</t>
        </is>
      </c>
      <c r="D175" s="143" t="inlineStr">
        <is>
          <t>MISSILE LAUNCH FACILITY</t>
        </is>
      </c>
      <c r="E175" s="143" t="inlineStr">
        <is>
          <t>EA</t>
        </is>
      </c>
      <c r="F175" s="143" t="n"/>
      <c r="G175" s="143" t="n"/>
      <c r="H175" s="143" t="n"/>
      <c r="I175" s="143" t="inlineStr">
        <is>
          <t>THIS CATEGORY CODE IS FOR LOCATIONS LAUNCHING MISSILES OR DRONES, IT ALSO IS PROVIDED FOR INVENTORY PURPOSES OF MISSILE AND DRONE LAUNCH PADS. SEE NAVSEA OP-5 FOR EXPLOSIVE SAFETY SITING CRITERIA OF ENERGETIC LIQUIDS ASSOCIATED WITH LAUNCH PADS.</t>
        </is>
      </c>
    </row>
    <row r="176">
      <c r="C176" s="143" t="inlineStr">
        <is>
          <t>149 50</t>
        </is>
      </c>
      <c r="D176" s="143" t="inlineStr">
        <is>
          <t>BLAST DEFLECTOR FENCE</t>
        </is>
      </c>
      <c r="E176" s="143" t="inlineStr">
        <is>
          <t>EA</t>
        </is>
      </c>
      <c r="F176" s="143" t="n"/>
      <c r="G176" s="143" t="n"/>
      <c r="H176" s="143" t="n"/>
      <c r="I176" s="143" t="inlineStr">
        <is>
          <t>BLAST DEFLECTOR FENCES ARE STRUCTURES THAT DIRECT THE EXHAUST FROM JET ENGINES UPWARD. THEY ARE USED IN CONGESTED AREAS AND PARKING AND MAINTENANCE AREAS TO PROTECT PERSONNEL AND FACILITIES FROM THE BLAST EFFECT OF JET ENGINE EXHAUST. BLAST FENCES ARE ALSO USED TO PREVENT EROSION OF PAVED AND UNPAVED AREAS AND TO PROVIDE PROTECTION FROM FLYING DEBRIS.</t>
        </is>
      </c>
    </row>
    <row r="177">
      <c r="C177" s="143" t="inlineStr">
        <is>
          <t>149 85</t>
        </is>
      </c>
      <c r="D177" s="143" t="inlineStr">
        <is>
          <t>EXPEDITIONARY AIR CONTROL</t>
        </is>
      </c>
      <c r="E177" s="143" t="inlineStr">
        <is>
          <t>SY</t>
        </is>
      </c>
      <c r="F177" s="143" t="n"/>
      <c r="G177" s="143" t="n"/>
      <c r="H177" s="143" t="n"/>
      <c r="I177" s="143" t="inlineStr">
        <is>
          <t>THESE ARE MARINE CORPS FACILITIES REQUIRED TO ACCOMMODATE, IN- GARRISON, THE EQUIPMENT USED FOR EXPEDITIONARY AIRCRAFT COMMAND AND CONTROL. THESE FACILITIES ARE ASSIGNED TO SPECIALIZED MARINE CORPS SQUADRONS, AND THE EXPEDITIONARY EQUIPMENT USED IN CONJUNCTION WITH THESE FACILITIES IS NORMALLY SQUADRON PROPERTY.</t>
        </is>
      </c>
    </row>
    <row r="178">
      <c r="C178" s="143" t="inlineStr">
        <is>
          <t>149 86</t>
        </is>
      </c>
      <c r="D178" s="143" t="inlineStr">
        <is>
          <t>OPERATIONS SUPPORT SHED</t>
        </is>
      </c>
      <c r="E178" s="143" t="inlineStr">
        <is>
          <t>SF</t>
        </is>
      </c>
      <c r="F178" s="143" t="n"/>
      <c r="G178" s="143" t="n"/>
      <c r="H178" s="143" t="n"/>
      <c r="I178" s="143" t="inlineStr">
        <is>
          <t>STORAGE SHED OR OTHER COVERED AREA USED FOR OPERATIONAL SUPPORT. NOT FOR WEAPONS CLEANING AREAS.</t>
        </is>
      </c>
    </row>
    <row r="179">
      <c r="C179" s="143" t="inlineStr">
        <is>
          <t>151 10</t>
        </is>
      </c>
      <c r="D179" s="143" t="inlineStr">
        <is>
          <t>AMMUNITION PIER</t>
        </is>
      </c>
      <c r="E179" s="143" t="inlineStr">
        <is>
          <t>SY</t>
        </is>
      </c>
      <c r="F179" s="143" t="n"/>
      <c r="G179" s="143" t="n"/>
      <c r="H179" s="143" t="n"/>
      <c r="I179" s="143" t="inlineStr">
        <is>
          <t>AMMUNITION PIERS ARE DESIGNED FOR USE IN THE RECEIPT OF AMMUNITION FOR STORAGE AND FOR THE OUTLOADING OF AMMUNITION ONTO BARGES AND SHIPS. IN SOME CASES OUTGOING AMMUNITION IS FIRST LOADED FROM THE AMMUNITION PIER ONTO BARGES FOR TRANSFER TO SHIPS MOORED OFFSHORE OR IN A ROADSTEAD.</t>
        </is>
      </c>
    </row>
    <row r="180">
      <c r="C180" s="143" t="inlineStr">
        <is>
          <t>151 20</t>
        </is>
      </c>
      <c r="D180" s="143" t="inlineStr">
        <is>
          <t>GENL PURP/BERTHING PIER</t>
        </is>
      </c>
      <c r="E180" s="143" t="inlineStr">
        <is>
          <t>SY</t>
        </is>
      </c>
      <c r="F180" s="143" t="n"/>
      <c r="G180" s="143" t="n"/>
      <c r="H180" s="143" t="n"/>
      <c r="I180" s="143" t="inlineStr">
        <is>
          <t>GENERAL PURPOSE BERTHING PIERS ARE USED PRIMARILY FOR MOORING HOME PORTED AND TRANSIENT SHIPS THAT DO NOT REQUIRE PIERS EQUIPPED WITH SHIPYARD FACILITIES. BERTHING PIERS ARE CLASSIFIED AS ACTIVE OR INACTIVE. THE ACTIVE BERTHING PIERS ARE USED WHEN SHIPS ARE BERTHED FOR A RELATIVELY SHORT TIME; THE INACTIVE CLASSES ARE USED WHEN SHIPS ARE TO BE TIED UP FOR LONG PERIODS IN A DECOMMISSIONED STATUS.</t>
        </is>
      </c>
    </row>
    <row r="181">
      <c r="C181" s="143" t="inlineStr">
        <is>
          <t>151 40</t>
        </is>
      </c>
      <c r="D181" s="143" t="inlineStr">
        <is>
          <t>FUELING PIER</t>
        </is>
      </c>
      <c r="E181" s="143" t="inlineStr">
        <is>
          <t>SY</t>
        </is>
      </c>
      <c r="F181" s="143" t="n"/>
      <c r="G181" s="143" t="n"/>
      <c r="H181" s="143" t="n"/>
      <c r="I181" s="143" t="inlineStr">
        <is>
          <t>FACILITIES FOR BERTHING SHIPS WHILE DISCHARGING FUEL TO STORAGE OR RECEIVING FUEL FROM STORAGE ARE PROVIDED AT FUELING PIERS. SUCH PIERS WILL PROVIDE SALT WATER FOR FIREFIGHTING, TELEPHONE AND FIRE ALARM FACILITIES AND MAY PROVIDE FRESHWATER, STEAM IN COLD CLIMATES, ELECTRIC POWER.</t>
        </is>
      </c>
    </row>
    <row r="182">
      <c r="C182" s="143" t="inlineStr">
        <is>
          <t>151 50</t>
        </is>
      </c>
      <c r="D182" s="143" t="inlineStr">
        <is>
          <t>REPAIR PIER</t>
        </is>
      </c>
      <c r="E182" s="143" t="inlineStr">
        <is>
          <t>SY</t>
        </is>
      </c>
      <c r="F182" s="143" t="n"/>
      <c r="G182" s="143" t="n"/>
      <c r="H182" s="143" t="n"/>
      <c r="I182" s="143" t="inlineStr">
        <is>
          <t>REPAIR PIERS ARE CONSTRUCTED AND EQUIPPED TO PERMIT OVERHAUL OF THOSE PORTIONS OF A VESSEL ABOVE THE WATERLINE. THESE STRUCTURES WILL NORMALLY BE EQUIPPED WITH A GANTRY CRANE AND STANDARD-GAGE RAILROAD TRACKS AND HAVE FACILITIES TO PROVIDE SALT AND FRESHWATER, STEAM, COMPRESSED AIR, TELEPHONE AND FIRE ALARM SERVICE, AND ELECTRIC POWER FOR SHIP SERVICE, LIGHTING AND WELDING.</t>
        </is>
      </c>
    </row>
    <row r="183">
      <c r="C183" s="143" t="inlineStr">
        <is>
          <t>151 60</t>
        </is>
      </c>
      <c r="D183" s="143" t="inlineStr">
        <is>
          <t>SUPPLY PIER</t>
        </is>
      </c>
      <c r="E183" s="143" t="inlineStr">
        <is>
          <t>SY</t>
        </is>
      </c>
      <c r="F183" s="143" t="n"/>
      <c r="G183" s="143" t="n"/>
      <c r="H183" s="143" t="n"/>
      <c r="I183" s="143" t="inlineStr">
        <is>
          <t>SUPPLY PIERS ACCOMMODATE BERTHING FOR THE TRANSFER OF MATERIALS BETWEEN SHIP AND SHORE. A LARGE BUILDING OR TRANSIT SHED NORMALLY OCCUPIES THE CENTRAL PORTION OF A SUPPLY PIER.</t>
        </is>
      </c>
    </row>
    <row r="184">
      <c r="C184" s="143" t="inlineStr">
        <is>
          <t>151 70</t>
        </is>
      </c>
      <c r="D184" s="143" t="inlineStr">
        <is>
          <t>ORDNANCE CONT HANDL PIER</t>
        </is>
      </c>
      <c r="E184" s="143" t="inlineStr">
        <is>
          <t>SY</t>
        </is>
      </c>
      <c r="F184" s="143" t="n"/>
      <c r="G184" s="143" t="n"/>
      <c r="H184" s="143" t="n"/>
      <c r="I184" s="143" t="inlineStr">
        <is>
          <t>AN ORDNANCE CONTAINER HANDLING PIER IS USED PRIMARILY FOR THE OUTLOADING AND RECEIVING OF EXPLOSIVE ORDNANCE IN CONTAINERS FROM NON-SELF-SUSTAINING CONTAINER SHIPS.</t>
        </is>
      </c>
    </row>
    <row r="185">
      <c r="C185" s="143" t="inlineStr">
        <is>
          <t>151 71</t>
        </is>
      </c>
      <c r="D185" s="143" t="inlineStr">
        <is>
          <t>DEGAUSSING PIER</t>
        </is>
      </c>
      <c r="E185" s="143" t="inlineStr">
        <is>
          <t>SY</t>
        </is>
      </c>
      <c r="F185" s="143" t="n"/>
      <c r="G185" s="143" t="n"/>
      <c r="H185" s="143" t="n"/>
      <c r="I185" s="143" t="inlineStr">
        <is>
          <t>THESE PIERS ARE USED TO ERASE THE MAGNETIC SIGNATURE OF A SHIP OR SUBMARINE. SIZING FOR THIS CATEGORY CODE IS BASED ON THE TYPE OF VESSELS TO BE SERVICED AND IS DRIVEN BY THE NAVSEA SPECIFIED EQUIPMENT. SPECIAL STUDIES ARE REQUIRED ON A CASE BY CASE BASIS.</t>
        </is>
      </c>
    </row>
    <row r="186">
      <c r="C186" s="143" t="inlineStr">
        <is>
          <t>151 80</t>
        </is>
      </c>
      <c r="D186" s="143" t="inlineStr">
        <is>
          <t>DEPERMING PIER</t>
        </is>
      </c>
      <c r="E186" s="143" t="inlineStr">
        <is>
          <t>SY</t>
        </is>
      </c>
      <c r="F186" s="143" t="n"/>
      <c r="G186" s="143" t="n"/>
      <c r="H186" s="143" t="n"/>
      <c r="I186" s="143" t="inlineStr">
        <is>
          <t>THESE PIERS ARE USED TO ERASE THE MAGNETIC SIGNATURE OF A SHIP OR SUBMARINE. SIZING FOR THIS CATEGORY CODE IS BASED ON THE TYPE OF VESSELS TO BE SERVICED AND IS DRIVEN BY THE NAVSEA SPECIFIED EQUIPMENT. SPECIAL STUDIES ARE REQUIRED ON A CASE BY CASE BASIS.</t>
        </is>
      </c>
    </row>
    <row r="187">
      <c r="C187" s="143" t="inlineStr">
        <is>
          <t>151 90</t>
        </is>
      </c>
      <c r="D187" s="143" t="inlineStr">
        <is>
          <t>ACCESS TRESTLE PIERS WHRVS</t>
        </is>
      </c>
      <c r="E187" s="143" t="inlineStr">
        <is>
          <t>SY</t>
        </is>
      </c>
      <c r="F187" s="143" t="n"/>
      <c r="G187" s="143" t="n"/>
      <c r="H187" s="143" t="n"/>
      <c r="I187" s="143" t="inlineStr">
        <is>
          <t>A VEHICULAR AND/OR RAILROAD TRESTLE CONNECTING SHORE FACILITIES TO A PIER OR WHARF.</t>
        </is>
      </c>
    </row>
    <row r="188">
      <c r="C188" s="143" t="inlineStr">
        <is>
          <t>152 10</t>
        </is>
      </c>
      <c r="D188" s="143" t="inlineStr">
        <is>
          <t>AMMUNITION WHARF</t>
        </is>
      </c>
      <c r="E188" s="143" t="inlineStr">
        <is>
          <t>SY</t>
        </is>
      </c>
      <c r="F188" s="143" t="n"/>
      <c r="G188" s="143" t="n"/>
      <c r="H188" s="143" t="n"/>
      <c r="I188" s="143" t="inlineStr">
        <is>
          <t>AMMUNITION WHARVES ARE DESIGNED FOR USE IN THE RECEIPT OF AMMUNITION FOR STORAGE AND FOR THE OUTLOADING OF AMMUNITION ONTO BARGES AND SHIPS. IN SOME CASES OUTGOING AMMUNITION IS FIRST LOADED FROM THE AMMUNITION PIER ONTO BARGES FOR TRANSFER TO SHIPS MOORED OFFSHORE OR IN A ROADSTEAD.</t>
        </is>
      </c>
    </row>
    <row r="189">
      <c r="C189" s="143" t="inlineStr">
        <is>
          <t>152 20</t>
        </is>
      </c>
      <c r="D189" s="143" t="inlineStr">
        <is>
          <t>GENL PURP/BERTHING WHARF</t>
        </is>
      </c>
      <c r="E189" s="143" t="inlineStr">
        <is>
          <t>SY</t>
        </is>
      </c>
      <c r="F189" s="143" t="n"/>
      <c r="G189" s="143" t="n"/>
      <c r="H189" s="143" t="n"/>
      <c r="I189" s="143" t="inlineStr">
        <is>
          <t>GENERAL PURPOSE BERTHING WHARVES ARE USED PRIMARILY FOR MOORING HOME PORTED AND TRANSIENT SHIPS THAT DO NOT REQUIRE PIERS EQUIPPED WITH SHIPYARD FACILITIES. BERTHING PIERS ARE CLASSIFIED AS ACTIVE OR INACTIVE. THE ACTIVE BERTHING PIERS ARE USED WHEN SHIPS ARE BERTHED FOR A RELATIVELY SHORT TIME; THE INACTIVE CLASSES ARE USED WHEN SHIPS ARE TO BE TIED UP FOR LONG PERIODS IN A DECOMMISSIONED STATUS.</t>
        </is>
      </c>
    </row>
    <row r="190">
      <c r="C190" s="143" t="inlineStr">
        <is>
          <t>152 30</t>
        </is>
      </c>
      <c r="D190" s="143" t="inlineStr">
        <is>
          <t>FITTING OUT WHARF</t>
        </is>
      </c>
      <c r="E190" s="143" t="inlineStr">
        <is>
          <t>SY</t>
        </is>
      </c>
      <c r="F190" s="143" t="n"/>
      <c r="G190" s="143" t="n"/>
      <c r="H190" s="143" t="n"/>
      <c r="I190" s="143" t="inlineStr">
        <is>
          <t>WHARVES FOR FITTING OUT ARE VERY SIMILAR TO THOSE USED FOR REPAIR PURPOSES, PROVIDING APPROXIMATELY THE SAME FACILITIES. HOWEVER, FITTING OUT PIERS WILL HAVE, IN ADDITION TO LIGHT AND HEAVY GANTRY CRANES, A LARGE FIXED TOWER CRANE FOR HANDLING GUNS, TURRETS, ENGINES, AND HEAVY ARMOR.</t>
        </is>
      </c>
    </row>
    <row r="191">
      <c r="C191" s="143" t="inlineStr">
        <is>
          <t>152 40</t>
        </is>
      </c>
      <c r="D191" s="143" t="inlineStr">
        <is>
          <t>FUELING WHARF</t>
        </is>
      </c>
      <c r="E191" s="143" t="inlineStr">
        <is>
          <t>SY</t>
        </is>
      </c>
      <c r="F191" s="143" t="n"/>
      <c r="G191" s="143" t="n"/>
      <c r="H191" s="143" t="n"/>
      <c r="I191" s="143" t="inlineStr">
        <is>
          <t>FACILITIES FOR BERTHING SHIPS WHILE DISCHARGING FUEL TO STORAGE OR RECEIVING FUEL FROM STORAGE ARE PROVIDED AT FUELING WHARVES. SUCH WHARVES WILL PROVIDE SALT WATER FOR FIREFIGHTING, TELEPHONE AND FIRE ALARM FACILITIES AND MAY PROVIDE FRESHWATER, STEAM IN COLD CLIMATES, ELECTRIC POWER.</t>
        </is>
      </c>
    </row>
    <row r="192">
      <c r="C192" s="143" t="inlineStr">
        <is>
          <t>152 50</t>
        </is>
      </c>
      <c r="D192" s="143" t="inlineStr">
        <is>
          <t>REPAIR WHARF</t>
        </is>
      </c>
      <c r="E192" s="143" t="inlineStr">
        <is>
          <t>SY</t>
        </is>
      </c>
      <c r="F192" s="143" t="n"/>
      <c r="G192" s="143" t="n"/>
      <c r="H192" s="143" t="n"/>
      <c r="I192" s="143" t="inlineStr">
        <is>
          <t>REPAIR WHARVES ARE CONSTRUCTED AND EQUIPPED TO PERMIT OVERHAUL OF THOSE PORTIONS OF A VESSEL ABOVE THE WATERLINE. THESE STRUCTURES WILL NORMALLY BE EQUIPPED WITH A GANTRY CRANE AND STANDARD-GAGE RAILROAD TRACKS AND HAVE FACILITIES TO PROVIDE SALT AND FRESHWATER, STEAM, COMPRESSED AIR, TELEPHONE AND FIRE ALARM SERVICE, AND ELECTRIC POWER FOR SHIP SERVICE, LIGHTING AND WELDING.</t>
        </is>
      </c>
    </row>
    <row r="193">
      <c r="C193" s="143" t="inlineStr">
        <is>
          <t>152 60</t>
        </is>
      </c>
      <c r="D193" s="143" t="inlineStr">
        <is>
          <t>SUPPLY WHARF</t>
        </is>
      </c>
      <c r="E193" s="143" t="inlineStr">
        <is>
          <t>SY</t>
        </is>
      </c>
      <c r="F193" s="143" t="n"/>
      <c r="G193" s="143" t="n"/>
      <c r="H193" s="143" t="n"/>
      <c r="I193" s="143" t="inlineStr">
        <is>
          <t>SUPPLY WHARVES ACCOMMODATE BERTHING FOR THE TRANSFER OF MATERIALS BETWEEN SHIP AND SHORE. A LARGE BUILDING OR TRANSIT SHED NORMALLY OCCUPIES THE CENTRAL PORTION OF A SUPPLY WHARF.</t>
        </is>
      </c>
    </row>
    <row r="194">
      <c r="C194" s="143" t="inlineStr">
        <is>
          <t>152 70</t>
        </is>
      </c>
      <c r="D194" s="143" t="inlineStr">
        <is>
          <t>ORDNANCE CONT HANDL WHARF</t>
        </is>
      </c>
      <c r="E194" s="143" t="inlineStr">
        <is>
          <t>SY</t>
        </is>
      </c>
      <c r="F194" s="143" t="n"/>
      <c r="G194" s="143" t="n"/>
      <c r="H194" s="143" t="n"/>
      <c r="I194" s="143" t="inlineStr">
        <is>
          <t>AN ORDNANCE CONTAINER HANDLING WHARF IS USED PRIMARILY FOR THE OUTLOADING AND RECEIVING OF EXPLOSIVE ORDNANCE IN CONTAINERS FROM NON-SELF-SUSTAINING CONTAINER SHIPS.</t>
        </is>
      </c>
    </row>
    <row r="195">
      <c r="C195" s="143" t="inlineStr">
        <is>
          <t>152 71</t>
        </is>
      </c>
      <c r="D195" s="143" t="inlineStr">
        <is>
          <t>DEGAUSSING WHARF</t>
        </is>
      </c>
      <c r="E195" s="143" t="inlineStr">
        <is>
          <t>SY</t>
        </is>
      </c>
      <c r="F195" s="143" t="n"/>
      <c r="G195" s="143" t="n"/>
      <c r="H195" s="143" t="n"/>
      <c r="I195" s="143" t="inlineStr">
        <is>
          <t>THESE WHARVES ARE USED TO ERASE THE MAGNETIC SIGNATURE OF A SHIP OR SUBMARINE. SIZING FOR THIS CATEGORY CODE IS BASED ON THE TYPE OF VESSELS TO BE SERVICED AND IS DRIVEN BY THE NAVSEA SPECIFIED EQUIPMENT. SPECIAL STUDIES ARE REQUIRED ON A CASE BY CASE BASIS.</t>
        </is>
      </c>
    </row>
    <row r="196">
      <c r="C196" s="143" t="inlineStr">
        <is>
          <t>152 80</t>
        </is>
      </c>
      <c r="D196" s="143" t="inlineStr">
        <is>
          <t>DEPERMING WHARF</t>
        </is>
      </c>
      <c r="E196" s="143" t="inlineStr">
        <is>
          <t>SY</t>
        </is>
      </c>
      <c r="F196" s="143" t="n"/>
      <c r="G196" s="143" t="n"/>
      <c r="H196" s="143" t="n"/>
      <c r="I196" s="143" t="inlineStr">
        <is>
          <t>THESE WHARVES ARE USED TO ERASE THE MAGNETIC SIGNATURE OF A SHIP OR SUBMARINE. SIZING FOR THIS CATEGORY CODE IS BASED ON THE TYPE OF VESSELS TO BE SERVICED AND IS DRIVEN BY THE NAVSEA SPECIFIED EQUIPMENT. SPECIAL STUDIES ARE REQUIRED ON A CASE BY CASE BASIS.</t>
        </is>
      </c>
    </row>
    <row r="197">
      <c r="C197" s="143" t="inlineStr">
        <is>
          <t>153 10</t>
        </is>
      </c>
      <c r="D197" s="143" t="inlineStr">
        <is>
          <t>CARGO STAGING AREA</t>
        </is>
      </c>
      <c r="E197" s="143" t="inlineStr">
        <is>
          <t>SY</t>
        </is>
      </c>
      <c r="F197" s="143" t="n"/>
      <c r="G197" s="143" t="n"/>
      <c r="H197" s="143" t="n"/>
      <c r="I197" s="143" t="inlineStr">
        <is>
          <t>A CARGO STAGING AREA IS AN OPEN HARDSTAND FOR TEMPORARY STORAGE OF CARGO AWAITING FURTHER TRANSSHIPMENT.</t>
        </is>
      </c>
    </row>
    <row r="198">
      <c r="C198" s="143" t="inlineStr">
        <is>
          <t>154 10</t>
        </is>
      </c>
      <c r="D198" s="143" t="inlineStr">
        <is>
          <t>BLKHD QW NO RELIEVG PLATFM</t>
        </is>
      </c>
      <c r="E198" s="143" t="inlineStr">
        <is>
          <t>LF</t>
        </is>
      </c>
      <c r="F198" s="143" t="n"/>
      <c r="G198" s="143" t="n"/>
      <c r="H198" s="143" t="n"/>
      <c r="I198" s="143" t="inlineStr">
        <is>
          <t>THIS TYPE OF BULKHEAD OR QUAYWALL IS A STRUCTURE TO RETAIN EARTH ALONG A SHORELINE IN SHALLOW WATER. THE DEPTH OF WATER IS TYPICALLY LIMITED TO A 25 FEET AND THE STRUCTURE HAS NO RELIEVING PLATFORM. THIS STRUCTURE DOES NOT PROVIDE SHIP BERTHING (151 PIERS AND 152 WHARVES SHOULD BE USED FOR ANY SHIP BERTHING REQUIREMENT).</t>
        </is>
      </c>
    </row>
    <row r="199">
      <c r="C199" s="143" t="inlineStr">
        <is>
          <t>154 20</t>
        </is>
      </c>
      <c r="D199" s="143" t="inlineStr">
        <is>
          <t>BLKHD QW WITH R PLATFM</t>
        </is>
      </c>
      <c r="E199" s="143" t="inlineStr">
        <is>
          <t>SY</t>
        </is>
      </c>
      <c r="F199" s="143" t="n"/>
      <c r="G199" s="143" t="n"/>
      <c r="H199" s="143" t="n"/>
      <c r="I199" s="143" t="inlineStr">
        <is>
          <t>THIS TYPE OF BULKHEAD OR QUAYWALL IS A STRUCTURE TO RETAIN EARTH ALONG A SHORELINE IN DEEP WATER. TYPICALLY WITH A WATER DEPTH EXCEEDING 25 FEET AND INCLUDES A RELIEVING PLATFORM TO SUPPORT HEAVY LOGISTICS OPERATIONS. THIS STRUCTURE DOES NOT PROVIDE SHIP BERTHING (151 PIERS AND 152 WHARVES SHOULD BE USED FOR ANY SHIP BERTHING REQUIREMENT).</t>
        </is>
      </c>
    </row>
    <row r="200">
      <c r="C200" s="143" t="inlineStr">
        <is>
          <t>154 30</t>
        </is>
      </c>
      <c r="D200" s="143" t="inlineStr">
        <is>
          <t>SEAWALLS AND RIP RAP</t>
        </is>
      </c>
      <c r="E200" s="143" t="inlineStr">
        <is>
          <t>LF</t>
        </is>
      </c>
      <c r="F200" s="143" t="n"/>
      <c r="G200" s="143" t="n"/>
      <c r="H200" s="143" t="n"/>
      <c r="I200" s="143" t="inlineStr">
        <is>
          <t>THESE ARE STRUCTURES BUILT ALONG AND PARALLEL TO A SHORELINE (RIVER OR COAST LINE) PROTECTING AND STABILIZING THE SHORE AGAINST EROSION RESULTING FROM WAVE AND CURRENT ACTION. THIS IS A FUNCTIONAL DEFINITION AND VARIOUS TYPES OF CONSTRUCTION CAN BE USED TO SUPPORT THIS FUNCTION.</t>
        </is>
      </c>
    </row>
    <row r="201">
      <c r="C201" s="143" t="inlineStr">
        <is>
          <t>155 10</t>
        </is>
      </c>
      <c r="D201" s="143" t="inlineStr">
        <is>
          <t>FLEET LANDING</t>
        </is>
      </c>
      <c r="E201" s="143" t="inlineStr">
        <is>
          <t>FB</t>
        </is>
      </c>
      <c r="F201" s="143" t="n"/>
      <c r="G201" s="143" t="n"/>
      <c r="H201" s="143" t="n"/>
      <c r="I201" s="143" t="inlineStr">
        <is>
          <t>A FLEET LANDING IS A FIXED OR FLOATING PIER DESIGNED FOR THE LOADING AND/OR UNLOADING OF A SHIP'S PERSONNEL ONTO OR FROM A PERSONNEL BOAT OR FERRY.</t>
        </is>
      </c>
    </row>
    <row r="202">
      <c r="C202" s="143" t="inlineStr">
        <is>
          <t>155 11</t>
        </is>
      </c>
      <c r="D202" s="143" t="inlineStr">
        <is>
          <t>FLEET LANDING BUILDING</t>
        </is>
      </c>
      <c r="E202" s="143" t="inlineStr">
        <is>
          <t>SF</t>
        </is>
      </c>
      <c r="F202" s="143" t="n"/>
      <c r="G202" s="143" t="n"/>
      <c r="H202" s="143" t="n"/>
      <c r="I202" s="143" t="inlineStr">
        <is>
          <t>A FLEET LANDING BUILDING IS USED TO ACCOMMODATE SHIP'S PERSONNEL BEING LOADED OR UNLOADED FROM A PERSONNEL BOAT OR FERRY.</t>
        </is>
      </c>
    </row>
    <row r="203">
      <c r="C203" s="143" t="inlineStr">
        <is>
          <t>155 20</t>
        </is>
      </c>
      <c r="D203" s="143" t="inlineStr">
        <is>
          <t>SMALL CRAFT BERTHING</t>
        </is>
      </c>
      <c r="E203" s="143" t="inlineStr">
        <is>
          <t>FB</t>
        </is>
      </c>
      <c r="F203" s="143" t="n"/>
      <c r="G203" s="143" t="n"/>
      <c r="H203" s="143" t="n"/>
      <c r="I203" s="143" t="inlineStr">
        <is>
          <t>THIS CATCODE SHOULD INCLUDE FACILITIES FOR HARBOR AND PILOT LAUNCHES, SURVEY BOATS, WORK BOATS, SPECIAL SERVICE CRAFT, RESCUE BOATS, AND OTHER SMALL CRAFT.</t>
        </is>
      </c>
    </row>
    <row r="204">
      <c r="C204" s="143" t="inlineStr">
        <is>
          <t>155 21</t>
        </is>
      </c>
      <c r="D204" s="143" t="inlineStr">
        <is>
          <t>SMALL CRAFT BOATHOUSE</t>
        </is>
      </c>
      <c r="E204" s="143" t="inlineStr">
        <is>
          <t>SF</t>
        </is>
      </c>
      <c r="F204" s="143" t="n"/>
      <c r="G204" s="143" t="n"/>
      <c r="H204" s="143" t="n"/>
      <c r="I204" s="143" t="inlineStr">
        <is>
          <t>A BOATHOUSE IS NECESSARY WHERE AN ALERT CREW IS REQUIRED, WHERE A BOAT FACILITY IS REMOTE FROM THE SUPPORTING ACTIVITY, OR WHERE BOAT REPAIR FACILITIES ARE ESSENTIAL.</t>
        </is>
      </c>
    </row>
    <row r="205">
      <c r="C205" s="143" t="inlineStr">
        <is>
          <t>155 22</t>
        </is>
      </c>
      <c r="D205" s="143" t="inlineStr">
        <is>
          <t>SM CRAFT BOAT RAMP FAC</t>
        </is>
      </c>
      <c r="E205" s="143" t="inlineStr">
        <is>
          <t>SY</t>
        </is>
      </c>
      <c r="F205" s="143" t="n"/>
      <c r="G205" s="143" t="n"/>
      <c r="H205" s="143" t="n"/>
      <c r="I205" s="143" t="inlineStr">
        <is>
          <t>SMALL BOAT LAUNCH RAMPS FOR OPERATIONAL OR SECURITY FORCES THE PURPOSES OF CONDUCTING IN-SHORE TRAINING MANEUVERS OR SECURITY PATROLS.</t>
        </is>
      </c>
    </row>
    <row r="206">
      <c r="C206" s="143" t="inlineStr">
        <is>
          <t>156 10</t>
        </is>
      </c>
      <c r="D206" s="143" t="inlineStr">
        <is>
          <t>WATERFRONT TRANSIT SHED</t>
        </is>
      </c>
      <c r="E206" s="143" t="inlineStr">
        <is>
          <t>SF</t>
        </is>
      </c>
      <c r="F206" s="143" t="n"/>
      <c r="G206" s="143" t="n"/>
      <c r="H206" s="143" t="n"/>
      <c r="I206" s="143" t="inlineStr">
        <is>
          <t>A WATERFRONT TRANSIT SHED IS A BUILDING OR SHED FOR STORAGE OF CARGO AWAITING FURTHER TRANSSHIPMENT AND REQUIRING PROTECTION.</t>
        </is>
      </c>
    </row>
    <row r="207">
      <c r="C207" s="143" t="inlineStr">
        <is>
          <t>156 20</t>
        </is>
      </c>
      <c r="D207" s="143" t="inlineStr">
        <is>
          <t>CONTAINER OPERATIONS BLDG</t>
        </is>
      </c>
      <c r="E207" s="143" t="inlineStr">
        <is>
          <t>SF</t>
        </is>
      </c>
      <c r="F207" s="143" t="n"/>
      <c r="G207" s="143" t="n"/>
      <c r="H207" s="143" t="n"/>
      <c r="I207" s="143" t="inlineStr">
        <is>
          <t>A CONTAINER OPERATIONS BUILDING IS ESSENTIAL FOR SAFE DIRECTION AND CONTROL OF CONTAINER OPERATIONS TO PROMOTE EFFICIENT AND CONTINUOUS FLOW TO, WITHIN, AND FROM THE HANDLING AREA.</t>
        </is>
      </c>
    </row>
    <row r="208">
      <c r="C208" s="143" t="inlineStr">
        <is>
          <t>159 10</t>
        </is>
      </c>
      <c r="D208" s="143" t="inlineStr">
        <is>
          <t>AIRCRAFT DOCKING FACILITY</t>
        </is>
      </c>
      <c r="E208" s="143" t="inlineStr">
        <is>
          <t>SY</t>
        </is>
      </c>
      <c r="F208" s="143" t="n"/>
      <c r="G208" s="143" t="n"/>
      <c r="H208" s="143" t="n"/>
      <c r="I208" s="143" t="inlineStr">
        <is>
          <t>WATERFRONT FACILITIES THAT WERE ORIGINALLY CREATED TO SUPPORT SEAPLANES SUCH AS PBY CATALINAS AND SIMILAR FROM THE WWII ERA AND LATER. IT IS NOT ASSOCIATED WITH ANY AIRFIELD CRITERIA AND NEW FACILITIES WILL NOT BE PLANNED UNDER THIS CCN.</t>
        </is>
      </c>
    </row>
    <row r="209">
      <c r="C209" s="143" t="inlineStr">
        <is>
          <t>159 20</t>
        </is>
      </c>
      <c r="D209" s="143" t="inlineStr">
        <is>
          <t>DEGAUSSING BUILDING</t>
        </is>
      </c>
      <c r="E209" s="143" t="inlineStr">
        <is>
          <t>SF</t>
        </is>
      </c>
      <c r="F209" s="143" t="n"/>
      <c r="G209" s="143" t="n"/>
      <c r="H209" s="143" t="n"/>
      <c r="I209" s="143" t="inlineStr">
        <is>
          <t>DEGAUSSING IS THE SCIENCE DEALING WITH THE METHODS AND TECHNIQUES OF REDUCING A SHIP'S MAGNETIC FIELD SO THAT THE POSSIBILITY OF DETECTION BY MAGNETIC MINES AND OTHER MAGNETIC INFLUENCE DETECTION DEVICES IS MINIMIZED. IT CONSISTS OF TWO FUNCTIONALLY INTERDEPENDENT INSTALLATIONS: AN UNDERWATER DEGAUSSING RANGE INSTALLATION AND THIS FACILITY, WHICH SERVES AS AN INSTRUMENT STATION.</t>
        </is>
      </c>
    </row>
    <row r="210">
      <c r="C210" s="143" t="inlineStr">
        <is>
          <t>159 21</t>
        </is>
      </c>
      <c r="D210" s="143" t="inlineStr">
        <is>
          <t>DEGAUSSING RANGE</t>
        </is>
      </c>
      <c r="E210" s="143" t="inlineStr">
        <is>
          <t>EA</t>
        </is>
      </c>
      <c r="F210" s="143" t="n"/>
      <c r="G210" s="143" t="n"/>
      <c r="H210" s="143" t="n"/>
      <c r="I210" s="143" t="inlineStr">
        <is>
          <t>A DEGAUSSING RANGE IS AN AREA SET ASIDE IN A CHANNEL OR HARBOR THAT CONTAINS SUBMERGED INSTRUMENTS, CONNECTED TO THE COMPUTER IN THE DEGAUSSING BUILDING (CATEGORY CODE 159 20), WHICH REGISTERS A SHIP'S MAGNETIC SIGNATURE AS IT PASSES THROUGH THE RANGE.</t>
        </is>
      </c>
    </row>
    <row r="211">
      <c r="C211" s="143" t="inlineStr">
        <is>
          <t>159 30</t>
        </is>
      </c>
      <c r="D211" s="143" t="inlineStr">
        <is>
          <t>DEPERMING BUILDING</t>
        </is>
      </c>
      <c r="E211" s="143" t="inlineStr">
        <is>
          <t>SF</t>
        </is>
      </c>
      <c r="F211" s="143" t="n"/>
      <c r="G211" s="143" t="n"/>
      <c r="H211" s="143" t="n"/>
      <c r="I211" s="143" t="inlineStr">
        <is>
          <t>A DEPERMING BUILDING IS A FACILITY THAT CONTAINS ELECTRICAL INSTRUMENTS USED TO REGULATE AND MONITOR THE DEPERMING OPERATION. DEPERMING, THE SECOND PHASE OF DEGAUSSING, IS THE PROCESS BY WHICH A SHIP'S PERMANENT LONGITUDINAL AND ATHWARTSHIP MAGNETISM IS REMOVED AND ITS PERMANENT VERTICAL MAGNETISM STABILIZED AT A LOW LEVEL.</t>
        </is>
      </c>
    </row>
    <row r="212">
      <c r="C212" s="143" t="inlineStr">
        <is>
          <t>159 50</t>
        </is>
      </c>
      <c r="D212" s="143" t="inlineStr">
        <is>
          <t>FERRY SLIP</t>
        </is>
      </c>
      <c r="E212" s="143" t="inlineStr">
        <is>
          <t>FB</t>
        </is>
      </c>
      <c r="F212" s="143" t="n"/>
      <c r="G212" s="143" t="n"/>
      <c r="H212" s="143" t="n"/>
      <c r="I212" s="143" t="inlineStr">
        <is>
          <t>A FERRY SLIP PROVIDES THE ANCHORAGE FOR FERRIES WHILE LOADING OR UNLOADING. IT CONSISTS OF WATER AREAS DIRECTLY IN FRONT OF TRANSFER BRIDGES AND IS USUALLY BORDERED BY FENDER RACKS.</t>
        </is>
      </c>
    </row>
    <row r="213">
      <c r="C213" s="143" t="inlineStr">
        <is>
          <t>159 64</t>
        </is>
      </c>
      <c r="D213" s="143" t="inlineStr">
        <is>
          <t>WATERFRONT OPERATIONS BLDG</t>
        </is>
      </c>
      <c r="E213" s="143" t="inlineStr">
        <is>
          <t>SF</t>
        </is>
      </c>
      <c r="F213" s="143" t="n"/>
      <c r="G213" s="143" t="n"/>
      <c r="H213" s="143" t="n"/>
      <c r="I213" s="143" t="inlineStr">
        <is>
          <t>A WATERFRONT OPERATIONS BUILDING, PROVIDES FOR ALL SHIP BERTHING, SMALL CRAFT MAINTENANCE INCLUDING RELATED ELECTRONICS SYSTEMS, AND PROVIDING SUCH FACILITIES AS A DUTY CREW BUNK ROOM, CREW'S LOUNGE, BOATSWAIN¿S LOCKER, BERTHING FOR SMALL BOATS IF AN INTEGRAL PART OF THE BUILDING, SPACE FOR STORAGE OF BOAT GEAR AND PAINT, OIL SPILL EQUIPMENT AND A BATTERY CHARGING ROOM.</t>
        </is>
      </c>
    </row>
    <row r="214">
      <c r="C214" s="143" t="inlineStr">
        <is>
          <t>159 66</t>
        </is>
      </c>
      <c r="D214" s="143" t="inlineStr">
        <is>
          <t>LANDING CRAFT RAMP</t>
        </is>
      </c>
      <c r="E214" s="143" t="inlineStr">
        <is>
          <t>SY</t>
        </is>
      </c>
      <c r="F214" s="143" t="n"/>
      <c r="G214" s="143" t="n"/>
      <c r="H214" s="143" t="n"/>
      <c r="I214" s="143" t="inlineStr">
        <is>
          <t>A WATERFRONT LAUNCH RAMP FOR PURPOSES OF LAUNCH AND RETRIEVAL OF LANDING CRAFT.</t>
        </is>
      </c>
    </row>
    <row r="215">
      <c r="C215" s="143" t="inlineStr">
        <is>
          <t>161 20</t>
        </is>
      </c>
      <c r="D215" s="143" t="inlineStr">
        <is>
          <t>FIXED NET ANCHORAGE</t>
        </is>
      </c>
      <c r="E215" s="143" t="inlineStr">
        <is>
          <t>EA</t>
        </is>
      </c>
      <c r="F215" s="143" t="n"/>
      <c r="G215" s="143" t="n"/>
      <c r="H215" s="143" t="n"/>
      <c r="I215" s="143" t="inlineStr">
        <is>
          <t>THIS CATEGORY CODE INCLUDES SUCH FUNCTIONS AS PILE CLUSTERS AND PLATFORMS USED TO SUPPORT ANTI- TERRORISM/FORCE PROTECTION (AT/FP) FLOATING BARRIERS. IF A TRADITIONAL SUBMERGED HARBOR NET IS USED, THIS TYPE OF FEATURE WOULD ALSO BE REQUIRED.</t>
        </is>
      </c>
    </row>
    <row r="216">
      <c r="C216" s="143" t="inlineStr">
        <is>
          <t>161 30</t>
        </is>
      </c>
      <c r="D216" s="143" t="inlineStr">
        <is>
          <t>WINCH HOUSE</t>
        </is>
      </c>
      <c r="E216" s="143" t="inlineStr">
        <is>
          <t>SF</t>
        </is>
      </c>
      <c r="F216" s="143" t="n"/>
      <c r="G216" s="143" t="n"/>
      <c r="H216" s="143" t="n"/>
      <c r="I216" s="143" t="inlineStr">
        <is>
          <t>A WINCH HOUSE IS A STRUCTURE USED IN CONTROL OF HARBOR NETS, FLOATING BARRIERS AND OIL BOOMS.</t>
        </is>
      </c>
    </row>
    <row r="217">
      <c r="C217" s="143" t="inlineStr">
        <is>
          <t>162 10</t>
        </is>
      </c>
      <c r="D217" s="143" t="inlineStr">
        <is>
          <t>GUN EMPLACEMENTS</t>
        </is>
      </c>
      <c r="E217" s="143" t="inlineStr">
        <is>
          <t>EA</t>
        </is>
      </c>
      <c r="F217" s="143" t="n"/>
      <c r="G217" s="143" t="n"/>
      <c r="H217" s="143" t="n"/>
      <c r="I217" s="143" t="inlineStr">
        <is>
          <t>SPACE IN STRATEGIC SITES IS PROVIDED ON BASE FOR THE INSTALLATION OF GUN EMPLACEMENTS, INCLUDING ANTI-AIRCRAFT GUNS, FOR USE IN HARBOR DEFENSE.</t>
        </is>
      </c>
    </row>
    <row r="218">
      <c r="C218" s="143" t="inlineStr">
        <is>
          <t>163 10</t>
        </is>
      </c>
      <c r="D218" s="143" t="inlineStr">
        <is>
          <t>MOORING DOLPHIN</t>
        </is>
      </c>
      <c r="E218" s="143" t="inlineStr">
        <is>
          <t>EA</t>
        </is>
      </c>
      <c r="F218" s="143" t="n"/>
      <c r="G218" s="143" t="n"/>
      <c r="H218" s="143" t="n"/>
      <c r="I218" s="143" t="inlineStr">
        <is>
          <t>MOORING DOLPHINS ARE INDEPENDENT STRUCTURES THAT ARE OFTEN PLACED AT THE OUTBOARD ENDS OF PIERS OR WHARVES TO PROVIDE A MOORING POINT THAT PERMITS TYING MOORING LINES AT FAVORABLE ANGLES WITHOUT HAVING TO EXTEND THE ENTIRE PIER OR WHARF STRUCTURE.</t>
        </is>
      </c>
    </row>
    <row r="219">
      <c r="C219" s="143" t="inlineStr">
        <is>
          <t>163 20</t>
        </is>
      </c>
      <c r="D219" s="143" t="inlineStr">
        <is>
          <t>MOORING PLATFORM</t>
        </is>
      </c>
      <c r="E219" s="143" t="inlineStr">
        <is>
          <t>EA</t>
        </is>
      </c>
      <c r="F219" s="143" t="n"/>
      <c r="G219" s="143" t="n"/>
      <c r="H219" s="143" t="n"/>
      <c r="I219" s="143" t="inlineStr">
        <is>
          <t>A MOORING PLATFORM IS AN ISOLATED STRUCTURE CONSISTING OF A TIMBER, STEEL OR CONCRETE DECK SUPPORTED ON PILING OR CAN BE A STEEL PILE, SHEET PILE OR CONCRETE TYPE CAISSON. TWO OR MORE PLATFORMS ARE PROVIDED IN LINE FOR BERTHING OF ONE OR MORE VESSELS ALONGSIDE.</t>
        </is>
      </c>
    </row>
    <row r="220">
      <c r="C220" s="143" t="inlineStr">
        <is>
          <t>163 30</t>
        </is>
      </c>
      <c r="D220" s="143" t="inlineStr">
        <is>
          <t>STAKE PILE MOORING</t>
        </is>
      </c>
      <c r="E220" s="143" t="inlineStr">
        <is>
          <t>EA</t>
        </is>
      </c>
      <c r="F220" s="143" t="n"/>
      <c r="G220" s="143" t="n"/>
      <c r="H220" s="143" t="n"/>
      <c r="I220" s="143" t="inlineStr">
        <is>
          <t>A STAKE PILE MOORING CONSISTS OF A STAKE PILE DRIVEN BELOW THE SURFACE OF THE FIRM BOTTOM OF THE OCEAN FLOOR. A CHAIN ATTACHED TO THE STAKE IS USED TO MOOR THE VESSEL.</t>
        </is>
      </c>
    </row>
    <row r="221">
      <c r="C221" s="143" t="inlineStr">
        <is>
          <t>164 10</t>
        </is>
      </c>
      <c r="D221" s="143" t="inlineStr">
        <is>
          <t>BREAKWATER</t>
        </is>
      </c>
      <c r="E221" s="143" t="inlineStr">
        <is>
          <t>LF</t>
        </is>
      </c>
      <c r="F221" s="143" t="n"/>
      <c r="G221" s="143" t="n"/>
      <c r="H221" s="143" t="n"/>
      <c r="I221" s="143" t="inlineStr">
        <is>
          <t>A BREAKWATER IS A FREESTANDING BARRIER DESIGNED TO BREAK UP AND DISPERSE HEAVY SEAS AND TO SHIELD THE WATERS OF A HARBOR FROM WAVE ACTION.</t>
        </is>
      </c>
    </row>
    <row r="222">
      <c r="C222" s="143" t="inlineStr">
        <is>
          <t>164 20</t>
        </is>
      </c>
      <c r="D222" s="143" t="inlineStr">
        <is>
          <t>GROINS AND JETTIES</t>
        </is>
      </c>
      <c r="E222" s="143" t="inlineStr">
        <is>
          <t>LF</t>
        </is>
      </c>
      <c r="F222" s="143" t="n"/>
      <c r="G222" s="143" t="n"/>
      <c r="H222" s="143" t="n"/>
      <c r="I222" s="143" t="inlineStr">
        <is>
          <t>GROINS AND JETTIES ARE STRUCTURES BUILT TO INTERCEPT AND DEFLECT CURRENTS TO CONTROL LITTORAL DRIFT AND DEPOSIT OF SAND AND SILT.</t>
        </is>
      </c>
    </row>
    <row r="223">
      <c r="C223" s="143" t="inlineStr">
        <is>
          <t>164 30</t>
        </is>
      </c>
      <c r="D223" s="143" t="inlineStr">
        <is>
          <t>LEVEES</t>
        </is>
      </c>
      <c r="E223" s="143" t="inlineStr">
        <is>
          <t>LF</t>
        </is>
      </c>
      <c r="F223" s="143" t="n"/>
      <c r="G223" s="143" t="n"/>
      <c r="H223" s="143" t="n"/>
      <c r="I223" s="143" t="inlineStr">
        <is>
          <t>LEVEES ARE EARTHEN EMBANKMENTS DESIGNED TO PROTECT PROPERTY FROM WATER DAMAGE DURING THE FLOOD STAGE OF RIVERS AND/OR OTHER HIGH WATER.</t>
        </is>
      </c>
    </row>
    <row r="224">
      <c r="C224" s="143" t="inlineStr">
        <is>
          <t>169 10</t>
        </is>
      </c>
      <c r="D224" s="143" t="inlineStr">
        <is>
          <t>HARBOR ENTRANCE CONTR FAC</t>
        </is>
      </c>
      <c r="E224" s="143" t="inlineStr">
        <is>
          <t>EA</t>
        </is>
      </c>
      <c r="F224" s="143" t="n"/>
      <c r="G224" s="143" t="n"/>
      <c r="H224" s="143" t="n"/>
      <c r="I224" s="143" t="inlineStr">
        <is>
          <t>A LARGE PAVED SITE FOR LAYOUT AND ASSEMBLY OF HARBOR NETS AND ALLIED EQUIPMENT. THE LAYOUT AREA SHOULD BE NEAR THE WATERFRONT AND ACCESSIBLE TO MOBILE CRANES FOR NET AND EQUIPMENT HANDLING. THE AREA IS KNOWN AS THE NET DEPOT AND IS USED FOR NET MAINTENANCE AND FOR TRAINING IN NET HANDLING.</t>
        </is>
      </c>
    </row>
    <row r="225">
      <c r="C225" s="143" t="inlineStr">
        <is>
          <t>171 10</t>
        </is>
      </c>
      <c r="D225" s="143" t="inlineStr">
        <is>
          <t>Academic Instruction Building</t>
        </is>
      </c>
      <c r="E225" s="143" t="inlineStr">
        <is>
          <t>SF</t>
        </is>
      </c>
      <c r="F225" s="143" t="n">
        <v>45</v>
      </c>
      <c r="G225" s="143" t="inlineStr">
        <is>
          <t>Per Table 17110-1 (broad: 45 GSF/student station, 75 GSF if modified). NTG 1.33.</t>
        </is>
      </c>
      <c r="H225" s="143" t="n">
        <v>1.33</v>
      </c>
      <c r="I225" s="143" t="inlineStr">
        <is>
          <t># of student stations</t>
        </is>
      </c>
    </row>
    <row r="226">
      <c r="C226" s="143" t="inlineStr">
        <is>
          <t>171 15</t>
        </is>
      </c>
      <c r="D226" s="143" t="inlineStr">
        <is>
          <t>Navy/Marine Corps Reserve Training</t>
        </is>
      </c>
      <c r="E226" s="143" t="inlineStr">
        <is>
          <t>SF</t>
        </is>
      </c>
      <c r="F226" s="143" t="inlineStr">
        <is>
          <t>see notes</t>
        </is>
      </c>
      <c r="G226" s="143" t="inlineStr">
        <is>
          <t>Via NOSC Space Program Spreadsheet (Tables 17115-1…9).</t>
        </is>
      </c>
      <c r="H226" s="143" t="n">
        <v>1.3</v>
      </c>
      <c r="I226" s="143" t="inlineStr">
        <is>
          <t>Reserve unit composition</t>
        </is>
      </c>
    </row>
    <row r="227">
      <c r="C227" s="143" t="inlineStr">
        <is>
          <t>171 17</t>
        </is>
      </c>
      <c r="D227" s="143" t="inlineStr">
        <is>
          <t>TV CTR/INSTRUCTION MATTER</t>
        </is>
      </c>
      <c r="E227" s="143" t="inlineStr">
        <is>
          <t>SF</t>
        </is>
      </c>
      <c r="F227" s="143" t="n"/>
      <c r="G227" s="143" t="n"/>
      <c r="H227" s="143" t="n"/>
      <c r="I227" s="143" t="inlineStr">
        <is>
          <t>THIS FACILITY MAY BE PROVIDED ONLY WHEN SPECIFICALLY AUTHORIZED BY CNET. REQUIREMENTS WILL BE DETERMINED FOR EACH INDIVIDUAL CASE, WITH CNET GUIDANCE.</t>
        </is>
      </c>
    </row>
    <row r="228">
      <c r="C228" s="143" t="inlineStr">
        <is>
          <t>171 20</t>
        </is>
      </c>
      <c r="D228" s="143" t="inlineStr">
        <is>
          <t>Applied Instruction Building</t>
        </is>
      </c>
      <c r="E228" s="143" t="inlineStr">
        <is>
          <t>SF</t>
        </is>
      </c>
      <c r="F228" s="143" t="n">
        <v>150</v>
      </c>
      <c r="G228" s="143" t="inlineStr">
        <is>
          <t>150 GSF/student station (broad); specialized (e.g., Flight Briefing 125 GSF).</t>
        </is>
      </c>
      <c r="H228" s="143" t="n">
        <v>1.25</v>
      </c>
      <c r="I228" s="143" t="inlineStr">
        <is>
          <t># of student stations</t>
        </is>
      </c>
    </row>
    <row r="229">
      <c r="C229" s="143" t="inlineStr">
        <is>
          <t>171 25</t>
        </is>
      </c>
      <c r="D229" s="143" t="inlineStr">
        <is>
          <t>GEN PRPSE AUDITORIUM</t>
        </is>
      </c>
      <c r="E229" s="143" t="inlineStr">
        <is>
          <t>SF</t>
        </is>
      </c>
      <c r="F229" s="143" t="n"/>
      <c r="G229" s="143" t="n"/>
      <c r="H229" s="143" t="n"/>
      <c r="I229" s="143" t="inlineStr">
        <is>
          <t>AN AUDITORIUM MAY BE AUTHORIZED WHEN REQUIRED AS AN ADJUNCT TO TRAINING OR OTHER FUNCTIONS (EXCEPT ADMINISTRATION). THE PRIMARY PURPOSE OF THE AUDITORIUM IS AN ASSEMBLY AREA FOR INSTRUCTION AND TRAINING.</t>
        </is>
      </c>
    </row>
    <row r="230">
      <c r="C230" s="143" t="inlineStr">
        <is>
          <t>171 30</t>
        </is>
      </c>
      <c r="D230" s="143" t="inlineStr">
        <is>
          <t>Physical Education Facility</t>
        </is>
      </c>
      <c r="E230" s="143" t="inlineStr">
        <is>
          <t>SF</t>
        </is>
      </c>
      <c r="F230" s="143" t="inlineStr">
        <is>
          <t>see notes</t>
        </is>
      </c>
      <c r="G230" s="143" t="inlineStr">
        <is>
          <t>Engineering analysis required.</t>
        </is>
      </c>
      <c r="H230" s="143" t="n">
        <v>1</v>
      </c>
      <c r="I230" s="143" t="inlineStr">
        <is>
          <t>Engineering analysis</t>
        </is>
      </c>
    </row>
    <row r="231">
      <c r="C231" s="143" t="inlineStr">
        <is>
          <t>171 35</t>
        </is>
      </c>
      <c r="D231" s="143" t="inlineStr">
        <is>
          <t>OPERATIONAL TRAINER FAC</t>
        </is>
      </c>
      <c r="E231" s="143" t="inlineStr">
        <is>
          <t>SF</t>
        </is>
      </c>
      <c r="F231" s="143" t="n"/>
      <c r="G231" s="143" t="n"/>
      <c r="H231" s="143" t="n"/>
      <c r="I231" s="143" t="inlineStr">
        <is>
          <t>THIS FACILITY HOUSES LARGE OPERATIONAL TRAINERS, USUALLY DUPLICATING PART OR ALL OF SURFACE OR AIR WEAPONS SYSTEM.</t>
        </is>
      </c>
    </row>
    <row r="232">
      <c r="C232" s="143" t="inlineStr">
        <is>
          <t>171 36</t>
        </is>
      </c>
      <c r="D232" s="143" t="inlineStr">
        <is>
          <t>RADAR SIMULATOR FACILITY</t>
        </is>
      </c>
      <c r="E232" s="143" t="inlineStr">
        <is>
          <t>SF</t>
        </is>
      </c>
      <c r="F232" s="143" t="n"/>
      <c r="G232" s="143" t="n"/>
      <c r="H232" s="143" t="n"/>
      <c r="I232" s="143" t="inlineStr">
        <is>
          <t>THIS FACILITY HOUSES VARIOUS RADAR TRAINING FACILITIES AND MAY BE PROVIDED ONLY WHEN SPECIFICALLY AUTHORIZED BY CNET. REQUIREMENTS WILL BE DETERMINED FOR EACH INDIVIDUAL CASE, WITH CNET GUIDANCE.</t>
        </is>
      </c>
    </row>
    <row r="233">
      <c r="C233" s="143" t="inlineStr">
        <is>
          <t>171 40</t>
        </is>
      </c>
      <c r="D233" s="143" t="inlineStr">
        <is>
          <t>DRILL HALL</t>
        </is>
      </c>
      <c r="E233" s="143" t="inlineStr">
        <is>
          <t>SF</t>
        </is>
      </c>
      <c r="F233" s="143" t="n"/>
      <c r="G233" s="143" t="n"/>
      <c r="H233" s="143" t="n"/>
      <c r="I233" s="143" t="inlineStr">
        <is>
          <t>A COMPONENT OF A RESERVE TRAINING FACILITY USED PRIMARILY TO PRACTICE DRILLING AND MARCHING.</t>
        </is>
      </c>
    </row>
    <row r="234">
      <c r="C234" s="143" t="inlineStr">
        <is>
          <t>171 45</t>
        </is>
      </c>
      <c r="D234" s="143" t="inlineStr">
        <is>
          <t>MOCK-UP TRNG AID PREP CTR</t>
        </is>
      </c>
      <c r="E234" s="143" t="inlineStr">
        <is>
          <t>SF</t>
        </is>
      </c>
      <c r="F234" s="143" t="n"/>
      <c r="G234" s="143" t="n"/>
      <c r="H234" s="143" t="n"/>
      <c r="I234" s="143" t="inlineStr">
        <is>
          <t>FACILITY FOR THE CONSTRUCTION, MAINTENANCE, AND REPAIR OF TRAINING MOCK UPS FOR TRAINING FACILITIES.</t>
        </is>
      </c>
    </row>
    <row r="235">
      <c r="C235" s="143" t="inlineStr">
        <is>
          <t>171 50</t>
        </is>
      </c>
      <c r="D235" s="143" t="inlineStr">
        <is>
          <t>Small Arms Range — Indoor</t>
        </is>
      </c>
      <c r="E235" s="143" t="inlineStr">
        <is>
          <t>SF</t>
        </is>
      </c>
      <c r="F235" s="143" t="inlineStr">
        <is>
          <t>see notes</t>
        </is>
      </c>
      <c r="G235" s="143" t="inlineStr">
        <is>
          <t>Capacity = personnel trained ÷ (sessions × hrs/session × 180 days).</t>
        </is>
      </c>
      <c r="H235" s="143" t="n">
        <v>1</v>
      </c>
      <c r="I235" s="143" t="inlineStr">
        <is>
          <t># of firing points</t>
        </is>
      </c>
    </row>
    <row r="236">
      <c r="C236" s="143" t="inlineStr">
        <is>
          <t>171 60</t>
        </is>
      </c>
      <c r="D236" s="143" t="inlineStr">
        <is>
          <t>RECRUIT PROCESSING BLDG</t>
        </is>
      </c>
      <c r="E236" s="143" t="inlineStr">
        <is>
          <t>SF</t>
        </is>
      </c>
      <c r="F236" s="143" t="n"/>
      <c r="G236" s="143" t="n"/>
      <c r="H236" s="143" t="n"/>
      <c r="I236" s="143" t="inlineStr">
        <is>
          <t>A RECRUIT PROCESSING BUILDING IS A FACILITY FOR RECEIVING, EXAMINING, AND OUTFITTING RECRUITS. THE PROCESSING BUILDING MUST PROVIDE SPACE FOR THE COMPLETE ORIENTATION, EXAMINATION, AND PROCESSING (MEDICAL, DENTAL, SUPPLY, ADMINISTRATIVE) OF ALL NEWLY INDUCTED AND RECRUITED PERSONNEL.</t>
        </is>
      </c>
    </row>
    <row r="237">
      <c r="C237" s="143" t="inlineStr">
        <is>
          <t>171 77</t>
        </is>
      </c>
      <c r="D237" s="143" t="inlineStr">
        <is>
          <t>TRNG MATRL STRG</t>
        </is>
      </c>
      <c r="E237" s="143" t="inlineStr">
        <is>
          <t>SF</t>
        </is>
      </c>
      <c r="F237" s="143" t="n"/>
      <c r="G237" s="143" t="n"/>
      <c r="H237" s="143" t="n"/>
      <c r="I237" s="143" t="inlineStr">
        <is>
          <t>STORAGE FACILITIES FOR MISCELLANEOUS GOODS OR EQUIPMENT RELATED TO TRAINING FACILITY SUPPORT WILL BE PROVIDED ONLY WHERE IT CAN BE INDIVIDUALLY JUSTIFIED. THERE ARE NO CRITERIA FOR THIS TYPE OF FACILITY.</t>
        </is>
      </c>
    </row>
    <row r="238">
      <c r="C238" s="143" t="inlineStr">
        <is>
          <t>172 30</t>
        </is>
      </c>
      <c r="D238" s="143" t="inlineStr">
        <is>
          <t>GAS CHAMBER</t>
        </is>
      </c>
      <c r="E238" s="143" t="inlineStr">
        <is>
          <t>SF</t>
        </is>
      </c>
      <c r="F238" s="143" t="n"/>
      <c r="G238" s="143" t="n"/>
      <c r="H238" s="143" t="n"/>
      <c r="I238" s="143" t="inlineStr">
        <is>
          <t>A GAS CHAMBER IS A BUILDING USED FOR TRAINING PERSONNEL IN THE USE OF PROTECTIVE MASKS AND THE EFFECTS OF CHEMICAL WARFARE.</t>
        </is>
      </c>
    </row>
    <row r="239">
      <c r="C239" s="143" t="inlineStr">
        <is>
          <t>173 10</t>
        </is>
      </c>
      <c r="D239" s="143" t="inlineStr">
        <is>
          <t>Range Operations Building</t>
        </is>
      </c>
      <c r="E239" s="143" t="inlineStr">
        <is>
          <t>SF</t>
        </is>
      </c>
      <c r="F239" s="143" t="inlineStr">
        <is>
          <t>see notes</t>
        </is>
      </c>
      <c r="G239" s="143" t="inlineStr">
        <is>
          <t>Case-by-case (admin, storage, maintenance).</t>
        </is>
      </c>
      <c r="H239" s="143" t="n">
        <v>1</v>
      </c>
      <c r="I239" s="143" t="inlineStr">
        <is>
          <t>Engineering analysis</t>
        </is>
      </c>
    </row>
    <row r="240">
      <c r="C240" s="143" t="inlineStr">
        <is>
          <t>173 11</t>
        </is>
      </c>
      <c r="D240" s="143" t="inlineStr">
        <is>
          <t>Range Support Building</t>
        </is>
      </c>
      <c r="E240" s="143" t="inlineStr">
        <is>
          <t>SF</t>
        </is>
      </c>
      <c r="F240" s="143" t="inlineStr">
        <is>
          <t>see notes</t>
        </is>
      </c>
      <c r="G240" s="143" t="inlineStr">
        <is>
          <t>Case-by-case (billets, classrooms, AAR).</t>
        </is>
      </c>
      <c r="H240" s="143" t="n">
        <v>1</v>
      </c>
      <c r="I240" s="143" t="inlineStr">
        <is>
          <t>Engineering analysis</t>
        </is>
      </c>
    </row>
    <row r="241">
      <c r="C241" s="143" t="inlineStr">
        <is>
          <t>173 20</t>
        </is>
      </c>
      <c r="D241" s="143" t="inlineStr">
        <is>
          <t>TRAINING AIDS CENTER</t>
        </is>
      </c>
      <c r="E241" s="143" t="inlineStr">
        <is>
          <t>SF</t>
        </is>
      </c>
      <c r="F241" s="143" t="n"/>
      <c r="G241" s="143" t="n"/>
      <c r="H241" s="143" t="n"/>
      <c r="I241" s="143" t="inlineStr">
        <is>
          <t>A TRAINING AIDS CENTER IS A BUILDING THAT IS USED TO FABRICATE, MAINTAIN, STORE, AND ISSUE TRAINING DEVICES AND MATERIALS INCLUDING MULTIPLE INTEGRATED LASER EQUIPMENT SYSTEM (MILES) AND VISUAL INFORMATION (VI) AIDS; IT ALSO PROVIDES THE ADMINISTRATIVE SPACE FOR THE TRAINING SUPPORT DIVISION (TSD) MANAGEMENT STAFF.</t>
        </is>
      </c>
    </row>
    <row r="242">
      <c r="C242" s="143" t="inlineStr">
        <is>
          <t>173 30</t>
        </is>
      </c>
      <c r="D242" s="143" t="inlineStr">
        <is>
          <t>COVERED TRAINING AREA</t>
        </is>
      </c>
      <c r="E242" s="143" t="inlineStr">
        <is>
          <t>SF</t>
        </is>
      </c>
      <c r="F242" s="143" t="n"/>
      <c r="G242" s="143" t="n"/>
      <c r="H242" s="143" t="n"/>
      <c r="I242" s="143" t="inlineStr">
        <is>
          <t>COVERED TRAINING AREAS ARE STRUCTURES WHICH PROVIDE A COVERED AREA TO SUPPORT AND CONDUCT TRAINING OR FOR FEEDING OF PERSONNEL ON A TRAINING FACILITY WHILE PROVIDING PROTECTION FOR EQUIPMENT AND PERSONNEL FROM THE ELEMENTS.</t>
        </is>
      </c>
    </row>
    <row r="243">
      <c r="C243" s="143" t="inlineStr">
        <is>
          <t>174 10</t>
        </is>
      </c>
      <c r="D243" s="143" t="inlineStr">
        <is>
          <t>MNVR/TRNG AREA, LT FORCES</t>
        </is>
      </c>
      <c r="E243" s="143" t="inlineStr">
        <is>
          <t>AC</t>
        </is>
      </c>
      <c r="F243" s="143" t="n"/>
      <c r="G243" s="143" t="n"/>
      <c r="H243" s="143" t="n"/>
      <c r="I243" s="143" t="inlineStr">
        <is>
          <t>THIS CATEGORY INCLUDES ALL SPACE FOR GROUND AND AIR COMBAT FORCES TO PRACTICE MOVEMENTS AND TACTICS. DIFFERENT TYPES OF UNITS MAY SUPPORT ONE ANOTHER (COMBINED ARMS), OR A UNIT MAY OPERATE INDEPENDENTLY. THE ¿LIGHT¿ DESIGNATION REFERS TO AREAS WHERE MANEUVER IS RESTRICTED TO ONLY SMALL UNITS OR UNITS HAVING ONLY WHEELED VEHICLES.</t>
        </is>
      </c>
    </row>
    <row r="244">
      <c r="C244" s="143" t="inlineStr">
        <is>
          <t>174 11</t>
        </is>
      </c>
      <c r="D244" s="143" t="inlineStr">
        <is>
          <t>MNVR/TRNG AREA, AMPHIB</t>
        </is>
      </c>
      <c r="E244" s="143" t="inlineStr">
        <is>
          <t>AC</t>
        </is>
      </c>
      <c r="F244" s="143" t="n"/>
      <c r="G244" s="143" t="n"/>
      <c r="H244" s="143" t="n"/>
      <c r="I244" s="143" t="inlineStr">
        <is>
          <t>THIS CATEGORY INCLUDES ALL SPACE FOR GROUND AND AIR COMBAT FORCES TO PRACTICE MOVEMENTS AND TACTICS DURING AMPHIBIOUS (SHIP-TO-SHORE) OPERATIONS.</t>
        </is>
      </c>
    </row>
    <row r="245">
      <c r="C245" s="143" t="inlineStr">
        <is>
          <t>174 12</t>
        </is>
      </c>
      <c r="D245" s="143" t="inlineStr">
        <is>
          <t>LAND NAVIGATION COURSE</t>
        </is>
      </c>
      <c r="E245" s="143" t="inlineStr">
        <is>
          <t>AC</t>
        </is>
      </c>
      <c r="F245" s="143" t="n"/>
      <c r="G245" s="143" t="n"/>
      <c r="H245" s="143" t="n"/>
      <c r="I245" s="143" t="inlineStr">
        <is>
          <t>A LAND NAVIGATION COURSE IS AN AREA LOCATED WITHIN THE TRAINING COMPLEX WHICH IS PRINCIPALLY SCHEDULED AND USED FOR MAP READING, TERRAIN ASSOCIATION, OR NAVIGATIONAL TRAINING.</t>
        </is>
      </c>
    </row>
    <row r="246">
      <c r="C246" s="143" t="inlineStr">
        <is>
          <t>174 13</t>
        </is>
      </c>
      <c r="D246" s="143" t="inlineStr">
        <is>
          <t>FIELD TRAINING AREA</t>
        </is>
      </c>
      <c r="E246" s="143" t="inlineStr">
        <is>
          <t>AC</t>
        </is>
      </c>
      <c r="F246" s="143" t="n"/>
      <c r="G246" s="143" t="n"/>
      <c r="H246" s="143" t="n"/>
      <c r="I246" s="143" t="inlineStr">
        <is>
          <t>A FIELD TRAINING AREA IS A SPECIFIC AREA THAT IS INTENDED FOR THE TRAINING OF PERSONNEL OR ANIMALS IN A FIELD ENVIRONMENT THAT CANNOT BE CATEGORIZED BY THE OTHER CATEGORY CODES IN THE 174 BASIC SERIES. TRAINING CONDUCTED IN SUCH AN AREA MAY INCLUDE MEDICAL, K-9, OR COMMUNICATIONS EQUIPMENT.</t>
        </is>
      </c>
    </row>
    <row r="247">
      <c r="C247" s="143" t="inlineStr">
        <is>
          <t>174 20</t>
        </is>
      </c>
      <c r="D247" s="143" t="inlineStr">
        <is>
          <t>MNVR/TRNG AREA, HEAVY</t>
        </is>
      </c>
      <c r="E247" s="143" t="inlineStr">
        <is>
          <t>AC</t>
        </is>
      </c>
      <c r="F247" s="143" t="n"/>
      <c r="G247" s="143" t="n"/>
      <c r="H247" s="143" t="n"/>
      <c r="I247" s="143" t="inlineStr">
        <is>
          <t>THIS CATEGORY INCLUDES ALL SPACE FOR GROUND AND AIR COMBAT FORCES TO PRACTICE MOVEMENTS AND TACTICS. DIFFERENT TYPES OF UNITS MAY SUPPORT ONE ANOTHER (COMBINED ARMS), OR MAY OPERATE INDEPENDENTLY. THE ¿HEAVY¿ DESIGNATION REFERS TO AREAS WHERE MANEUVER IS UNRESTRICTED AND CAN CONSIST OF ALL TYPES OF VEHICLES AND EQUIPMENT, INCLUDING TRACKED VEHICLES.</t>
        </is>
      </c>
    </row>
    <row r="248">
      <c r="C248" s="143" t="inlineStr">
        <is>
          <t>174 30</t>
        </is>
      </c>
      <c r="D248" s="143" t="inlineStr">
        <is>
          <t>IMPACT AREA DUDDED</t>
        </is>
      </c>
      <c r="E248" s="143" t="inlineStr">
        <is>
          <t>AC</t>
        </is>
      </c>
      <c r="F248" s="143" t="n"/>
      <c r="G248" s="143" t="n"/>
      <c r="H248" s="143" t="n"/>
      <c r="I248" s="143" t="inlineStr">
        <is>
          <t>AN AREA HAVING DESIGNATED BOUNDARIES WITHIN WHICH ALL ORDNANCE WILL DETONATE OR IMPACT SHALL BE CATEGORIZED AS IMPACT AREA DUDDED. THIS AREA INCLUDES ALL IMPACT AREAS THAT DO NOT CONTAIN AUTOMATED TARGETS OR TARGETS CLASSIFIED AS REAL PROPERTY.</t>
        </is>
      </c>
    </row>
    <row r="249">
      <c r="C249" s="143" t="inlineStr">
        <is>
          <t>174 31</t>
        </is>
      </c>
      <c r="D249" s="143" t="inlineStr">
        <is>
          <t>IMPACT AREA NON- DUDDED</t>
        </is>
      </c>
      <c r="E249" s="143" t="inlineStr">
        <is>
          <t>AC</t>
        </is>
      </c>
      <c r="F249" s="143" t="n"/>
      <c r="G249" s="143" t="n"/>
      <c r="H249" s="143" t="n"/>
      <c r="I249" s="143" t="inlineStr">
        <is>
          <t>AN AREA HAVING DESIGNATED BOUNDARIES WITHIN WHICH ORDNANCE THAT DOES NOT PRODUCE DUDS WILL IMPACT IS AN IMPACT AREA NON- DUDDED. THIS AREA IS COMPOSED MOSTLY OF THE SAFETY FANS FOR SMALL ARMS RANGES.</t>
        </is>
      </c>
    </row>
    <row r="250">
      <c r="C250" s="143" t="inlineStr">
        <is>
          <t>174 40</t>
        </is>
      </c>
      <c r="D250" s="143" t="inlineStr">
        <is>
          <t>PERS/EQUIP DROP ZONE</t>
        </is>
      </c>
      <c r="E250" s="143" t="inlineStr">
        <is>
          <t>AC</t>
        </is>
      </c>
      <c r="F250" s="143" t="n"/>
      <c r="G250" s="143" t="n"/>
      <c r="H250" s="143" t="n"/>
      <c r="I250" s="143" t="inlineStr">
        <is>
          <t>A LARGE, FLAT, CLEARED AREA FOR PERSONNEL AND EQUIPMENT TO LAND FOLLOWING A PARACHUTE JUMP SHALL BE CATEGORIZED AS A PERSONNEL/EQUIPMENT DROP ZONE.</t>
        </is>
      </c>
    </row>
    <row r="251">
      <c r="C251" s="143" t="inlineStr">
        <is>
          <t>175 01</t>
        </is>
      </c>
      <c r="D251" s="143" t="inlineStr">
        <is>
          <t>AUTOMATIC RIFLE RANGE</t>
        </is>
      </c>
      <c r="E251" s="143" t="inlineStr">
        <is>
          <t>AC</t>
        </is>
      </c>
      <c r="F251" s="143" t="n"/>
      <c r="G251" s="143" t="n"/>
      <c r="H251" s="143" t="n"/>
      <c r="I251" s="143" t="inlineStr">
        <is>
          <t>THE AUTOMATIC RIFLE RANGE IS DESIGNED FOR TRAINING TARGET ENGAGEMENT TECHNIQUES WITH RIFLES AND SQUAD AUTOMATIC WEAPON (SAW). THIS RANGE IS USED TO TRAIN PERSONNEL ON THE SKILLS NECESSARY TO EMPLOY AUTOMATIC AND SEMI- AUTOMATIC FIRING TECHNIQUES.</t>
        </is>
      </c>
    </row>
    <row r="252">
      <c r="C252" s="143" t="inlineStr">
        <is>
          <t>175 02</t>
        </is>
      </c>
      <c r="D252" s="143" t="inlineStr">
        <is>
          <t>NON-STD SMALL ARMS RANGE</t>
        </is>
      </c>
      <c r="E252" s="143" t="inlineStr">
        <is>
          <t>AC</t>
        </is>
      </c>
      <c r="F252" s="143" t="n"/>
      <c r="G252" s="143" t="n"/>
      <c r="H252" s="143" t="n"/>
      <c r="I252" s="143" t="inlineStr">
        <is>
          <t>THE NON-STANDARD SMALL ARMS RANGE IS DESIGNED FOR TRAINING REQUIREMENTS THAT ARE NOT ASSOCIATED WITH CURRENT PUBLISHED DOCTRINE, BUT FALL WITHIN A COMMANDER¿S TRAINING REQUIREMENTS. THIS RANGE INCLUDES ALL SMALL ARMS RANGES THAT DO NOT FIT INTO OTHER CATEGORIES.</t>
        </is>
      </c>
    </row>
    <row r="253">
      <c r="C253" s="143" t="inlineStr">
        <is>
          <t>175 10</t>
        </is>
      </c>
      <c r="D253" s="143" t="inlineStr">
        <is>
          <t>BASIC ZERO FIRING RANGE</t>
        </is>
      </c>
      <c r="E253" s="143" t="inlineStr">
        <is>
          <t>AC</t>
        </is>
      </c>
      <c r="F253" s="143" t="n"/>
      <c r="G253" s="143" t="n"/>
      <c r="H253" s="143" t="n"/>
      <c r="I253" s="143" t="inlineStr">
        <is>
          <t>A BASIC ZERO FIRING RANGE IS DESIGNED FOR TRAINING SHOT- GROUPING AND ZEROING EXERCISES WITH RIFLES AND MACHINE GUNS. THIS RANGE IS USED TO TRAIN INDIVIDUAL PERSONNEL ON THE SKILLS NECESSARY TO ALIGN THE SIGHTS AND PRACTICE BASIC MARKSMANSHIP TECHNIQUES AGAINST STATIONARY TARGETS.</t>
        </is>
      </c>
    </row>
    <row r="254">
      <c r="C254" s="143" t="inlineStr">
        <is>
          <t>175 20</t>
        </is>
      </c>
      <c r="D254" s="143" t="inlineStr">
        <is>
          <t>AUTO FLD FIRE (AFF) RANGE</t>
        </is>
      </c>
      <c r="E254" s="143" t="inlineStr">
        <is>
          <t>AC</t>
        </is>
      </c>
      <c r="F254" s="143" t="n"/>
      <c r="G254" s="143" t="n"/>
      <c r="H254" s="143" t="n"/>
      <c r="I254" s="143" t="inlineStr">
        <is>
          <t>AN AUTOMATE FIELD FIRE RANGE IS DESIGNED FOR TRAINING TARGET ENGAGEMENT TECHNIQUES WITH RIFLES. THIS RANGE IS USED TO TRAIN AND FAMILIARIZE PERSONNEL ON THE SKILLS NECESSARY TO IDENTIFY, ENGAGE, AND HIT STATIONARY INFANTRY TARGETS.</t>
        </is>
      </c>
    </row>
    <row r="255">
      <c r="C255" s="143" t="inlineStr">
        <is>
          <t>175 30</t>
        </is>
      </c>
      <c r="D255" s="143" t="inlineStr">
        <is>
          <t>RECORD FIRE RANGE</t>
        </is>
      </c>
      <c r="E255" s="143" t="inlineStr">
        <is>
          <t>AC</t>
        </is>
      </c>
      <c r="F255" s="143" t="n"/>
      <c r="G255" s="143" t="n"/>
      <c r="H255" s="143" t="n"/>
      <c r="I255" s="143" t="inlineStr">
        <is>
          <t>A RECORD FIRE RANGE IS DESIGNED FOR TRAINING AND DAY/NIGHT QUALIFICATION REQUIREMENTS WITH RIFLES. THIS RANGE IS USED TO TRAIN AND TEST PERSONNEL ON THE SKILLS NECESSARY TO IDENTIFY, ENGAGE, AND HIT STATIONARY INFANTRY TARGETS.</t>
        </is>
      </c>
    </row>
    <row r="256">
      <c r="C256" s="143" t="inlineStr">
        <is>
          <t>175 31</t>
        </is>
      </c>
      <c r="D256" s="143" t="inlineStr">
        <is>
          <t>AUTO RECORD FIRE RANGE</t>
        </is>
      </c>
      <c r="E256" s="143" t="inlineStr">
        <is>
          <t>AC</t>
        </is>
      </c>
      <c r="F256" s="143" t="n"/>
      <c r="G256" s="143" t="n"/>
      <c r="H256" s="143" t="n"/>
      <c r="I256" s="143" t="inlineStr">
        <is>
          <t>AN AUTOMATED RECORD FIRE RANGE IS DESIGNED FOR TRAINING AND DAY/NIGHT QUALIFICATION REQUIREMENTS WITH RIFLES. THIS RANGE IS USED TO TRAIN AND TEST PERSONNEL ON THE SKILLS NECESSARY TO IDENTIFY, ENGAGE, AND HIT STATIONARY INFANTRY TARGETS. ALL TARGETS ARE FULLY AUTOMATED AND THE EVENT SPECIFIC TARGET SCENARIO IS COMPUTER DRIVEN AND SCORED FROM THE RANGE OPERATIONS CENTER.</t>
        </is>
      </c>
    </row>
    <row r="257">
      <c r="C257" s="143" t="inlineStr">
        <is>
          <t>175 32</t>
        </is>
      </c>
      <c r="D257" s="143" t="inlineStr">
        <is>
          <t>MOD RECORD FIRE RANGE</t>
        </is>
      </c>
      <c r="E257" s="143" t="inlineStr">
        <is>
          <t>AC</t>
        </is>
      </c>
      <c r="F257" s="143" t="n"/>
      <c r="G257" s="143" t="n"/>
      <c r="H257" s="143" t="n"/>
      <c r="I257" s="143" t="inlineStr">
        <is>
          <t>A MODIFIED RECORD FIRE RANGE IS DESIGNED FOR TRAINING AND DAY/NIGHT QUALIFICATION WITH RIFLES.</t>
        </is>
      </c>
    </row>
    <row r="258">
      <c r="C258" s="143" t="inlineStr">
        <is>
          <t>175 50</t>
        </is>
      </c>
      <c r="D258" s="143" t="inlineStr">
        <is>
          <t>RIFLE (KD) RANGE</t>
        </is>
      </c>
      <c r="E258" s="143" t="inlineStr">
        <is>
          <t>AC</t>
        </is>
      </c>
      <c r="F258" s="143" t="n"/>
      <c r="G258" s="143" t="n"/>
      <c r="H258" s="143" t="n"/>
      <c r="I258" s="143" t="inlineStr">
        <is>
          <t>A RIFLE KNOWN DISTANCE RANGE IS DESIGNED FOR TRAINING RIFLE MARKSMANSHIP AND TARGET ENGAGEMENT TECHNIQUES. THIS RANGE IS USED TO TRAIN PERSONNEL ON THE SKILLS NECESSARY TO IDENTIFY, ENGAGE, AND HIT STATIONARY TARGETS IN A STATIC ARRAY FROM A KNOWN DISTANCE.</t>
        </is>
      </c>
    </row>
    <row r="259">
      <c r="C259" s="143" t="inlineStr">
        <is>
          <t>175 60</t>
        </is>
      </c>
      <c r="D259" s="143" t="inlineStr">
        <is>
          <t>SNIPER FIELD FIRE RANGE</t>
        </is>
      </c>
      <c r="E259" s="143" t="inlineStr">
        <is>
          <t>AC</t>
        </is>
      </c>
      <c r="F259" s="143" t="n"/>
      <c r="G259" s="143" t="n"/>
      <c r="H259" s="143" t="n"/>
      <c r="I259" s="143" t="inlineStr">
        <is>
          <t>A SNIPER FIELD FIRE RANGE IS DESIGNED TO MEET TRAINING AND QUALIFICATION REQUIREMENTS WITH THE SNIPER RIFLE. THIS RANGE IS USED TO TRAIN AND TEST SNIPERS ON THE SKILLS NECESSARY TO DETECT, IDENTIFY, ENGAGE, AND HIT STATIONARY AND MOVING INFANTRY TARGETS IN A TACTICAL ARRAY IN ACCORDANCE WITH APPLICABLE FIELD MANUALS. IN THIS RANGE TARGETS ARE NOT FULLY AUTOMATED.</t>
        </is>
      </c>
    </row>
    <row r="260">
      <c r="C260" s="143" t="inlineStr">
        <is>
          <t>175 61</t>
        </is>
      </c>
      <c r="D260" s="143" t="inlineStr">
        <is>
          <t>AUTO SNIPER FLD FIRE RNG</t>
        </is>
      </c>
      <c r="E260" s="143" t="inlineStr">
        <is>
          <t>AC</t>
        </is>
      </c>
      <c r="F260" s="143" t="n"/>
      <c r="G260" s="143" t="n"/>
      <c r="H260" s="143" t="n"/>
      <c r="I260" s="143" t="inlineStr">
        <is>
          <t>AN AUTOMATED SNIPER FIELD FIRE RANGE IS DESIGNED TO MEET THE TRAINING AND QUALIFICATION REQUIREMENTS WITH THE SNIPER RIFLE. THIS RANGE IS USED TO TRAIN AND TEST SNIPERS ON THE SKILLS NECESSARY TO DETECT, IDENTIFY, ENGAGE, AND HIT STATIONARY AND MOVING INFANTRY TARGETS IN A TACTICAL ARRAY IN ACCORDANCE WITH APPLICABLE FIELD MANUALS.</t>
        </is>
      </c>
    </row>
    <row r="261">
      <c r="C261" s="143" t="inlineStr">
        <is>
          <t>175 70</t>
        </is>
      </c>
      <c r="D261" s="143" t="inlineStr">
        <is>
          <t>PISTOL (KD) RANGE</t>
        </is>
      </c>
      <c r="E261" s="143" t="inlineStr">
        <is>
          <t>AC</t>
        </is>
      </c>
      <c r="F261" s="143" t="n"/>
      <c r="G261" s="143" t="n"/>
      <c r="H261" s="143" t="n"/>
      <c r="I261" s="143" t="inlineStr">
        <is>
          <t>A PISTOL KNOWN DISTANCE (KD) RANGE IS DESIGNED FOR TRAINING PISTOL AND REVOLVER MARKSMANSHIP AND TARGET ENGAGEMENT TECHNIQUES. THIS RANGE IS USED TO TRAIN PERSONNEL ON THE SKILLS NECESSARY TO IDENTIFY, ENGAGE, AND HIT STATIONARY TARGETS IN A STATIC ARRAY FROM A KNOWN DISTANCE.</t>
        </is>
      </c>
    </row>
    <row r="262">
      <c r="C262" s="143" t="inlineStr">
        <is>
          <t>175 71</t>
        </is>
      </c>
      <c r="D262" s="143" t="inlineStr">
        <is>
          <t>COMBAT PISTOL QUAL CRSE</t>
        </is>
      </c>
      <c r="E262" s="143" t="inlineStr">
        <is>
          <t>AC</t>
        </is>
      </c>
      <c r="F262" s="143" t="n"/>
      <c r="G262" s="143" t="n"/>
      <c r="H262" s="143" t="n"/>
      <c r="I262" s="143" t="inlineStr">
        <is>
          <t>A COMBAT PISTOL/MP FIREARMS QUALIFICATION COURSE IS A RANGE DESIGNED TO MEET TRAINING AND QUALIFICATION REQUIREMENTS WITH COMBAT PISTOLS AND REVOLVERS. THIS RANGE IS USED TO TRAIN AND TEST PERSONNEL ON THE SKILLS NECESSARY TO IDENTIFY, ENGAGE, AND HIT STATIONARY INFANTRY TARGETS.</t>
        </is>
      </c>
    </row>
    <row r="263">
      <c r="C263" s="143" t="inlineStr">
        <is>
          <t>175 72</t>
        </is>
      </c>
      <c r="D263" s="143" t="inlineStr">
        <is>
          <t>AUTO COMBAT PSTL QUAL</t>
        </is>
      </c>
      <c r="E263" s="143" t="inlineStr">
        <is>
          <t>AC</t>
        </is>
      </c>
      <c r="F263" s="143" t="n"/>
      <c r="G263" s="143" t="n"/>
      <c r="H263" s="143" t="n"/>
      <c r="I263" s="143" t="inlineStr">
        <is>
          <t>AN AUTOMATED COMBAT PISTOL/MP FIREARMS QUALIFICATION COURSE IS A RANGE DESIGNED TO MEET TRAINING AND QUALIFICATION REQUIREMENTS WITH COMBAT PISTOLS AND REVOLVERS. THIS RANGE IS USED TO TRAIN AND TEST PERSONNEL ON THE SKILLS NECESSARY TO IDENTIFY, ENGAGE, AND HIT STATIONARY INFANTRY TARGETS.</t>
        </is>
      </c>
    </row>
    <row r="264">
      <c r="C264" s="143" t="inlineStr">
        <is>
          <t>175 73</t>
        </is>
      </c>
      <c r="D264" s="143" t="inlineStr">
        <is>
          <t>SUBMACHINE GUN RANGE</t>
        </is>
      </c>
      <c r="E264" s="143" t="inlineStr">
        <is>
          <t>AC</t>
        </is>
      </c>
      <c r="F264" s="143" t="n"/>
      <c r="G264" s="143" t="n"/>
      <c r="H264" s="143" t="n"/>
      <c r="I264" s="143" t="inlineStr">
        <is>
          <t>A SUBMACHINE GUN RANGE IS DESIGNED FOR TRAINING TARGET ENGAGEMENT TECHNIQUES WITH THE SUBMACHINE GUN. THIS RANGE IS USED TO TRAIN PERSONNEL ON THE SKILLS NECESSARY TO IDENTIFY, ENGAGE, AND HIT STATIONARY INFANTRY TARGETS.</t>
        </is>
      </c>
    </row>
    <row r="265">
      <c r="C265" s="143" t="inlineStr">
        <is>
          <t>175 80</t>
        </is>
      </c>
      <c r="D265" s="143" t="inlineStr">
        <is>
          <t>MACHINE GUN TRANS RANGE</t>
        </is>
      </c>
      <c r="E265" s="143" t="inlineStr">
        <is>
          <t>AC</t>
        </is>
      </c>
      <c r="F265" s="143" t="n"/>
      <c r="G265" s="143" t="n"/>
      <c r="H265" s="143" t="n"/>
      <c r="I265" s="143" t="inlineStr">
        <is>
          <t>A MACHINE GUN TRANSITION RANGE IS DESIGNED TO MEET THE TRAINING REQUIREMENTS WITH MACHINE GUNS. THIS RANGE IS USED TO TRAIN PERSONNEL ON THE SKILLS NECESSARY TO IDENTIFY, ENGAGE, AND HIT STATIONARY INFANTRY TARGETS AT KNOWN DISTANCES.</t>
        </is>
      </c>
    </row>
    <row r="266">
      <c r="C266" s="143" t="inlineStr">
        <is>
          <t>175 81</t>
        </is>
      </c>
      <c r="D266" s="143" t="inlineStr">
        <is>
          <t>MACHINE GUN FF RANGE</t>
        </is>
      </c>
      <c r="E266" s="143" t="inlineStr">
        <is>
          <t>AC</t>
        </is>
      </c>
      <c r="F266" s="143" t="n"/>
      <c r="G266" s="143" t="n"/>
      <c r="H266" s="143" t="n"/>
      <c r="I266" s="143" t="inlineStr">
        <is>
          <t>A MACHINE GUN FIELD FIRE RANGE IS DESIGNED TO TRAIN TARGET ENGAGEMENT TECHNIQUES WITH SQUAD ASSAULT WEAPONS AND MACHINE GUNS. THIS RANGE IS USED TO TRAIN PERSONNEL ON THE SKILLS NECESSARY TO IDENTIFY, ENGAGE, AND HIT STATIONARY INFANTRY, VEHICLE, AND BUNKER TYPE TARGETS.</t>
        </is>
      </c>
    </row>
    <row r="267">
      <c r="C267" s="143" t="inlineStr">
        <is>
          <t>175 82</t>
        </is>
      </c>
      <c r="D267" s="143" t="inlineStr">
        <is>
          <t>AUTOMATED MPMG RANGE</t>
        </is>
      </c>
      <c r="E267" s="143" t="inlineStr">
        <is>
          <t>AC</t>
        </is>
      </c>
      <c r="F267" s="143" t="n"/>
      <c r="G267" s="143" t="n"/>
      <c r="H267" s="143" t="n"/>
      <c r="I267" s="143" t="inlineStr">
        <is>
          <t>AN AUTOMATED MULTIPURPOSE MACHINE GUN (MPMG) RANGE IS DESIGNED FOR ZEROING, TRAINING, AND QUALIFICATION REQUIREMENTS WITH SQUAD ASSAULT WEAPONS (SAW) AND MACHINE GUNS. THIS RANGE IS USED TO TRAIN PERSONNEL ON THE SKILLS NECESSARY TO IDENTIFY, ENGAGE, AND HIT STATIONARY INFANTRY TARGETS.</t>
        </is>
      </c>
    </row>
    <row r="268">
      <c r="C268" s="143" t="inlineStr">
        <is>
          <t>176 10</t>
        </is>
      </c>
      <c r="D268" s="143" t="inlineStr">
        <is>
          <t>GRENADE LAUNCHER RANGE</t>
        </is>
      </c>
      <c r="E268" s="143" t="inlineStr">
        <is>
          <t>AC</t>
        </is>
      </c>
      <c r="F268" s="143" t="n"/>
      <c r="G268" s="143" t="n"/>
      <c r="H268" s="143" t="n"/>
      <c r="I268" s="143" t="inlineStr">
        <is>
          <t>A GRENADE LAUNCHER RANGE IS DESIGNED TO MEET TRAINING AND QUALIFICATION REQUIREMENTS OF THE 40MM M203 GRENADE LAUNCHER. THIS RANGE IS USED TO TRAIN AND TEST PERSONNEL ON THE SKILLS NECESSARY TO ENGAGE AND DEFEAT STATIONARY TARGET EMPLACEMENTS WITH THE 40MM GRENADE LAUNCHER.</t>
        </is>
      </c>
    </row>
    <row r="269">
      <c r="C269" s="143" t="inlineStr">
        <is>
          <t>176 20</t>
        </is>
      </c>
      <c r="D269" s="143" t="inlineStr">
        <is>
          <t>40MM QUALFICATION RANGE</t>
        </is>
      </c>
      <c r="E269" s="143" t="inlineStr">
        <is>
          <t>AC</t>
        </is>
      </c>
      <c r="F269" s="143" t="n"/>
      <c r="G269" s="143" t="n"/>
      <c r="H269" s="143" t="n"/>
      <c r="I269" s="143" t="inlineStr">
        <is>
          <t>A 40MM MACHINE GUN QUALIFICATION RANGE IS DESIGNED TO CONDUCT TRAINING QUALIFICATION FIRING WITH THE GRENADE MACHINE GUN (E.G., MK- 19). THIS RANGE IS USED TO TRAIN PERSONNEL WITH THE WEAPON EITHER GROUND OR VEHICLE MOUNTED. TARGETS IN THIS RANGE MAY BE EITHER NON- AUTOMATED OR FULLY AUTOMATED AND THE EVENT SPECIFIC TARGET SCENARIO IS COMPUTER DRIVEN AND SCORED FROM THE RANGE OPERATIONS CENTER.</t>
        </is>
      </c>
    </row>
    <row r="270">
      <c r="C270" s="143" t="inlineStr">
        <is>
          <t>176 30</t>
        </is>
      </c>
      <c r="D270" s="143" t="inlineStr">
        <is>
          <t>LAW RANGE SUBCALIBER</t>
        </is>
      </c>
      <c r="E270" s="143" t="inlineStr">
        <is>
          <t>AC</t>
        </is>
      </c>
      <c r="F270" s="143" t="n"/>
      <c r="G270" s="143" t="n"/>
      <c r="H270" s="143" t="n"/>
      <c r="I270" s="143" t="inlineStr">
        <is>
          <t>A LIGHT ANTI-ARMOR WEAPONS RANGE IS DESIGNED FOR TRAINING TARGET ENGAGEMENT TECHNIQUES WITH LIGHT ANTI-ARMOR WEAPONS (E.G., LAW/AT- 4). THIS RANGE IS USED TO TRAIN PERSONNEL ON THE SKILLS NECESSARY TO EMPLOY THE WEAPON AND HIT STATIONARY AND MOVING TARGETS USING A SUB-CALIBER TRAINING DEVICE.</t>
        </is>
      </c>
    </row>
    <row r="271">
      <c r="C271" s="143" t="inlineStr">
        <is>
          <t>176 31</t>
        </is>
      </c>
      <c r="D271" s="143" t="inlineStr">
        <is>
          <t>LAW RANGE LIVE</t>
        </is>
      </c>
      <c r="E271" s="143" t="inlineStr">
        <is>
          <t>AC</t>
        </is>
      </c>
      <c r="F271" s="143" t="n"/>
      <c r="G271" s="143" t="n"/>
      <c r="H271" s="143" t="n"/>
      <c r="I271" s="143" t="inlineStr">
        <is>
          <t>A LIGHT ANTI-ARMOR WEAPONS RANGE LIVE IS DESIGNED FOR TRAINING TARGET ENGAGEMENT TECHNIQUES WITH LIGHT ANTI-ARMOR WEAPONS (E.G., LAW/ AT-4). THIS RANGE IS USED TO TRAIN PERSONNEL ON THE SKILLS NECESSARY TO EMPLOY THE WEAPON AND HIT STATIONARY AND MOVING TARGETS USING LIVE ROCKETS OR A SUB- CALIBER TRAINING DEVICE.</t>
        </is>
      </c>
    </row>
    <row r="272">
      <c r="C272" s="143" t="inlineStr">
        <is>
          <t>176 40</t>
        </is>
      </c>
      <c r="D272" s="143" t="inlineStr">
        <is>
          <t>ANTIARMOR TRK/ FIRE RANGE</t>
        </is>
      </c>
      <c r="E272" s="143" t="inlineStr">
        <is>
          <t>AC</t>
        </is>
      </c>
      <c r="F272" s="143" t="n"/>
      <c r="G272" s="143" t="n"/>
      <c r="H272" s="143" t="n"/>
      <c r="I272" s="143" t="inlineStr">
        <is>
          <t>AN ANTI-ARMOR TRACKING AND LIVE- FIRE RANGE IS A COMPLEX DESIGNED TO MEET TRAINING AND QUALIFICATION REQUIREMENTS WITH MEDIUM AND HEAVY ANTI-ARMOR WEAPONS SYSTEMS. THIS COMPLEX IS USED TO TRAIN AND TEST SOLDIERS ON THE SKILLS NECESSARY TO EMPLOY THE WEAPON, IDENTIFY, TRACK, ENGAGE, AND DEFEAT STATIONARY AND MOVING ARMOR TARGETS PRESENTED INDIVIDUALLY OR AS PART OF A TACTICAL ARRAY.</t>
        </is>
      </c>
    </row>
    <row r="273">
      <c r="C273" s="143" t="inlineStr">
        <is>
          <t>176 41</t>
        </is>
      </c>
      <c r="D273" s="143" t="inlineStr">
        <is>
          <t>AUTO AA TRK/FIRE RANGE</t>
        </is>
      </c>
      <c r="E273" s="143" t="inlineStr">
        <is>
          <t>AC</t>
        </is>
      </c>
      <c r="F273" s="143" t="n"/>
      <c r="G273" s="143" t="n"/>
      <c r="H273" s="143" t="n"/>
      <c r="I273" s="143" t="inlineStr">
        <is>
          <t>AN AUTOMATED ANTI-ARMOR TRACKING AND LIVE-FIRE RANGE IS A COMPLEX DESIGNED TO MEET TRAINING AND QUALIFICATION REQUIREMENTS WITH MEDIUM AND HEAVY ANTI-ARMOR WEAPONS SYSTEMS. THIS COMPLEX IS USED TO TRAIN AND TEST PERSONNEL ON THE SKILLS NECESSARY TO EMPLOY THE WEAPON, IDENTIFY, TRACK, ENGAGE, AND DEFEAT STATIONARY AND MOVING ARMOR TARGETS PRESENTED INDIVIDUALLY OR AS PART OF A TACTICAL ARRAY.</t>
        </is>
      </c>
    </row>
    <row r="274">
      <c r="C274" s="143" t="inlineStr">
        <is>
          <t>176 50</t>
        </is>
      </c>
      <c r="D274" s="143" t="inlineStr">
        <is>
          <t>F/A DIRECT FIRE RANGE</t>
        </is>
      </c>
      <c r="E274" s="143" t="inlineStr">
        <is>
          <t>AC</t>
        </is>
      </c>
      <c r="F274" s="143" t="n"/>
      <c r="G274" s="143" t="n"/>
      <c r="H274" s="143" t="n"/>
      <c r="I274" s="143" t="inlineStr">
        <is>
          <t>A FIELD ARTILLERY DIRECT FIRE RANGE IS DESIGNED TO MEET TRAINING REQUIREMENTS OF FIELD ARTILLERY CREWS. THIS RANGE IS USED TO TRAIN FIELD ARTILLERY CREWS ON THE SKILLS NEC4ESSARY TO EMPLOY DIRECT FIRE GUNNERY TECHNIQUES WITH INDIRECT FIRE EQUIPMENT AGAINST STATIONARY TARGETS IN A TACTICAL ARRAY USING LIVE DIRECT FIRE ARTILLERY.</t>
        </is>
      </c>
    </row>
    <row r="275">
      <c r="C275" s="143" t="inlineStr">
        <is>
          <t>176 60</t>
        </is>
      </c>
      <c r="D275" s="143" t="inlineStr">
        <is>
          <t>TANK/FTNG VEHICLE RANGE</t>
        </is>
      </c>
      <c r="E275" s="143" t="inlineStr">
        <is>
          <t>AC</t>
        </is>
      </c>
      <c r="F275" s="143" t="n"/>
      <c r="G275" s="143" t="n"/>
      <c r="H275" s="143" t="n"/>
      <c r="I275" s="143" t="inlineStr">
        <is>
          <t>A TANK/FIGHTING VEHICLE STATIONARY GUNNERY RANGE IS DESIGNED FOR CONDUCTING WEAPONS SYSTEM BORE SIGHTING, SCREENING, ZEROING AND/OR HARMONIZATION. ARMOR, INFANTRY AND/OR AVIATION CREW USE THIS RANGE.</t>
        </is>
      </c>
    </row>
    <row r="276">
      <c r="C276" s="143" t="inlineStr">
        <is>
          <t>176 70</t>
        </is>
      </c>
      <c r="D276" s="143" t="inlineStr">
        <is>
          <t>MORTAR RANGE</t>
        </is>
      </c>
      <c r="E276" s="143" t="inlineStr">
        <is>
          <t>AC</t>
        </is>
      </c>
      <c r="F276" s="143" t="n"/>
      <c r="G276" s="143" t="n"/>
      <c r="H276" s="143" t="n"/>
      <c r="I276" s="143" t="inlineStr">
        <is>
          <t>A MORTAR RANGE IS DESIGNED TO MEET THE TRAINING REQUIREMENTS OF MORTAR CREWMEN. THIS RANGE IS USED TO TRAIN MORTAR CREWS ON THE SKILLS NECESSARY TO APPLY FIRE MISSION DATA, ENGAGE, AND HIT STATIONARY TARGETS IN A TACTICAL ARRAY USING LIVE FIRE MORTARS.</t>
        </is>
      </c>
    </row>
    <row r="277">
      <c r="C277" s="143" t="inlineStr">
        <is>
          <t>176 71</t>
        </is>
      </c>
      <c r="D277" s="143" t="inlineStr">
        <is>
          <t>F/A INDIRECT FIRE RANGE</t>
        </is>
      </c>
      <c r="E277" s="143" t="inlineStr">
        <is>
          <t>AC</t>
        </is>
      </c>
      <c r="F277" s="143" t="n"/>
      <c r="G277" s="143" t="n"/>
      <c r="H277" s="143" t="n"/>
      <c r="I277" s="143" t="inlineStr">
        <is>
          <t>A FIELD ARTILLERY INDIRECT FIRE RANGE IS DESIGNED TO MEET THE TRAINING AND QUALIFICATION REQUIREMENTS OF FIELD ARTILLERY UNITS. THIS RANGE IS USED TO TRAIN FIELD ARTILLERY CREWS ON THE SKILLS NECESSARY TO APPLY FIRE MISSION DATA, ENGAGE, AND HIT STATIONARY TARGETS IN A TACTICAL ARRAY WITH INDIRECT FIRE.</t>
        </is>
      </c>
    </row>
    <row r="278">
      <c r="C278" s="143" t="inlineStr">
        <is>
          <t>176 80</t>
        </is>
      </c>
      <c r="D278" s="143" t="inlineStr">
        <is>
          <t>MORTAR SCALED RANGE</t>
        </is>
      </c>
      <c r="E278" s="143" t="inlineStr">
        <is>
          <t>AC</t>
        </is>
      </c>
      <c r="F278" s="143" t="n"/>
      <c r="G278" s="143" t="n"/>
      <c r="H278" s="143" t="n"/>
      <c r="I278" s="143" t="inlineStr">
        <is>
          <t>A MORTAR SCALED RANGE IS DESIGNED TO MEET THE TRAINING REQUIREMENTS OF MORTAR CREWMEN. THIS RANGE IS USED TO TRAIN MORTAR CREWS ON THE SKILLS NECESSARY TO APPLY FIRE MISSION DATA, ENGAGE, AND HIT STATIONARY TARGETS IN A TACTICAL ARRAY USING SUB-CALIBER TRAINING DEVICES.</t>
        </is>
      </c>
    </row>
    <row r="279">
      <c r="C279" s="143" t="inlineStr">
        <is>
          <t>176 81</t>
        </is>
      </c>
      <c r="D279" s="143" t="inlineStr">
        <is>
          <t>F/A SCALED RANGE</t>
        </is>
      </c>
      <c r="E279" s="143" t="inlineStr">
        <is>
          <t>AC</t>
        </is>
      </c>
      <c r="F279" s="143" t="n"/>
      <c r="G279" s="143" t="n"/>
      <c r="H279" s="143" t="n"/>
      <c r="I279" s="143" t="inlineStr">
        <is>
          <t>A FIELD ARTILLERY SCALED RANGE IS DESIGNED TO MEET TRAINING REQUIREMENTS OF FIELD ARTILLERY CREWS. THIS RANGE IS USED TO TRAIN FIELD ARTILLERY CREWS ON THE SKILLS NECESSARY TO APPLY FIRE MISSION DATA, ENGAGE, AND HIT STATIONARY TARGETS IN A TACTICAL ARRAY USING SUB-CALIBER TRAINING DEVICES.</t>
        </is>
      </c>
    </row>
    <row r="280">
      <c r="C280" s="143" t="inlineStr">
        <is>
          <t>176 90</t>
        </is>
      </c>
      <c r="D280" s="143" t="inlineStr">
        <is>
          <t>SCALED RANGE (1:30/60)</t>
        </is>
      </c>
      <c r="E280" s="143" t="inlineStr">
        <is>
          <t>AC</t>
        </is>
      </c>
      <c r="F280" s="143" t="n"/>
      <c r="G280" s="143" t="n"/>
      <c r="H280" s="143" t="n"/>
      <c r="I280" s="143" t="inlineStr">
        <is>
          <t>A SCALED GUNNERY RANGE (1:30 AND 1:60) IS DESIGNED TO MEET TRAINING REQUIREMENTS OF ARMOR CREWS. THIS RANGE IS USED TO TRAIN ARMOR CREWS ON THE SKILLS NECESSARY TO DETECT, IDENTIFY, ENGAGE, AND HIT STATIONARY AND MOVING SCALED TARGETS IN A TACTICAL ARRAY USING SUB-CALIBER TRAINING DEVICES.</t>
        </is>
      </c>
    </row>
    <row r="281">
      <c r="C281" s="143" t="inlineStr">
        <is>
          <t>176 91</t>
        </is>
      </c>
      <c r="D281" s="143" t="inlineStr">
        <is>
          <t>SCALED RANGE (1:5/10)</t>
        </is>
      </c>
      <c r="E281" s="143" t="inlineStr">
        <is>
          <t>AC</t>
        </is>
      </c>
      <c r="F281" s="143" t="n"/>
      <c r="G281" s="143" t="n"/>
      <c r="H281" s="143" t="n"/>
      <c r="I281" s="143" t="inlineStr">
        <is>
          <t>A SCALED GUNNERY RANGE (1:50 AND 1:10) IS DESIGNED TO MEET TRAINING REQUIREMENTS OF ARMOR AND INFANTRY CREWS. THIS RANGE IS USED TO TRAIN ARMOR AND INFANTRY CREWS ON THE SKILLS NECESSARY TO DETECT, IDENTIFY, ENGAGE, AND HIT STATIONARY AND MOVING SCALED TARGETS IN A TACTICAL ARRAY USING SUB-CALIBER TRAINING DEVICES AND/OR SIMULATIONS.</t>
        </is>
      </c>
    </row>
    <row r="282">
      <c r="C282" s="143" t="inlineStr">
        <is>
          <t>177 10</t>
        </is>
      </c>
      <c r="D282" s="143" t="inlineStr">
        <is>
          <t>MULTIPURPOSE TRNG RANGE</t>
        </is>
      </c>
      <c r="E282" s="143" t="inlineStr">
        <is>
          <t>AC</t>
        </is>
      </c>
      <c r="F282" s="143" t="n"/>
      <c r="G282" s="143" t="n"/>
      <c r="H282" s="143" t="n"/>
      <c r="I282" s="143" t="inlineStr">
        <is>
          <t>A MULTIPURPOSE TRAINING RANGE IS DESIGNED TO MEET THE TRAINING AND QUALIFICATION REQUIREMENTS FOR THE CREWS, TEAMS AND SECTIONS OF COMBAT UNITS. THIS RANGE IS USED TO TRAIN AND TEST ARMOR, INFANTRY, AND AVIATION CREWS AND SECTIONS ON THE SKILLS NECESSARY TO DETECT, IDENTIFY, ENGAGE, AND DEFEAT STATIONARY AND MOVING ARMOR AND INFANTRY TARGETS IN A TACTICAL ARRAY.</t>
        </is>
      </c>
    </row>
    <row r="283">
      <c r="C283" s="143" t="inlineStr">
        <is>
          <t>177 11</t>
        </is>
      </c>
      <c r="D283" s="143" t="inlineStr">
        <is>
          <t>AUTO MP TRAINING RANGE</t>
        </is>
      </c>
      <c r="E283" s="143" t="inlineStr">
        <is>
          <t>AC</t>
        </is>
      </c>
      <c r="F283" s="143" t="n"/>
      <c r="G283" s="143" t="n"/>
      <c r="H283" s="143" t="n"/>
      <c r="I283" s="143" t="inlineStr">
        <is>
          <t>AN AUTOMATED MULTIPURPOSE TRAINING RANGE IS SPECIFICALLY DESIGNED TO SATISFY THE TRAINING AND QUALIFICATION REQUIREMENTS FOR THE CREWS, TEAMS AND SECTIONS OF COMBAT UNITS. THIS RANGE SUPPORTS DISMOUNTED INFANTRY SQUAD TACTICAL LIVE-FIRE OPERATIONS EITHER INDEPENDENTLY OF, OR SIMULTANEOUSLY WITH SUPPORTING VEHICLES.</t>
        </is>
      </c>
    </row>
    <row r="284">
      <c r="C284" s="143" t="inlineStr">
        <is>
          <t>177 20</t>
        </is>
      </c>
      <c r="D284" s="143" t="inlineStr">
        <is>
          <t>T/FV PLATOON BATTLE RUN</t>
        </is>
      </c>
      <c r="E284" s="143" t="inlineStr">
        <is>
          <t>AC</t>
        </is>
      </c>
      <c r="F284" s="143" t="n"/>
      <c r="G284" s="143" t="n"/>
      <c r="H284" s="143" t="n"/>
      <c r="I284" s="143" t="inlineStr">
        <is>
          <t>A TANK/FIGHTING VEHICLE PLATOON BATTLE RUN IS DESIGNED TO MEET THE TRAINING AND QUALIFICATION REQUIREMENTS FOR PLATOONS OF ARMOR AND INFANTRY UNITS. THIS RANGE IS USED TO TRAIN AND TEST ARMOR AND INFANTRY PLATOONS AND SECTIONS ON THE SKILLS NECESSARY TO DETECT, IDENTIFY, ENGAGE, AND DEFEAT STATIONARY AND MOVING ARMOR AND INFANTRY TARGETS IN A TACTICAL ARRAY.</t>
        </is>
      </c>
    </row>
    <row r="285">
      <c r="C285" s="143" t="inlineStr">
        <is>
          <t>177 21</t>
        </is>
      </c>
      <c r="D285" s="143" t="inlineStr">
        <is>
          <t>T/FV MP RANGE COMPLEX, LT</t>
        </is>
      </c>
      <c r="E285" s="143" t="inlineStr">
        <is>
          <t>AC</t>
        </is>
      </c>
      <c r="F285" s="143" t="n"/>
      <c r="G285" s="143" t="n"/>
      <c r="H285" s="143" t="n"/>
      <c r="I285" s="143" t="inlineStr">
        <is>
          <t>A TANK/FIGHTING VEHICLE MULTIPURPOSE RANGE COMPLEX, LIGHT, AUTOMATED, IS DESIGNED TO MEET THE TRAINING AND QUALIFICATION REQUIREMENTS FOR LIGHT AND MECHANIZED INFANTRY, ARMOR, AND AVIATION UNITS. IT IS USED TO TRAIN AND TEST INFANTRY, ARMOR, AND AVIATION TEAMS AND CREWS ON THE SKILLS NECESSARY TO DETECT, IDENTIFY, ENGAGE, AND DEFEAT STATIONARY AND MOVING ARMOR AND INFANTRY TARGETS.</t>
        </is>
      </c>
    </row>
    <row r="286">
      <c r="C286" s="143" t="inlineStr">
        <is>
          <t>177 22</t>
        </is>
      </c>
      <c r="D286" s="143" t="inlineStr">
        <is>
          <t>T/FV MP RANGE COMPLEX, HV</t>
        </is>
      </c>
      <c r="E286" s="143" t="inlineStr">
        <is>
          <t>AC</t>
        </is>
      </c>
      <c r="F286" s="143" t="n"/>
      <c r="G286" s="143" t="n"/>
      <c r="H286" s="143" t="n"/>
      <c r="I286" s="143" t="inlineStr">
        <is>
          <t>A TANK/FIGHTING VEHICLE MULTIPURPOSE RANGE COMPLEX, HEAVY, AUTOMATED, IS DESIGNED FOR TRAINING AND QUALIFICATION REQUIREMENTS FOR THE CREWS OF ARMOR, INFANTRY AND AVIATION UNITS. IT SUPPORTS INFANTRY SQUAD TACTICAL LIVE-FIRE OPERATIONS. IT IS USED TO TRAIN AND TEST ARMOR, INFANTRY, AND AVIATION TEAMS ON THE SKILLS TO DETECT, IDENTIFY, AND DEFEAT STATIONARY AND MOVING ARMOR AND INFANTRY TARGETS.</t>
        </is>
      </c>
    </row>
    <row r="287">
      <c r="C287" s="143" t="inlineStr">
        <is>
          <t>177 30</t>
        </is>
      </c>
      <c r="D287" s="143" t="inlineStr">
        <is>
          <t>FIRE AND MOVEMENT RANGE</t>
        </is>
      </c>
      <c r="E287" s="143" t="inlineStr">
        <is>
          <t>AC</t>
        </is>
      </c>
      <c r="F287" s="143" t="n"/>
      <c r="G287" s="143" t="n"/>
      <c r="H287" s="143" t="n"/>
      <c r="I287" s="143" t="inlineStr">
        <is>
          <t>A FIRE AND MOVEMENT RANGE IS DESIGNED FOR TRAINING INDIVIDUAL AND BUDDY/TEAM FIRE AND MOVEMENT TECHNIQUES. THE TEAM NEGOTIATES MANEUVER UTILIZING COVER AND CONCEALMENT TECHNIQUES.</t>
        </is>
      </c>
    </row>
    <row r="288">
      <c r="C288" s="143" t="inlineStr">
        <is>
          <t>177 40</t>
        </is>
      </c>
      <c r="D288" s="143" t="inlineStr">
        <is>
          <t>SQUAD DEFENSE RANGE</t>
        </is>
      </c>
      <c r="E288" s="143" t="inlineStr">
        <is>
          <t>AC</t>
        </is>
      </c>
      <c r="F288" s="143" t="n"/>
      <c r="G288" s="143" t="n"/>
      <c r="H288" s="143" t="n"/>
      <c r="I288" s="143" t="inlineStr">
        <is>
          <t>A SQUAD DEFENSE RANGE IS DESIGNED FOR TRAINING INDIVIDUALS AND SQUADS ON DEFENSIVE ENGAGEMENT TECHNIQUES AND MUTUALLY SUPPORTING FIRES. THIS RANGE IS USED TO TRAIN PERSONNEL ON THE SKILLS NECESSARY TO DESIGNATE SECTORS OF FIRE, IDENTIFY, AND PROVIDE SUPPRESSIVE FIRE ON STATIONARY INFANTRY TARGETS.</t>
        </is>
      </c>
    </row>
    <row r="289">
      <c r="C289" s="143" t="inlineStr">
        <is>
          <t>177 50</t>
        </is>
      </c>
      <c r="D289" s="143" t="inlineStr">
        <is>
          <t>INF SQUAD BATTLE COURSE</t>
        </is>
      </c>
      <c r="E289" s="143" t="inlineStr">
        <is>
          <t>AC</t>
        </is>
      </c>
      <c r="F289" s="143" t="n"/>
      <c r="G289" s="143" t="n"/>
      <c r="H289" s="143" t="n"/>
      <c r="I289" s="143" t="inlineStr">
        <is>
          <t>AN INFANTRY SQUAD BATTLE COURSE IS FOR THE TRAINING AND QUALIFICATION REQUIREMENTS OF TEAMS AND SQUADS ON INDIVIDUAL AND COLLECTIVE TACTICS, TECHNIQUES, AND PROCEDURES AND EMPLOYMENT IN TACTICAL SITUATIONS. IT IS USED TO TRAIN AND TEST TEAMS AND SQUADS ON THE SKILLS NECESSARY TO CONDUCT TACTICAL MOVEMENT TECHNIQUES, DETECT, IDENTIFY, AND DEFEAT STATIONARY AND MOVING ARMOR AND INFANTRY TARGETS.</t>
        </is>
      </c>
    </row>
    <row r="290">
      <c r="C290" s="143" t="inlineStr">
        <is>
          <t>177 51</t>
        </is>
      </c>
      <c r="D290" s="143" t="inlineStr">
        <is>
          <t>AUTO INF SQD BAT COURSE</t>
        </is>
      </c>
      <c r="E290" s="143" t="inlineStr">
        <is>
          <t>AC</t>
        </is>
      </c>
      <c r="F290" s="143" t="n"/>
      <c r="G290" s="143" t="n"/>
      <c r="H290" s="143" t="n"/>
      <c r="I290" s="143" t="inlineStr">
        <is>
          <t>AN AUTOMATED INFANTRY SQUAD BATTLE COURSE IS DESIGNED FOR TRAINING AND QUALIFICATION REQUIREMENTS OF TEAMS AND SQUADS ON INDIVIDUAL AND COLLECTIVE TACTICS, TECHNIQUES AND PROCEDURES AND EMPLOYMENT IN TACTICAL SITUATIONS. IT IS USED TO TRAIN AND TEST TEAMS AND SQUADS ON THE SKILLS TO CONDUCT TACTICAL MOVEMENT TECHNIQUES, DETECT, IDENTIFY, AND DEFEAT STATIONARY AND MOVING ARMOR AND INFANTRY TARGETS.</t>
        </is>
      </c>
    </row>
    <row r="291">
      <c r="C291" s="143" t="inlineStr">
        <is>
          <t>177 52</t>
        </is>
      </c>
      <c r="D291" s="143" t="inlineStr">
        <is>
          <t>INF PLATOON BAT COURSE</t>
        </is>
      </c>
      <c r="E291" s="143" t="inlineStr">
        <is>
          <t>AC</t>
        </is>
      </c>
      <c r="F291" s="143" t="n"/>
      <c r="G291" s="143" t="n"/>
      <c r="H291" s="143" t="n"/>
      <c r="I291" s="143" t="inlineStr">
        <is>
          <t>AN INFANTRY PLATOON BATTLE COURSE IS DESIGNED FOR THE TRAINING AND QUALIFICATION REQUIREMENTS OF INFANTRY PLATOONS, EITHER MOUNTED OR DISMOUNTED, ON MOVEMENT TECHNIQUES AND OPERATIONS. THIS COMPLEX IS USED TO TRAIN AND TEST PLATOONS ON THE SKILLS NECESSARY TO CONDUCT TACTICAL MOVEMENT TECHNIQUES, DETECT, IDENTIFY, ENGAGE, AND DEFEAT STATIONARY AND MOVING ARMOR AND INFANTRY TARGETS.</t>
        </is>
      </c>
    </row>
    <row r="292">
      <c r="C292" s="143" t="inlineStr">
        <is>
          <t>177 53</t>
        </is>
      </c>
      <c r="D292" s="143" t="inlineStr">
        <is>
          <t>AUTO INF PLTN BAT COURSE</t>
        </is>
      </c>
      <c r="E292" s="143" t="inlineStr">
        <is>
          <t>AC</t>
        </is>
      </c>
      <c r="F292" s="143" t="n"/>
      <c r="G292" s="143" t="n"/>
      <c r="H292" s="143" t="n"/>
      <c r="I292" s="143" t="inlineStr">
        <is>
          <t>AN AUTOMATED INFANTRY PLATOON BATTLE COURSE IS DESIGNED FOR THE TRAINING AND QUALIFICATION REQUIREMENTS OF INFANTRY PLATOONS, EITHER MOUNTED OR DISMOUNTED, ON MOVEMENT TECHNIQUES AND OPERATIONS. THIS COMPLEX IS USED TO TRAIN AND TEST PLATOONS ON THE SKILLS TO CONDUCT TACTICAL MOVEMENT TECHNIQUES, DETECT, IDENTIFY, ENGAGE, AND DEFEAT STATIONARY AND MOVING ARMOR AND INFANTRY TARGETS.</t>
        </is>
      </c>
    </row>
    <row r="293">
      <c r="C293" s="143" t="inlineStr">
        <is>
          <t>177 60</t>
        </is>
      </c>
      <c r="D293" s="143" t="inlineStr">
        <is>
          <t>MOUT ASSAULT COURSE</t>
        </is>
      </c>
      <c r="E293" s="143" t="inlineStr">
        <is>
          <t>AC</t>
        </is>
      </c>
      <c r="F293" s="143" t="n"/>
      <c r="G293" s="143" t="n"/>
      <c r="H293" s="143" t="n"/>
      <c r="I293" s="143" t="inlineStr">
        <is>
          <t>A MOUT ASSAULT COURSE IS A FACILITY FOR LOW-LEVEL COLLECTIVE TRAINING USING LIVE FIRE OR MILES. THIS FACILITY IS USED FOR TRAINING SPECIFIC TASKS BEFORE TRAINING ON UNIT PROFICIENCY MOUT SITES OR COMBAT IN CITIES FACILITY, CARRIED UNDER CATEGORY CODE 179 61.</t>
        </is>
      </c>
    </row>
    <row r="294">
      <c r="C294" s="143" t="inlineStr">
        <is>
          <t>178 10</t>
        </is>
      </c>
      <c r="D294" s="143" t="inlineStr">
        <is>
          <t>LIVE HAND GRENADE RANGE</t>
        </is>
      </c>
      <c r="E294" s="143" t="inlineStr">
        <is>
          <t>AC</t>
        </is>
      </c>
      <c r="F294" s="143" t="n"/>
      <c r="G294" s="143" t="n"/>
      <c r="H294" s="143" t="n"/>
      <c r="I294" s="143" t="inlineStr">
        <is>
          <t>A LIVE HAND GRENADE RANGE IS DESIGNED TO SATISFY THE TRAINING REQUIREMENT OF THROWING LIVE FRAGMENTATION GRENADES. THIS RANGE FAMILIARIZES SOLDIERS WITH THE EFFECTS OF LIVE FRAGMENTATION GRENADES.</t>
        </is>
      </c>
    </row>
    <row r="295">
      <c r="C295" s="143" t="inlineStr">
        <is>
          <t>178 20</t>
        </is>
      </c>
      <c r="D295" s="143" t="inlineStr">
        <is>
          <t>ENGR QUALF RANGE, N/STD</t>
        </is>
      </c>
      <c r="E295" s="143" t="inlineStr">
        <is>
          <t>AC</t>
        </is>
      </c>
      <c r="F295" s="143" t="n"/>
      <c r="G295" s="143" t="n"/>
      <c r="H295" s="143" t="n"/>
      <c r="I295" s="143" t="inlineStr">
        <is>
          <t>AN ENGINEER QUALIFICATION RANGE, NON-STANDARDIZED, IS DESIGNED TO MEET THE TRAINING AND QUALIFICATION REQUIREMENTS FOR ENGINEER AND COMBAT ENGINEER CREWS. THIS RANGE IS USED TO TRAIN AND TEST ENGINEER CREWS ON THE SKILLS NECESSARY TO ZERO AND/OR BORESIGHT WEAPONS SYSTEMS, IDENTIFY, CLASSIFY, AND REDUCE OBSTACLES.</t>
        </is>
      </c>
    </row>
    <row r="296">
      <c r="C296" s="143" t="inlineStr">
        <is>
          <t>178 21</t>
        </is>
      </c>
      <c r="D296" s="143" t="inlineStr">
        <is>
          <t>ENGR QUAL RANGE, AUTO</t>
        </is>
      </c>
      <c r="E296" s="143" t="inlineStr">
        <is>
          <t>AC</t>
        </is>
      </c>
      <c r="F296" s="143" t="n"/>
      <c r="G296" s="143" t="n"/>
      <c r="H296" s="143" t="n"/>
      <c r="I296" s="143" t="inlineStr">
        <is>
          <t>AN ENGINEER QUALIFICATION RANGE, AUTOMATED/STANDARDIZED, IS DESIGNED FOR THE TRAINING AND QUALIFICATION REQUIREMENTS OF ENGINEER AND COMBAT ENGINEER CREWS. THIS RANGE IS USED TO TRAIN AND TEST ENGINEER CREWS ON THE SKILLS NECESSARY TO ZERO AND / OR BORESIGHT WEAPONS SYSTEMS, IDENTIFY, CLASSIFY, AND REDUCE OBSTACLES.</t>
        </is>
      </c>
    </row>
    <row r="297">
      <c r="C297" s="143" t="inlineStr">
        <is>
          <t>178 30</t>
        </is>
      </c>
      <c r="D297" s="143" t="inlineStr">
        <is>
          <t>LIGHT DEMOLITION RANGE</t>
        </is>
      </c>
      <c r="E297" s="143" t="inlineStr">
        <is>
          <t>AC</t>
        </is>
      </c>
      <c r="F297" s="143" t="n"/>
      <c r="G297" s="143" t="n"/>
      <c r="H297" s="143" t="n"/>
      <c r="I297" s="143" t="inlineStr">
        <is>
          <t>A LIGHT DEMOLITION RANGE IS DESIGNED FOR THE TRAINING AND QUALIFICATION OF EMPLOYING EXPLOSIVES AND DEMOLITION CHARGES. THIS RANGE IS USED TO TRAIN PERSONNEL ON THE PROPER TECHNIQUES OF WIRE, MINEFIELD AND CONCRETE OBSTACLE BREACHING, TIMBER AND STEEL CUTTING, ROAD CRATERING, AND EXPLOSIVE DEMOLITION.</t>
        </is>
      </c>
    </row>
    <row r="298">
      <c r="C298" s="143" t="inlineStr">
        <is>
          <t>179 01</t>
        </is>
      </c>
      <c r="D298" s="143" t="inlineStr">
        <is>
          <t>Bayonet Assault Course</t>
        </is>
      </c>
      <c r="E298" s="143" t="inlineStr">
        <is>
          <t>EA</t>
        </is>
      </c>
      <c r="F298" s="143" t="n">
        <v>1</v>
      </c>
      <c r="G298" s="143" t="inlineStr">
        <is>
          <t>1 EA per prepared path/set of targets.</t>
        </is>
      </c>
      <c r="H298" s="143" t="n">
        <v>1</v>
      </c>
      <c r="I298" s="143" t="inlineStr">
        <is>
          <t># of paths</t>
        </is>
      </c>
    </row>
    <row r="299">
      <c r="C299" s="143" t="inlineStr">
        <is>
          <t>179 02</t>
        </is>
      </c>
      <c r="D299" s="143" t="inlineStr">
        <is>
          <t>(TD) RANGE, NON- FIRING</t>
        </is>
      </c>
      <c r="E299" s="143" t="inlineStr">
        <is>
          <t>EA</t>
        </is>
      </c>
      <c r="F299" s="143" t="n"/>
      <c r="G299" s="143" t="n"/>
      <c r="H299" s="143" t="n"/>
      <c r="I299" s="143" t="inlineStr">
        <is>
          <t>A TARGET DETECTION RANGE, NON- FIRING, IS A NON-FIRING RANGE TO TEACH SOLDIERS HOW TO DETECT PERSONNEL ON THE BATTLEFIELD UNDER VARYING DEGREES OF CONCEALMENT AND VISIBILITY.</t>
        </is>
      </c>
    </row>
    <row r="300">
      <c r="C300" s="143" t="inlineStr">
        <is>
          <t>179 03</t>
        </is>
      </c>
      <c r="D300" s="143" t="inlineStr">
        <is>
          <t>HAND TO HAND COMBAT PIT</t>
        </is>
      </c>
      <c r="E300" s="143" t="inlineStr">
        <is>
          <t>EA</t>
        </is>
      </c>
      <c r="F300" s="143" t="n"/>
      <c r="G300" s="143" t="n"/>
      <c r="H300" s="143" t="n"/>
      <c r="I300" s="143" t="inlineStr">
        <is>
          <t>A HAND TO HAND COMBAT PIT IS A STRUCTURE CONTAINING A CIRCLE OF SAND OR SAWDUST FOR TRAINING IN HAND-TO-HAND FIGHTING.</t>
        </is>
      </c>
    </row>
    <row r="301">
      <c r="C301" s="143" t="inlineStr">
        <is>
          <t>179 04</t>
        </is>
      </c>
      <c r="D301" s="143" t="inlineStr">
        <is>
          <t>POW TRAINING AREA</t>
        </is>
      </c>
      <c r="E301" s="143" t="inlineStr">
        <is>
          <t>EA</t>
        </is>
      </c>
      <c r="F301" s="143" t="n"/>
      <c r="G301" s="143" t="n"/>
      <c r="H301" s="143" t="n"/>
      <c r="I301" s="143" t="inlineStr">
        <is>
          <t>A PRISONER OF WAR TRAINING AREA IS TYPICALLY AND AREA FENCED IN WITH BARBED WIRE AND WITH GUARD TOWERS USED FOR THE TRAINING OF PERSONNEL IN THE HANDLING OF PRISONERS-OF- WAR. THE FACILITY MAY ALSO BE USED FOR THE TRAINING OF PERSONNEL IN A SIMULATED POW ENVIRONMENT.</t>
        </is>
      </c>
    </row>
    <row r="302">
      <c r="C302" s="143" t="inlineStr">
        <is>
          <t>179 05</t>
        </is>
      </c>
      <c r="D302" s="143" t="inlineStr">
        <is>
          <t>MINE WARFARE AREA</t>
        </is>
      </c>
      <c r="E302" s="143" t="inlineStr">
        <is>
          <t>AC</t>
        </is>
      </c>
      <c r="F302" s="143" t="n"/>
      <c r="G302" s="143" t="n"/>
      <c r="H302" s="143" t="n"/>
      <c r="I302" s="143" t="inlineStr">
        <is>
          <t>A MINE WARFARE AREA IS A CLEARED AREA FOR TRAINING IN THE PLACEMENT, ARMING, DISARMING, AND DETECTION OF VEHICLE AND ANTI- PERSONNEL MINES USING NON- EXPLOSIVE TRAINING MATERIAL.</t>
        </is>
      </c>
    </row>
    <row r="303">
      <c r="C303" s="143" t="inlineStr">
        <is>
          <t>179 06</t>
        </is>
      </c>
      <c r="D303" s="143" t="inlineStr">
        <is>
          <t>WHEEL VEH DRIVER COURSE</t>
        </is>
      </c>
      <c r="E303" s="143" t="inlineStr">
        <is>
          <t>AC</t>
        </is>
      </c>
      <c r="F303" s="143" t="n"/>
      <c r="G303" s="143" t="n"/>
      <c r="H303" s="143" t="n"/>
      <c r="I303" s="143" t="inlineStr">
        <is>
          <t>A WHEELED VEHICLE DRIVERS COURSE IS FOR TEACHING BASIC DRIVING SKILLS, AND FOR PRACTICE IN FOUR- WHEEL DRIVE SITUATIONS, PARKING, AND BACKING UP.</t>
        </is>
      </c>
    </row>
    <row r="304">
      <c r="C304" s="143" t="inlineStr">
        <is>
          <t>179 07</t>
        </is>
      </c>
      <c r="D304" s="143" t="inlineStr">
        <is>
          <t>TRACK VEH DRIVER COURSE</t>
        </is>
      </c>
      <c r="E304" s="143" t="inlineStr">
        <is>
          <t>AC</t>
        </is>
      </c>
      <c r="F304" s="143" t="n"/>
      <c r="G304" s="143" t="n"/>
      <c r="H304" s="143" t="n"/>
      <c r="I304" s="143" t="inlineStr">
        <is>
          <t>A TRACKED VEHICLE DRIVERS COURSE IS AN AREA TO TEACH THE BASIC DRIVING SKILLS OF STEERING AND GEAR SHIFTING ON A LEVEL COURSE. THE FACILITY MAY ALSO CONTAIN A HILLY COURSE FOR DEVELOPING ADVANCED TRACKED VEHICLE DRIVING SKILLS SUCH AS TURNING ON SLOPES AND NEGOTIATING STEEP GRADES.</t>
        </is>
      </c>
    </row>
    <row r="305">
      <c r="C305" s="143" t="inlineStr">
        <is>
          <t>179 08</t>
        </is>
      </c>
      <c r="D305" s="143" t="inlineStr">
        <is>
          <t>AMPH VEH TRAINING AREA</t>
        </is>
      </c>
      <c r="E305" s="143" t="inlineStr">
        <is>
          <t>AC</t>
        </is>
      </c>
      <c r="F305" s="143" t="n"/>
      <c r="G305" s="143" t="n"/>
      <c r="H305" s="143" t="n"/>
      <c r="I305" s="143" t="inlineStr">
        <is>
          <t>AN AMPHIBIOUS VEHICLE TRAINING AREA CONTAINS SAND OR IS CLOSE TO A BEACH FOR TRAINING MILITARY PERSONNEL ON UNIQUE DRIVING, TECHNICAL AND TACTICAL TASKS ASSOCIATED WITH AMPHIBIOUS OPERATIONS.</t>
        </is>
      </c>
    </row>
    <row r="306">
      <c r="C306" s="143" t="inlineStr">
        <is>
          <t>179 09</t>
        </is>
      </c>
      <c r="D306" s="143" t="inlineStr">
        <is>
          <t>SHIP LOAD/UNLOAD MOCKUP</t>
        </is>
      </c>
      <c r="E306" s="143" t="inlineStr">
        <is>
          <t>EA</t>
        </is>
      </c>
      <c r="F306" s="143" t="n"/>
      <c r="G306" s="143" t="n"/>
      <c r="H306" s="143" t="n"/>
      <c r="I306" s="143" t="inlineStr">
        <is>
          <t>A MOCKUP OF A SHIP USED FOR TRAINING PERSONNEL IN SHIP LOADING AND OFF-LOADING. TRAINING AREA CAN ALSO INCLUDE NEGOTIATING CARGO NETS USED DURING AMPHIBIOUS OPERATIONS AND OPERATIONS AT DOCKSIDE.</t>
        </is>
      </c>
    </row>
    <row r="307">
      <c r="C307" s="143" t="inlineStr">
        <is>
          <t>179 10</t>
        </is>
      </c>
      <c r="D307" s="143" t="inlineStr">
        <is>
          <t>ACFT GUN BOMB ROCKET RNGES</t>
        </is>
      </c>
      <c r="E307" s="143" t="inlineStr">
        <is>
          <t>EA</t>
        </is>
      </c>
      <c r="F307" s="143" t="n"/>
      <c r="G307" s="143" t="n"/>
      <c r="H307" s="143" t="n"/>
      <c r="I307" s="143" t="inlineStr">
        <is>
          <t>AIRCRAFT GUNNERY, BOMBING AND ROCKET RANGES (AIRCRAFT WEAPONS RANGES) PROVIDE AIR CREWS WITH OPERATING AREAS FOR THE DEVELOPMENT OF PROFICIENCY IN GUNNERY, BOMBING, ROCKETRY, MISSILE DELIVERY, STRAFING, AND MINE LAYING.</t>
        </is>
      </c>
    </row>
    <row r="308">
      <c r="C308" s="143" t="inlineStr">
        <is>
          <t>179 11</t>
        </is>
      </c>
      <c r="D308" s="143" t="inlineStr">
        <is>
          <t>AIR TRANSPORT MOCKUP</t>
        </is>
      </c>
      <c r="E308" s="143" t="inlineStr">
        <is>
          <t>EA</t>
        </is>
      </c>
      <c r="F308" s="143" t="n"/>
      <c r="G308" s="143" t="n"/>
      <c r="H308" s="143" t="n"/>
      <c r="I308" s="143" t="inlineStr">
        <is>
          <t>AN AIR TRANSPORT MOCKUP IS A RAMP AND A PLATFORM STRUCTURE USED TO SIMULATE VARYING TYPES OF FIXED- AND ROTARY-WING AIRCRAFT. STRUCTURE ALLOWS LOADING, SECURING, AND UNLOADING OF VEHICLES, EQUIPMENT, AND/OR PERSONNEL.</t>
        </is>
      </c>
    </row>
    <row r="309">
      <c r="C309" s="143" t="inlineStr">
        <is>
          <t>179 12</t>
        </is>
      </c>
      <c r="D309" s="143" t="inlineStr">
        <is>
          <t>TRNG TOWER/PLATFORM</t>
        </is>
      </c>
      <c r="E309" s="143" t="inlineStr">
        <is>
          <t>EA</t>
        </is>
      </c>
      <c r="F309" s="143" t="n"/>
      <c r="G309" s="143" t="n"/>
      <c r="H309" s="143" t="n"/>
      <c r="I309" s="143" t="inlineStr">
        <is>
          <t>A STRUCTURE THAT SUPPORTS VARIOUS TRAINING SCENARIOS, INCLUDING USES SUCH AS PARACHUTE LANDING PLATFORMS, SUSPENDED HARNESS MOCKUPS, AND MOCK JUMP TOWERS.</t>
        </is>
      </c>
    </row>
    <row r="310">
      <c r="C310" s="143" t="inlineStr">
        <is>
          <t>179 16</t>
        </is>
      </c>
      <c r="D310" s="143" t="inlineStr">
        <is>
          <t>COMBAT TRAIL</t>
        </is>
      </c>
      <c r="E310" s="143" t="inlineStr">
        <is>
          <t>AC</t>
        </is>
      </c>
      <c r="F310" s="143" t="n"/>
      <c r="G310" s="143" t="n"/>
      <c r="H310" s="143" t="n"/>
      <c r="I310" s="143" t="inlineStr">
        <is>
          <t>A COMBAT TRAIL IS A TRAINING SITE USED FOR VARIOUS TYPES OF PROFICIENCY AND SUSTAINMENT TRAINING BY ROTATION THROUGH DIFFERENT STATIONS IN A ROUND- ROBIN SCENARIO.</t>
        </is>
      </c>
    </row>
    <row r="311">
      <c r="C311" s="143" t="inlineStr">
        <is>
          <t>179 17</t>
        </is>
      </c>
      <c r="D311" s="143" t="inlineStr">
        <is>
          <t>Rappelling Training Area</t>
        </is>
      </c>
      <c r="E311" s="143" t="inlineStr">
        <is>
          <t>EA</t>
        </is>
      </c>
      <c r="F311" s="143" t="n">
        <v>1</v>
      </c>
      <c r="G311" s="143" t="inlineStr">
        <is>
          <t>Case-by-case (≥1 structure).</t>
        </is>
      </c>
      <c r="H311" s="143" t="n">
        <v>1</v>
      </c>
      <c r="I311" s="143" t="inlineStr">
        <is>
          <t># of training areas</t>
        </is>
      </c>
    </row>
    <row r="312">
      <c r="C312" s="143" t="inlineStr">
        <is>
          <t>179 18</t>
        </is>
      </c>
      <c r="D312" s="143" t="inlineStr">
        <is>
          <t>AIRFIELD DEMO RANGE</t>
        </is>
      </c>
      <c r="E312" s="143" t="inlineStr">
        <is>
          <t>AC</t>
        </is>
      </c>
      <c r="F312" s="143" t="n"/>
      <c r="G312" s="143" t="n"/>
      <c r="H312" s="143" t="n"/>
      <c r="I312" s="143" t="inlineStr">
        <is>
          <t>AN EXPEDITIONARY TRAINING AREA COMPRISED OF CONSTRUCTED RUNWAY SURFACES THAT ARE INTENTIONALLY DAMAGED, THEN REPAIRED BY EXPEDITIONARY FORCES IN AN EFFORT TO INCREASE EXPEDIENCY OF REPAIRS DAMAGED IN THEATER BY INSURGENTS USING IEDS AND OTHER MEANS.</t>
        </is>
      </c>
    </row>
    <row r="313">
      <c r="C313" s="143" t="inlineStr">
        <is>
          <t>179 19</t>
        </is>
      </c>
      <c r="D313" s="143" t="inlineStr">
        <is>
          <t>TIMBER BRIDGE AREA</t>
        </is>
      </c>
      <c r="E313" s="143" t="inlineStr">
        <is>
          <t>EA</t>
        </is>
      </c>
      <c r="F313" s="143" t="n"/>
      <c r="G313" s="143" t="n"/>
      <c r="H313" s="143" t="n"/>
      <c r="I313" s="143" t="inlineStr">
        <is>
          <t>A TIMBER BRIDGE AREA IS A CLEARED AREA BESIDE A DITCH OR RAVINE FOR ENGINEER UNITS TO PRACTICE BUILDING TIMBER BRIDGES.</t>
        </is>
      </c>
    </row>
    <row r="314">
      <c r="C314" s="143" t="inlineStr">
        <is>
          <t>179 20</t>
        </is>
      </c>
      <c r="D314" s="143" t="inlineStr">
        <is>
          <t>PANEL BRIDGE AREA</t>
        </is>
      </c>
      <c r="E314" s="143" t="inlineStr">
        <is>
          <t>EA</t>
        </is>
      </c>
      <c r="F314" s="143" t="n"/>
      <c r="G314" s="143" t="n"/>
      <c r="H314" s="143" t="n"/>
      <c r="I314" s="143" t="inlineStr">
        <is>
          <t>A PANEL BRIDGE AREA IS A CLEARED AREA BESIDE A CREEK OR RAVINE FOR ENGINEER UNITS TO PRACTICE BUILDING PANEL BRIDGES.</t>
        </is>
      </c>
    </row>
    <row r="315">
      <c r="C315" s="143" t="inlineStr">
        <is>
          <t>179 21</t>
        </is>
      </c>
      <c r="D315" s="143" t="inlineStr">
        <is>
          <t>ARMORED VEH LAUNCH AREA</t>
        </is>
      </c>
      <c r="E315" s="143" t="inlineStr">
        <is>
          <t>EA</t>
        </is>
      </c>
      <c r="F315" s="143" t="n"/>
      <c r="G315" s="143" t="n"/>
      <c r="H315" s="143" t="n"/>
      <c r="I315" s="143" t="inlineStr">
        <is>
          <t>AN ARMORED VEHICLE LAUNCH BRIDGE, RAFT, AND FORD AREA IS A CLEARED PIECE OF LAND BESIDE A CREEK OR RAVINE USED FOR ERECTION AND RETRIEVAL OF ARMORED VEHICLE LAUNCH BRIDGES (AVLB) AND SCISSOR BRIDGES.</t>
        </is>
      </c>
    </row>
    <row r="316">
      <c r="C316" s="143" t="inlineStr">
        <is>
          <t>179 22</t>
        </is>
      </c>
      <c r="D316" s="143" t="inlineStr">
        <is>
          <t>FLOATING BRIDGE SITE</t>
        </is>
      </c>
      <c r="E316" s="143" t="inlineStr">
        <is>
          <t>EA</t>
        </is>
      </c>
      <c r="F316" s="143" t="n"/>
      <c r="G316" s="143" t="n"/>
      <c r="H316" s="143" t="n"/>
      <c r="I316" s="143" t="inlineStr">
        <is>
          <t>A FLOATING BRIDGE SITE IS A CLEARED RIVERBANK AREA FOR ENGINEER UNITS TO PRACTICE FORDING WATER OBSTACLES AND ERECTION AND RETRIEVAL OF FLOATING BRIDGING EQUIPMENT.</t>
        </is>
      </c>
    </row>
    <row r="317">
      <c r="C317" s="143" t="inlineStr">
        <is>
          <t>179 24</t>
        </is>
      </c>
      <c r="D317" s="143" t="inlineStr">
        <is>
          <t>WATER SUPPLY TRNG AREA</t>
        </is>
      </c>
      <c r="E317" s="143" t="inlineStr">
        <is>
          <t>AC</t>
        </is>
      </c>
      <c r="F317" s="143" t="n"/>
      <c r="G317" s="143" t="n"/>
      <c r="H317" s="143" t="n"/>
      <c r="I317" s="143" t="inlineStr">
        <is>
          <t>A WATER SUPPLY TRAINING AREA IS PARTIALLY IMPROVED LAND FOR PERFORMING WATER PURIFICATION AND STORAGE OPERATIONS. IT SHOULD BE LOCATED ON A FLOWING STREAM WITH FIRM BANKS AND ALL-WEATHER ACCESS ROADS.</t>
        </is>
      </c>
    </row>
    <row r="318">
      <c r="C318" s="143" t="inlineStr">
        <is>
          <t>179 25</t>
        </is>
      </c>
      <c r="D318" s="143" t="inlineStr">
        <is>
          <t>AFLD SITE SEL TRNG AREA</t>
        </is>
      </c>
      <c r="E318" s="143" t="inlineStr">
        <is>
          <t>AC</t>
        </is>
      </c>
      <c r="F318" s="143" t="n"/>
      <c r="G318" s="143" t="n"/>
      <c r="H318" s="143" t="n"/>
      <c r="I318" s="143" t="inlineStr">
        <is>
          <t>AN AIRFIELD SITE SELECTION TRAINING AREA IS CLEARED LAND USED TO TRAIN SOLDIERS IN THE FUNDAMENTALS OF SELECTING AND SECURING A SITE SUITABLE FOR TAKEOFFS AND PARKING OF ROTARY- WING AIRCRAFT.</t>
        </is>
      </c>
    </row>
    <row r="319">
      <c r="C319" s="143" t="inlineStr">
        <is>
          <t>179 26</t>
        </is>
      </c>
      <c r="D319" s="143" t="inlineStr">
        <is>
          <t>AERIAL GUNNERY RANGE</t>
        </is>
      </c>
      <c r="E319" s="143" t="inlineStr">
        <is>
          <t>AC</t>
        </is>
      </c>
      <c r="F319" s="143" t="n"/>
      <c r="G319" s="143" t="n"/>
      <c r="H319" s="143" t="n"/>
      <c r="I319" s="143" t="inlineStr">
        <is>
          <t>AN AERIAL GUNNERY RANGE IS DESIGNED TO SUPPORT THE TRAINING AND QUALIFICATION REQUIREMENTS OF HELICOPTER GUNNERY. THIS RANGE IS USED TO TRAIN AND TEST HELICOPTER CREWS ON THE SKILLS NECESSARY TO DETECT, IDENTIFY, ENGAGE, AND HIT STATIONARY ARMOR AND INFANTRY TARGETS IN A TACTICAL ARRAY.</t>
        </is>
      </c>
    </row>
    <row r="320">
      <c r="C320" s="143" t="inlineStr">
        <is>
          <t>179 30</t>
        </is>
      </c>
      <c r="D320" s="143" t="inlineStr">
        <is>
          <t>SURFACE PROJECTILE RANGE</t>
        </is>
      </c>
      <c r="E320" s="143" t="inlineStr">
        <is>
          <t>EA</t>
        </is>
      </c>
      <c r="F320" s="143" t="n"/>
      <c r="G320" s="143" t="n"/>
      <c r="H320" s="143" t="n"/>
      <c r="I320" s="143" t="inlineStr">
        <is>
          <t>THIS CODE IS FOR RANGES SUPPORTING SURFACE-LAUNCHED PROJECTILES AS OPPOSED TO RANGES FOR AIR-LAUNCHED PROJECTILES WHICH ARE CODED AS CATEGORY CODE 179 10. CRITERIA ARE NOT PRESENTLY AVAILABLE FOR SURFACE PROJECTILE RANGE REQUIREMENTS.</t>
        </is>
      </c>
    </row>
    <row r="321">
      <c r="C321" s="143" t="inlineStr">
        <is>
          <t>179 31</t>
        </is>
      </c>
      <c r="D321" s="143" t="inlineStr">
        <is>
          <t>MED HVY EQUIP TRNG AREA</t>
        </is>
      </c>
      <c r="E321" s="143" t="inlineStr">
        <is>
          <t>AC</t>
        </is>
      </c>
      <c r="F321" s="143" t="n"/>
      <c r="G321" s="143" t="n"/>
      <c r="H321" s="143" t="n"/>
      <c r="I321" s="143" t="inlineStr">
        <is>
          <t>A MEDIUM HEAVY EQUIPMENT TRAINING AREA IS AN UNIMPROVED AREA FOR TRAINING IN PLACEMENT, COMPACTION, AND GRADING OF FILL, AND TRAINING IN CONSTRUCTION OF DRAINAGE STRUCTURES.</t>
        </is>
      </c>
    </row>
    <row r="322">
      <c r="C322" s="143" t="inlineStr">
        <is>
          <t>179 32</t>
        </is>
      </c>
      <c r="D322" s="143" t="inlineStr">
        <is>
          <t>DECON TRAINING SITE</t>
        </is>
      </c>
      <c r="E322" s="143" t="inlineStr">
        <is>
          <t>AC</t>
        </is>
      </c>
      <c r="F322" s="143" t="n"/>
      <c r="G322" s="143" t="n"/>
      <c r="H322" s="143" t="n"/>
      <c r="I322" s="143" t="inlineStr">
        <is>
          <t>A DECONTAMINATION TRAINING SITE IS AN AREA CONSISTING OF A PIT FILLED WITH ROCK WITH AN ATTACHED ROCK- FILLED SUMP TO A DRAIN BED. THIS STRUCTURE IS USED PRIMARILY FOR VEHICLE DECONTAMINATION TRAINING.</t>
        </is>
      </c>
    </row>
    <row r="323">
      <c r="C323" s="143" t="inlineStr">
        <is>
          <t>179 33</t>
        </is>
      </c>
      <c r="D323" s="143" t="inlineStr">
        <is>
          <t>POL TRAINING AREA</t>
        </is>
      </c>
      <c r="E323" s="143" t="inlineStr">
        <is>
          <t>AC</t>
        </is>
      </c>
      <c r="F323" s="143" t="n"/>
      <c r="G323" s="143" t="n"/>
      <c r="H323" s="143" t="n"/>
      <c r="I323" s="143" t="inlineStr">
        <is>
          <t>A POL TRAINING AREA IS A MATERIALS HANDLING AREA FOR TRAINING PERSONNEL IN THE PROPER HANDLING OF PETROLEUM, OILS, AND LUBRICANTS. ALSO USED FOR ASSEMBLY AND TRAINING IN VARIOUS POL STORAGE AND DISTRIBUTION SYSTEMS.</t>
        </is>
      </c>
    </row>
    <row r="324">
      <c r="C324" s="143" t="inlineStr">
        <is>
          <t>179 35</t>
        </is>
      </c>
      <c r="D324" s="143" t="inlineStr">
        <is>
          <t>WEAPONS RANGE OPS TOWER</t>
        </is>
      </c>
      <c r="E324" s="143" t="inlineStr">
        <is>
          <t>EA</t>
        </is>
      </c>
      <c r="F324" s="143" t="n"/>
      <c r="G324" s="143" t="n"/>
      <c r="H324" s="143" t="n"/>
      <c r="I324" s="143" t="inlineStr">
        <is>
          <t>RANGE OPERATIONS TOWERS ARE USED AT GUNNERY, BOMBING, AND ROCKET RANGES TO PROVIDE AN UNOBSTRUCTED VIEW OF TARGET AREAS FOR PURPOSES OF CONTROL AND SPOTTING IMPACTS.</t>
        </is>
      </c>
    </row>
    <row r="325">
      <c r="C325" s="143" t="inlineStr">
        <is>
          <t>179 36</t>
        </is>
      </c>
      <c r="D325" s="143" t="inlineStr">
        <is>
          <t>CLOSE AIR SUPPORT RANGE</t>
        </is>
      </c>
      <c r="E325" s="143" t="inlineStr">
        <is>
          <t>AC</t>
        </is>
      </c>
      <c r="F325" s="143" t="n"/>
      <c r="G325" s="143" t="n"/>
      <c r="H325" s="143" t="n"/>
      <c r="I325" s="143" t="inlineStr">
        <is>
          <t>A CLOSE AIR SUPPORT RANGE IS DESIGNED TO SUPPORT THE TRAINING AND QUALIFICATION REQUIREMENTS OF CLOSE AIR SUPPORT AIRCRAFT. THIS RANGE IS USED TO TRAIN AND TEST AIRCRAFT CREWS ON THE SKILLS NECESSARY TO PROVIDE AIR SUPPORT TO GROUND FORCES UNDER VARYING CONDITIONS.</t>
        </is>
      </c>
    </row>
    <row r="326">
      <c r="C326" s="143" t="inlineStr">
        <is>
          <t>179 37</t>
        </is>
      </c>
      <c r="D326" s="143" t="inlineStr">
        <is>
          <t>AERIAL BOMBING RANGE</t>
        </is>
      </c>
      <c r="E326" s="143" t="inlineStr">
        <is>
          <t>AC</t>
        </is>
      </c>
      <c r="F326" s="143" t="n"/>
      <c r="G326" s="143" t="n"/>
      <c r="H326" s="143" t="n"/>
      <c r="I326" s="143" t="inlineStr">
        <is>
          <t>AN AERIAL BOMBING RANGE IS DESIGNED TO SUPPORT THE TRAINING AND QUALIFICATION REQUIREMENTS FOR FIXED-WING AIRCRAFT DROPPING THEIR ORDNANCE. THIS RANGE IS USED TO TRAIN AND TEST AIRCRAFT CREWS ON THE SKILLS NECESSARY TO DETECT AND SUPPRESS ENEMY TARGETS IN A TACTICAL ARRAY.</t>
        </is>
      </c>
    </row>
    <row r="327">
      <c r="C327" s="143" t="inlineStr">
        <is>
          <t>179 40</t>
        </is>
      </c>
      <c r="D327" s="143" t="inlineStr">
        <is>
          <t>SMALL ARMS RANGE - OUTDOOR</t>
        </is>
      </c>
      <c r="E327" s="143" t="inlineStr">
        <is>
          <t>EA</t>
        </is>
      </c>
      <c r="F327" s="143" t="n"/>
      <c r="G327" s="143" t="n"/>
      <c r="H327" s="143" t="n"/>
      <c r="I327" s="143" t="inlineStr">
        <is>
          <t>A SMALL ARMS RANGE PROVIDES AN AREA FOR TRAINING IN THE USE OF PISTOLS, SMALL CALIBER RIFLES, AND SMALL CALIBER MACHINE GUNS. RANGES MUST BE AVAILABLE ALL YEAR TO PROVIDE CONTINUAL TRAINING AND RETRAINING FOR PERSONNEL WHO MUST BE PROFICIENT IN THE USE OF SMALL ARMS.</t>
        </is>
      </c>
    </row>
    <row r="328">
      <c r="C328" s="143" t="inlineStr">
        <is>
          <t>179 41</t>
        </is>
      </c>
      <c r="D328" s="143" t="inlineStr">
        <is>
          <t>AIR DEF MISSILE FRNG RANGE</t>
        </is>
      </c>
      <c r="E328" s="143" t="inlineStr">
        <is>
          <t>AC</t>
        </is>
      </c>
      <c r="F328" s="143" t="n"/>
      <c r="G328" s="143" t="n"/>
      <c r="H328" s="143" t="n"/>
      <c r="I328" s="143" t="inlineStr">
        <is>
          <t>AN AIR DEFENSE MISSILE FIRING RANGE IS DESIGNED TO MEET TRAINING AND QUALIFICATION REQUIREMENTS OF AIR DEFENSE (LAAD/STINGER) UNITS. THIS RANGE IS USED TO TRAIN AND TEST CREWS ON THE SKILLS NECESSARY TO EMPLOY GROUND TO AIR ANTI- AIRCRAFT MISSILES AGAINST BALLISTIC AERIAL TARGET SYSTEMS (BATS).</t>
        </is>
      </c>
    </row>
    <row r="329">
      <c r="C329" s="143" t="inlineStr">
        <is>
          <t>179 45</t>
        </is>
      </c>
      <c r="D329" s="143" t="inlineStr">
        <is>
          <t>TRAINING MOCK- UPS</t>
        </is>
      </c>
      <c r="E329" s="143" t="inlineStr">
        <is>
          <t>EA</t>
        </is>
      </c>
      <c r="F329" s="143" t="n"/>
      <c r="G329" s="143" t="n"/>
      <c r="H329" s="143" t="n"/>
      <c r="I329" s="143" t="inlineStr">
        <is>
          <t>THIS CODE INCLUDES MOCKUP STRUCTURES REPRESENTING ALL OR PARTS OF SHIPS, AIRCRAFT, TANKS, OR BUILDINGS FOR TRAINING PERSONNEL IN SKILLS SUCH AS DISASTER CONTROL, FIRE FIGHTING, AND EQUIPMENT HANDLING.</t>
        </is>
      </c>
    </row>
    <row r="330">
      <c r="C330" s="143" t="inlineStr">
        <is>
          <t>179 50</t>
        </is>
      </c>
      <c r="D330" s="143" t="inlineStr">
        <is>
          <t>TRAINING COURSE</t>
        </is>
      </c>
      <c r="E330" s="143" t="inlineStr">
        <is>
          <t>AC</t>
        </is>
      </c>
      <c r="F330" s="143" t="n"/>
      <c r="G330" s="143" t="n"/>
      <c r="H330" s="143" t="n"/>
      <c r="I330" s="143" t="inlineStr">
        <is>
          <t>THIS CODE INCLUDES AREAS DESIGNATED FOR PERSONNEL TRAINING IN VARIOUS SKILLS UNDER ACTUAL OPERATIONAL CONDITIONS. TABLE 17950-1 OUTLINES THE FACILITIES OF THIS GROUP AND APPROXIMATE REQUIREMENTS.</t>
        </is>
      </c>
    </row>
    <row r="331">
      <c r="C331" s="143" t="inlineStr">
        <is>
          <t>179 51</t>
        </is>
      </c>
      <c r="D331" s="143" t="inlineStr">
        <is>
          <t>FF AND RESCUE TRNG AREA</t>
        </is>
      </c>
      <c r="E331" s="143" t="inlineStr">
        <is>
          <t>AC</t>
        </is>
      </c>
      <c r="F331" s="143" t="n"/>
      <c r="G331" s="143" t="n"/>
      <c r="H331" s="143" t="n"/>
      <c r="I331" s="143" t="inlineStr">
        <is>
          <t>A FIRE FIGHTING AND RESCUE TRAINING AREA IS A STRUCTURE CONSISTING OF A MOCKUP OF A MULTISTORY BUILDING OR AN AIRCRAFT FOR TRAINING IN FIRE CONTAINMENT, LADDER USE, ESCAPE, AND RESCUE FROM BUILDINGS.</t>
        </is>
      </c>
    </row>
    <row r="332">
      <c r="C332" s="143" t="inlineStr">
        <is>
          <t>179 55</t>
        </is>
      </c>
      <c r="D332" s="143" t="inlineStr">
        <is>
          <t>COMBAT TRAIN'G POOL/TANK</t>
        </is>
      </c>
      <c r="E332" s="143" t="inlineStr">
        <is>
          <t>EA</t>
        </is>
      </c>
      <c r="F332" s="143" t="n"/>
      <c r="G332" s="143" t="n"/>
      <c r="H332" s="143" t="n"/>
      <c r="I332" s="143" t="inlineStr">
        <is>
          <t>A COMBAT TRAINING POOL/TANK IS PLANNED FOR INSTRUCTIONS IN SWIMMING AND SURVIVAL UNDER COMBAT CONDITIONS. THE SWIMMING POOL/TANK MAY BE PROVIDED ONLY AS REQUIRED FOR TRAINING PURPOSES,</t>
        </is>
      </c>
    </row>
    <row r="333">
      <c r="C333" s="143" t="inlineStr">
        <is>
          <t>179 60</t>
        </is>
      </c>
      <c r="D333" s="143" t="inlineStr">
        <is>
          <t>Parade and Drill Field</t>
        </is>
      </c>
      <c r="E333" s="143" t="inlineStr">
        <is>
          <t>AC</t>
        </is>
      </c>
      <c r="F333" s="143" t="inlineStr">
        <is>
          <t>see notes</t>
        </is>
      </c>
      <c r="G333" s="143" t="inlineStr">
        <is>
          <t>1 AC per 125 personnel.</t>
        </is>
      </c>
      <c r="H333" s="143" t="n">
        <v>1</v>
      </c>
      <c r="I333" s="143" t="inlineStr">
        <is>
          <t>Personnel using field</t>
        </is>
      </c>
    </row>
    <row r="334">
      <c r="C334" s="143" t="inlineStr">
        <is>
          <t>179 61</t>
        </is>
      </c>
      <c r="D334" s="143" t="inlineStr">
        <is>
          <t>COMBAT IN CITIES FACILITY</t>
        </is>
      </c>
      <c r="E334" s="143" t="inlineStr">
        <is>
          <t>AC</t>
        </is>
      </c>
      <c r="F334" s="143" t="n"/>
      <c r="G334" s="143" t="n"/>
      <c r="H334" s="143" t="n"/>
      <c r="I334" s="143" t="inlineStr">
        <is>
          <t>A COMBAT IN CITIES FACILITY IS A NON-STANDARD TRAINING FACILITY THAT TYPICALLY INCLUDES THE BUILDINGS, ROADS, AND SIDEWALKS NORMALLY FOUND IN AN URBAN ENVIRONMENT, AND WHICH IS USED TO TRAIN AND SUSTAIN UNIT PROFICIENCY IN AN URBAN ENVIRONMENT.</t>
        </is>
      </c>
    </row>
    <row r="335">
      <c r="C335" s="143" t="inlineStr">
        <is>
          <t>179 62</t>
        </is>
      </c>
      <c r="D335" s="143" t="inlineStr">
        <is>
          <t>MOUT COLLECTIVE(SMALL )</t>
        </is>
      </c>
      <c r="E335" s="143" t="inlineStr">
        <is>
          <t>AC</t>
        </is>
      </c>
      <c r="F335" s="143" t="n"/>
      <c r="G335" s="143" t="n"/>
      <c r="H335" s="143" t="n"/>
      <c r="I335" s="143" t="inlineStr">
        <is>
          <t>A MOUT COLLECTIVE TRAINING FACILITY (SMALL) IS DESIGNED TO MEET THE TRAINING REQUIREMENTS OF AN INFANTRY COMPANY-SIZED UNIT IN AN URBAN ENVIRONMENT. THIS STRUCTURE CONTAINS 24 BUILDINGS OR LESS AND IS USED TO TRAIN UNIT COLLECTIVE TASKS ASSOCIATED WITH URBAN TERRAIN.</t>
        </is>
      </c>
    </row>
    <row r="336">
      <c r="C336" s="143" t="inlineStr">
        <is>
          <t>179 63</t>
        </is>
      </c>
      <c r="D336" s="143" t="inlineStr">
        <is>
          <t>MOUT COLLECTIVE (LARGE)</t>
        </is>
      </c>
      <c r="E336" s="143" t="inlineStr">
        <is>
          <t>SF</t>
        </is>
      </c>
      <c r="F336" s="143" t="n"/>
      <c r="G336" s="143" t="n"/>
      <c r="H336" s="143" t="n"/>
      <c r="I336" s="143" t="inlineStr">
        <is>
          <t>A MOUT COLLECTIVE TRAINING FACILITY (LARGE) IS DESIGNED TO MEET THE TRAINING REQUIREMENTS OF AN INFANTRY BATTALION-SIZED UNIT IN AN URBAN ENVIRONMENT. THIS STRUCTURE CONTAINS MORE THAN 24 BUILDINGS AND IS USED TO TRAIN UNIT COLLECTIVE TASKS ASSOCIATED WITH URBAN TERRAIN.</t>
        </is>
      </c>
    </row>
    <row r="337">
      <c r="C337" s="143" t="inlineStr">
        <is>
          <t>179 70</t>
        </is>
      </c>
      <c r="D337" s="143" t="inlineStr">
        <is>
          <t>RADAR BOMB SCORING RANGE</t>
        </is>
      </c>
      <c r="E337" s="143" t="inlineStr">
        <is>
          <t>EA</t>
        </is>
      </c>
      <c r="F337" s="143" t="n"/>
      <c r="G337" s="143" t="n"/>
      <c r="H337" s="143" t="n"/>
      <c r="I337" s="143" t="inlineStr">
        <is>
          <t>A RADAR BOMB SCORING FACILITY (RBS) IS USED TO MEASURE, ELECTRONICALLY, AIRCRAFT SIMULATED-BOMBING RESULTS AND TO PRODUCE GRAPHIC FLIGHT PATH TRACKING DATA AND OTHER PERTINENT AIRCRAFT TARGET SCORING INFORMATION.</t>
        </is>
      </c>
    </row>
    <row r="338">
      <c r="C338" s="143" t="inlineStr">
        <is>
          <t>179 71</t>
        </is>
      </c>
      <c r="D338" s="143" t="inlineStr">
        <is>
          <t>ELECTRONIC WAR TRNG RNGE</t>
        </is>
      </c>
      <c r="E338" s="143" t="inlineStr">
        <is>
          <t>EA</t>
        </is>
      </c>
      <c r="F338" s="143" t="n"/>
      <c r="G338" s="143" t="n"/>
      <c r="H338" s="143" t="n"/>
      <c r="I338" s="143" t="inlineStr">
        <is>
          <t>TRAINING RANGE FOR USING REMOTE CONTROLLED EQUIPMENT SUCH AS ROBOTS FOR EOD TRAINING.</t>
        </is>
      </c>
    </row>
    <row r="339">
      <c r="C339" s="143" t="inlineStr">
        <is>
          <t>179 72</t>
        </is>
      </c>
      <c r="D339" s="143" t="inlineStr">
        <is>
          <t>UNDWTR TRACKG/TRNG RNGE</t>
        </is>
      </c>
      <c r="E339" s="143" t="inlineStr">
        <is>
          <t>EA</t>
        </is>
      </c>
      <c r="F339" s="143" t="n"/>
      <c r="G339" s="143" t="n"/>
      <c r="H339" s="143" t="n"/>
      <c r="I339" s="143" t="inlineStr">
        <is>
          <t>THE UNDERWATER TRACKING RANGE IS USED TO SUPPORT SURFACE AND SUBSURFACE WEAPON SYSTEM ACCURACY TRIALS AND DEVELOPMENT, TEST, AND EVALUATION PROJECTS. PLANNING FACTORS, STANDARDS, AND GUIDES FOR COMPUTING REQUIREMENTS FOR FACILITIES UNDER THIS CATEGORY ARE EXCLUDED FROM THIS PUB BECAUSE OF THE SPECIAL PROVISIONS AND VARIANCES IN THE APPLICATION OF CRITERIA FOR PLANNING UNDERWATER TRACKING RANGES.</t>
        </is>
      </c>
    </row>
    <row r="340">
      <c r="C340" s="143" t="inlineStr">
        <is>
          <t>179 81</t>
        </is>
      </c>
      <c r="D340" s="143" t="inlineStr">
        <is>
          <t>Infiltration Course</t>
        </is>
      </c>
      <c r="E340" s="143" t="inlineStr">
        <is>
          <t>AC</t>
        </is>
      </c>
      <c r="F340" s="143" t="inlineStr">
        <is>
          <t>see notes</t>
        </is>
      </c>
      <c r="G340" s="143" t="inlineStr">
        <is>
          <t>1 firing position per path/trail for 1 Marine.</t>
        </is>
      </c>
      <c r="H340" s="143" t="n">
        <v>1</v>
      </c>
      <c r="I340" s="143" t="inlineStr">
        <is>
          <t># of firing positions</t>
        </is>
      </c>
    </row>
    <row r="341">
      <c r="C341" s="143" t="inlineStr">
        <is>
          <t>179 91</t>
        </is>
      </c>
      <c r="D341" s="143" t="inlineStr">
        <is>
          <t>Confidence Course</t>
        </is>
      </c>
      <c r="E341" s="143" t="inlineStr">
        <is>
          <t>AC</t>
        </is>
      </c>
      <c r="F341" s="143" t="n">
        <v>1</v>
      </c>
      <c r="G341" s="143" t="inlineStr">
        <is>
          <t>1 EA per complete course.</t>
        </is>
      </c>
      <c r="H341" s="143" t="n">
        <v>1</v>
      </c>
      <c r="I341" s="143" t="inlineStr">
        <is>
          <t># of courses</t>
        </is>
      </c>
    </row>
    <row r="342">
      <c r="C342" s="143" t="inlineStr">
        <is>
          <t>179 92</t>
        </is>
      </c>
      <c r="D342" s="143" t="inlineStr">
        <is>
          <t>Obstacle Course</t>
        </is>
      </c>
      <c r="E342" s="143" t="inlineStr">
        <is>
          <t>AC</t>
        </is>
      </c>
      <c r="F342" s="143" t="inlineStr">
        <is>
          <t>see notes</t>
        </is>
      </c>
      <c r="G342" s="143" t="inlineStr">
        <is>
          <t>Case-by-case.</t>
        </is>
      </c>
      <c r="H342" s="143" t="n">
        <v>1</v>
      </c>
      <c r="I342" s="143" t="inlineStr">
        <is>
          <t># of courses</t>
        </is>
      </c>
    </row>
    <row r="343">
      <c r="C343" s="143" t="inlineStr">
        <is>
          <t>211 01</t>
        </is>
      </c>
      <c r="D343" s="143" t="inlineStr">
        <is>
          <t>AIRCRAFT ENGINE TEST BLDG</t>
        </is>
      </c>
      <c r="E343" s="143" t="inlineStr">
        <is>
          <t>SF</t>
        </is>
      </c>
      <c r="F343" s="143" t="n"/>
      <c r="G343" s="143" t="n"/>
      <c r="H343" s="143" t="n"/>
      <c r="I343" s="143" t="inlineStr">
        <is>
          <t>A BUILDING OR UTILIZATION IN A BUILDING USED AS AN ENGINE TEST CELL FOR EITHER IN-FRAME OR OUT- OF-FRAME ENGINE TESTING. SOMETIMES REFERRED TO AS A "HUSH HOUSE."</t>
        </is>
      </c>
    </row>
    <row r="344">
      <c r="C344" s="143" t="inlineStr">
        <is>
          <t>211 03</t>
        </is>
      </c>
      <c r="D344" s="143" t="inlineStr">
        <is>
          <t>CORROSION CONTROL HANGAR</t>
        </is>
      </c>
      <c r="E344" s="143" t="inlineStr">
        <is>
          <t>SF</t>
        </is>
      </c>
      <c r="F344" s="143" t="n"/>
      <c r="G344" s="143" t="n"/>
      <c r="H344" s="143" t="n"/>
      <c r="I344" s="143" t="inlineStr">
        <is>
          <t>THIS HANGAR PROVIDES SPACE FOR WASHING, RINSING, PAINT STRIPPING, CORROSION REMOVAL, PROTECTIVE COATING AND PAINTING OF AIRCRAFT AT THE INTERMEDIATE AND ORGANIZATIONAL MAINTENANCE LEVELS.</t>
        </is>
      </c>
    </row>
    <row r="345">
      <c r="C345" s="143" t="inlineStr">
        <is>
          <t>211 04</t>
        </is>
      </c>
      <c r="D345" s="143" t="inlineStr">
        <is>
          <t>PRE-ENGIN MAINTENCE HANGAR</t>
        </is>
      </c>
      <c r="E345" s="143" t="inlineStr">
        <is>
          <t>SF</t>
        </is>
      </c>
      <c r="F345" s="143" t="n"/>
      <c r="G345" s="143" t="n"/>
      <c r="H345" s="143" t="n"/>
      <c r="I345" s="143" t="inlineStr">
        <is>
          <t>THIS PRE-ENGINEERED MAINTENANCE HANGAR PROVIDES A FACILITY FOR AN ORGANIZATIONAL LEVEL MAINTENANCE OF NAVY AND MARINE CORPS AIRCRAFT. ITS INTENDED USE IS PRIMARILY AT OVERSEAS LOCATIONS FOR THE SUPPORT OF A DETACHMENT SIZE UNIT OF FROM THREE TO FIVE AIRCRAFT.</t>
        </is>
      </c>
    </row>
    <row r="346">
      <c r="C346" s="143" t="inlineStr">
        <is>
          <t>211 05</t>
        </is>
      </c>
      <c r="D346" s="143" t="inlineStr">
        <is>
          <t>MAINT HANGAR-O/H SPACE</t>
        </is>
      </c>
      <c r="E346" s="143" t="inlineStr">
        <is>
          <t>SF</t>
        </is>
      </c>
      <c r="F346" s="143" t="n"/>
      <c r="G346" s="143" t="n"/>
      <c r="H346" s="143" t="n"/>
      <c r="I346" s="143" t="inlineStr">
        <is>
          <t>MAINTENANCE HANGARS ARE REQUIRED TO PROVIDE WEATHER-PROTECTED SHELTER FOR THE SERVICING AND REPAIR OF NAVY AND MARINE CORPS AIRCRAFT AT THE ORGANIZATIONAL LEVEL AND EMERGENCY SHELTER FOR OPERABLE AIRCRAFT.</t>
        </is>
      </c>
    </row>
    <row r="347">
      <c r="C347" s="143" t="inlineStr">
        <is>
          <t>211 06</t>
        </is>
      </c>
      <c r="D347" s="143" t="inlineStr">
        <is>
          <t>MAINT HANGAR-01 SPACE</t>
        </is>
      </c>
      <c r="E347" s="143" t="inlineStr">
        <is>
          <t>SF</t>
        </is>
      </c>
      <c r="F347" s="143" t="n"/>
      <c r="G347" s="143" t="n"/>
      <c r="H347" s="143" t="n"/>
      <c r="I347" s="143" t="inlineStr">
        <is>
          <t>(01) IN ADDITION TO PROVIDING A WEATHER-PROTECTED SHELTER FOR THE SERVICING AND REPAIR OF NAVY AND MARINE CORPS AIRCRAFT AT THE ORGANIZATIONAL LEVEL AND EMERGENCY SHELTER FOR OPERABLE AIRCRAFT, IT ALSO CONTAINS SPACE FOR CREW AND EQUIPMENT.</t>
        </is>
      </c>
    </row>
    <row r="348">
      <c r="C348" s="143" t="inlineStr">
        <is>
          <t>211 07</t>
        </is>
      </c>
      <c r="D348" s="143" t="inlineStr">
        <is>
          <t>MAINT HANGAR-02 SPACE</t>
        </is>
      </c>
      <c r="E348" s="143" t="inlineStr">
        <is>
          <t>SF</t>
        </is>
      </c>
      <c r="F348" s="143" t="n"/>
      <c r="G348" s="143" t="n"/>
      <c r="H348" s="143" t="n"/>
      <c r="I348" s="143" t="inlineStr">
        <is>
          <t>(02) IN ADDITION TO PROVIDING A WEATHER-PROTECTED SHELTER FOR THE SERVICING AND REPAIR OF NAVY AND MARINE CORPS AIRCRAFT AT THE ORGANIZATIONAL LEVEL AND EMERGENCY SHELTER FOR OPERABLE AIRCRAFT, IT ALSO CONTAINS ADMINISTRATIVE SPACE.</t>
        </is>
      </c>
    </row>
    <row r="349">
      <c r="C349" s="143" t="inlineStr">
        <is>
          <t>211 08</t>
        </is>
      </c>
      <c r="D349" s="143" t="inlineStr">
        <is>
          <t>AIRFRAMES SHOP (NON-DEPOT)</t>
        </is>
      </c>
      <c r="E349" s="143" t="inlineStr">
        <is>
          <t>SF</t>
        </is>
      </c>
      <c r="F349" s="143" t="n"/>
      <c r="G349" s="143" t="n"/>
      <c r="H349" s="143" t="n"/>
      <c r="I349" s="143" t="inlineStr">
        <is>
          <t>AN INTERMEDIATE MAINTENANCE LEVEL IS REQUIRED AT NAVY AND MARINE CORPS AIR INSTALLATIONS FOR THE TESTING, MAINTENANCE AND REPAIR OF AIRFRAMES COMPONENTS. THIS SECTION PROVIDES THE METHOD FOR DETERMINING THE SPACE REQUIREMENTS FOR THIS DIVISION. THE PRIMARY FUNCTION OF THE AIRFRAMES SHOP IS TO REPAIR AIRCRAFT BOTH STRUCTURAL AND HYDRAULIC.</t>
        </is>
      </c>
    </row>
    <row r="350">
      <c r="C350" s="143" t="inlineStr">
        <is>
          <t>211 09</t>
        </is>
      </c>
      <c r="D350" s="143" t="inlineStr">
        <is>
          <t>AIRCRAFT BORESIGHT RANGE</t>
        </is>
      </c>
      <c r="E350" s="143" t="inlineStr">
        <is>
          <t>EA</t>
        </is>
      </c>
      <c r="F350" s="143" t="n"/>
      <c r="G350" s="143" t="n"/>
      <c r="H350" s="143" t="n"/>
      <c r="I350" s="143" t="inlineStr">
        <is>
          <t>ONE AIRCRAFT BORESIGHT RANGE IS REQUIRED AT NAVY AND MARINE CORPS AIR INSTALLATIONS THAT SERVICE AIRCRAFT EQUIPPED WITH FIXED GUNS OR GUN PODS. A TAXIWAY, CATEGORY CODE 112 10 IS REQUIRED FOR ACCESS TO THIS FACILITY. AN AIRCRAFT PARKING APRON WITH TIE-DOWNS, CATEGORY CODE 113 20 IS REQUIRED TO PARK AND SECURE THE AIRCRAFT DURING GUN ALIGNMENT.</t>
        </is>
      </c>
    </row>
    <row r="351">
      <c r="C351" s="143" t="inlineStr">
        <is>
          <t>211 10</t>
        </is>
      </c>
      <c r="D351" s="143" t="inlineStr">
        <is>
          <t>A/C OVERHAUL &amp; REPAIR SHOP</t>
        </is>
      </c>
      <c r="E351" s="143" t="inlineStr">
        <is>
          <t>SF</t>
        </is>
      </c>
      <c r="F351" s="143" t="n"/>
      <c r="G351" s="143" t="n"/>
      <c r="H351" s="143" t="n"/>
      <c r="I351" s="143" t="inlineStr">
        <is>
          <t>AN AIRCRAFT OVERHAUL AND REPAIR SHOP IS REQUIRED FOR THE AIRFRAME PRODUCTION SHOP OF THE NAVAL AIR DEPOT (NAVAIR DEPOT). THERE ARE GENERALLY TWO TYPES OF AIRCRAFT OVERHAUL AND REPAIR SHOPS. ONE SUPPORTS AIRCRAFT OVERHAUL AND REPAIR OF TRAINER AIRCRAFT, FIGHTER AIRCRAFT, AND HELICOPTERS AND ONE SUPPORTS AIRCRAFT OVERHAUL AND REPAIR OF CARGO, TRANSPORT, AND PATROL AIRCRAFT.</t>
        </is>
      </c>
    </row>
    <row r="352">
      <c r="C352" s="143" t="inlineStr">
        <is>
          <t>211 11</t>
        </is>
      </c>
      <c r="D352" s="143" t="inlineStr">
        <is>
          <t>COROSION CONTRL- CLEAN SHOP</t>
        </is>
      </c>
      <c r="E352" s="143" t="inlineStr">
        <is>
          <t>SF</t>
        </is>
      </c>
      <c r="F352" s="143" t="n"/>
      <c r="G352" s="143" t="n"/>
      <c r="H352" s="143" t="n"/>
      <c r="I352" s="143" t="inlineStr">
        <is>
          <t>THIS SHOP IS REQUIRED TO PROVIDE SPACE FOR AIRCRAFT CORROSION CONTROL AND DECONTAMINATION FACILITIES DESIGNED FOR CLEANING, PAINT STRIPPING, ETC., OF THE COMPLETE AIRCRAFT FOR THE AIRFRAME PRODUCTION SHOP OF THE NAVAL AIR DEPOT (NAVAIR DEPOT).</t>
        </is>
      </c>
    </row>
    <row r="353">
      <c r="C353" s="143" t="inlineStr">
        <is>
          <t>211 12</t>
        </is>
      </c>
      <c r="D353" s="143" t="inlineStr">
        <is>
          <t>PAINT &amp; FINISHING HANGAR</t>
        </is>
      </c>
      <c r="E353" s="143" t="inlineStr">
        <is>
          <t>SF</t>
        </is>
      </c>
      <c r="F353" s="143" t="n"/>
      <c r="G353" s="143" t="n"/>
      <c r="H353" s="143" t="n"/>
      <c r="I353" s="143" t="inlineStr">
        <is>
          <t>THIS HANGER IS REQUIRED FOR THE AIRFRAME PRODUCTION SHOP OF THE NAVAL AIR DEPOT (NAVAIR DEPOT). THIS FACILITY PROVIDES SPACE TO REPAINT AN ENTIRE AIRCRAFT.</t>
        </is>
      </c>
    </row>
    <row r="354">
      <c r="C354" s="143" t="inlineStr">
        <is>
          <t>211 13</t>
        </is>
      </c>
      <c r="D354" s="143" t="inlineStr">
        <is>
          <t>A/C NON-DESTRUCT TEST SHP</t>
        </is>
      </c>
      <c r="E354" s="143" t="inlineStr">
        <is>
          <t>SF</t>
        </is>
      </c>
      <c r="F354" s="143" t="n"/>
      <c r="G354" s="143" t="n"/>
      <c r="H354" s="143" t="n"/>
      <c r="I354" s="143" t="inlineStr">
        <is>
          <t>THIS SHOP IS REQUIRED TO PROVIDE SPACE FOR THE NON-DESTRUCTIVE INSPECTION OF AIRFRAMES FOR THE AIRFRAME PRODUCTION SHOP OF THE NAVAL AIR DEPOT (NAVAIR DEPOT).</t>
        </is>
      </c>
    </row>
    <row r="355">
      <c r="C355" s="143" t="inlineStr">
        <is>
          <t>211 14</t>
        </is>
      </c>
      <c r="D355" s="143" t="inlineStr">
        <is>
          <t>AIRCRAFT REWORK SHOP</t>
        </is>
      </c>
      <c r="E355" s="143" t="inlineStr">
        <is>
          <t>SF</t>
        </is>
      </c>
      <c r="F355" s="143" t="n"/>
      <c r="G355" s="143" t="n"/>
      <c r="H355" s="143" t="n"/>
      <c r="I355" s="143" t="inlineStr">
        <is>
          <t>THIS IS THE AIRFRAME PRODUCTION SHOP OF THE NAVAL AIR DEPOT, WHICH INCLUDES AN AIRFRAME DEDICATED MACHINE SHOP, WELDING SHOP, PLATING SHOP, EXAMINATION AND EVALUATION, PRE-SHOP ANALYSIS, EXAMINATION AND INSPECTION SHOP, MAINTENANCE DOCK, QUICK ENGINE CHANGE SHOP ¿ (USED FOR QUICK ENGINE CHANGE AND ENGINE BUILD-UP INCLUDING DIESEL AND RESEAL OPERATIONS AND FUEL SYSTEMS MAINTENANCE FACILITIES).</t>
        </is>
      </c>
    </row>
    <row r="356">
      <c r="C356" s="143" t="inlineStr">
        <is>
          <t>211 15</t>
        </is>
      </c>
      <c r="D356" s="143" t="inlineStr">
        <is>
          <t>LINE MAINTENANCE SHELTER</t>
        </is>
      </c>
      <c r="E356" s="143" t="inlineStr">
        <is>
          <t>SF</t>
        </is>
      </c>
      <c r="F356" s="143" t="n"/>
      <c r="G356" s="143" t="n"/>
      <c r="H356" s="143" t="n"/>
      <c r="I356" s="143" t="inlineStr">
        <is>
          <t>LINE MAINTENANCE SHELTERS ARE REQUIRED IN SUPPORT OF AIRCRAFT LOCATED ON AIRCRAFT PARKING APRONS AND AT AIRCRAFT BORESIGHT RANGES (CATEGORY CODE 21109).</t>
        </is>
      </c>
    </row>
    <row r="357">
      <c r="C357" s="143" t="inlineStr">
        <is>
          <t>211 16</t>
        </is>
      </c>
      <c r="D357" s="143" t="inlineStr">
        <is>
          <t>AC INTERM MAINT MGMT</t>
        </is>
      </c>
      <c r="E357" s="143" t="inlineStr">
        <is>
          <t>SF</t>
        </is>
      </c>
      <c r="F357" s="143" t="n"/>
      <c r="G357" s="143" t="n"/>
      <c r="H357" s="143" t="n"/>
      <c r="I357" s="143" t="inlineStr">
        <is>
          <t>FACILITY FOR THE CONTROL, MONITORING, AND ADMINISTRATION OF THE INTERMEDIATE MAINTENANCE ACTIVITY (IMA). IT INCLUDES ADMINISTRATION AND SUPERVISION OF THE MAINTENANCE; PRODUCTION, QUALITY, AND MATERIAL CONTROL, FINANCIAL ACCOUNTING, TRAINING, PERSONNEL, ADMINISTRATION, TECHNICAL PUBLICATIONS LIBRARY, DATA ANALYSIS, AND TOOL CONTROL FOR COMMON AND SPECIAL TOOLS AND TEST EQUIPMENT.</t>
        </is>
      </c>
    </row>
    <row r="358">
      <c r="C358" s="143" t="inlineStr">
        <is>
          <t>211 17</t>
        </is>
      </c>
      <c r="D358" s="143" t="inlineStr">
        <is>
          <t>REG AC SERVICE FAC</t>
        </is>
      </c>
      <c r="E358" s="143" t="inlineStr">
        <is>
          <t>SF</t>
        </is>
      </c>
      <c r="F358" s="143" t="n"/>
      <c r="G358" s="143" t="n"/>
      <c r="H358" s="143" t="n"/>
      <c r="I358" s="143" t="inlineStr">
        <is>
          <t>FACILITY PROVIDES SPACE TO PERFORM AIRCRAFT IN-SERVICE REPAIR (ISR), INTEGRATED MAINTENANCE (IMC/IMP), MODIFICATIONS (MOD) AND OTHER PROGRAM WORK THAT MAY CONCURRENTLY INVOLVE DEPOT, INTERMEDIATE, AND ORGANIZATIONAL LEVEL WORK ON AIRCRAFT BY SQUADRON, IMA, NAVAL AIR DEPOT (NAVAIR DEPOT), AND/OR CONTRACTOR PERSONNEL.</t>
        </is>
      </c>
    </row>
    <row r="359">
      <c r="C359" s="143" t="inlineStr">
        <is>
          <t>211 20</t>
        </is>
      </c>
      <c r="D359" s="143" t="inlineStr">
        <is>
          <t>A/C ENGINE OVERHAUL SHOP</t>
        </is>
      </c>
      <c r="E359" s="143" t="inlineStr">
        <is>
          <t>SF</t>
        </is>
      </c>
      <c r="F359" s="143" t="n"/>
      <c r="G359" s="143" t="n"/>
      <c r="H359" s="143" t="n"/>
      <c r="I359" s="143" t="inlineStr">
        <is>
          <t>PROVIDES SPACE ASSOCIATED WITH PROCESSING JET, TURBOJET, AND RECIPROCATING TYPE AVIATION ENGINES IN TERMS OF OVERHAUL, LOW TIME REPAIR, COMPLETE REPAIR, AND MAJOR INSPECTION. THE WORK FUNCTIONS PERFORMED WITHIN THIS SPACE INCLUDE UNCANNING, DISASSEMBLY, CLEANING, MATERIAL EXAMINATION, PARTS RECONDITIONING, SUBASSEMBLY, FINAL ASSEMBLY AND PRESERVATION.</t>
        </is>
      </c>
    </row>
    <row r="360">
      <c r="C360" s="143" t="inlineStr">
        <is>
          <t>211 21</t>
        </is>
      </c>
      <c r="D360" s="143" t="inlineStr">
        <is>
          <t>ENGINE MAINTENANCE SHOP</t>
        </is>
      </c>
      <c r="E360" s="143" t="inlineStr">
        <is>
          <t>SF</t>
        </is>
      </c>
      <c r="F360" s="143" t="n"/>
      <c r="G360" s="143" t="n"/>
      <c r="H360" s="143" t="n"/>
      <c r="I360" s="143" t="inlineStr">
        <is>
          <t>PROVIDES SPACE FOR ALL WORK CENTERS WITHIN THE POWER PLANTS DIVISION OF AN INTERMEDIATE LEVEL MAINTENANCE ACTIVITY (IMA).</t>
        </is>
      </c>
    </row>
    <row r="361">
      <c r="C361" s="143" t="inlineStr">
        <is>
          <t>211 22</t>
        </is>
      </c>
      <c r="D361" s="143" t="inlineStr">
        <is>
          <t>ENGINE PREPARATON &amp; STORGE</t>
        </is>
      </c>
      <c r="E361" s="143" t="inlineStr">
        <is>
          <t>SF</t>
        </is>
      </c>
      <c r="F361" s="143" t="n"/>
      <c r="G361" s="143" t="n"/>
      <c r="H361" s="143" t="n"/>
      <c r="I361" s="143" t="inlineStr">
        <is>
          <t>PROVIDES SPACE USED IN PREPARING ENGINES FOR TEST, STORAGE OR SHIPMENT FOR THE ENGINE PRODUCTION SHOP OF THE NAVAL AIR DEPOT (NAVAIR DEPOT).</t>
        </is>
      </c>
    </row>
    <row r="362">
      <c r="C362" s="143" t="inlineStr">
        <is>
          <t>211 23</t>
        </is>
      </c>
      <c r="D362" s="143" t="inlineStr">
        <is>
          <t>ENGINE EXAM &amp; EVALUATON SH</t>
        </is>
      </c>
      <c r="E362" s="143" t="inlineStr">
        <is>
          <t>SF</t>
        </is>
      </c>
      <c r="F362" s="143" t="n"/>
      <c r="G362" s="143" t="n"/>
      <c r="H362" s="143" t="n"/>
      <c r="I362" s="143" t="inlineStr">
        <is>
          <t>ENGINE EXAMINATION AND EVALUATION SHOP OF THE NAVAL AIR DEPOT OF THE NAVAL AIR DEPOT (NAVAIR DEPOT). INCLUDED WITHIN THIS CATEGORY CODE ARE: ENGINE NON-DESTRUCTIVE TESTING SHOP; AND ENGINE EXAMINATION AND EVALUATION, PRE- SHOP ANALYSIS, EXAMINATION AND INSPECTION SHOP.</t>
        </is>
      </c>
    </row>
    <row r="363">
      <c r="C363" s="143" t="inlineStr">
        <is>
          <t>211 24</t>
        </is>
      </c>
      <c r="D363" s="143" t="inlineStr">
        <is>
          <t>DED A/C ENG OH</t>
        </is>
      </c>
      <c r="E363" s="143" t="inlineStr">
        <is>
          <t>SF</t>
        </is>
      </c>
      <c r="F363" s="143" t="n"/>
      <c r="G363" s="143" t="n"/>
      <c r="H363" s="143" t="n"/>
      <c r="I363" s="143" t="inlineStr">
        <is>
          <t>DEDICATED AIRCRAFT ENGINE OVERHAUL ¿ GENERAL PROCESS SHOP TO SUPPORT THE ENGINE PRODUCTION SHOP OF THE NAVAL AIR DEPOT (NAVAIR DEPOT). INCLUDED WITHIN THIS CATEGORY CODE ARE: ENGINE DEDICATED CLEANING SHOP; ENGINE DEDICATED PAINT SHOP; ENGINE DEDICATED MACHINE SHOP; ENGINE DEDICATED PLATING SHOP; ENGINE DEDICATED WELDING SHOP; AND ENGINE DEDICATED MODIFICATION AND REPAIR SHOP.</t>
        </is>
      </c>
    </row>
    <row r="364">
      <c r="C364" s="143" t="inlineStr">
        <is>
          <t>211 25</t>
        </is>
      </c>
      <c r="D364" s="143" t="inlineStr">
        <is>
          <t>JET ENGINE OVERHAUL SHOP</t>
        </is>
      </c>
      <c r="E364" s="143" t="inlineStr">
        <is>
          <t>SF</t>
        </is>
      </c>
      <c r="F364" s="143" t="n"/>
      <c r="G364" s="143" t="n"/>
      <c r="H364" s="143" t="n"/>
      <c r="I364" s="143" t="inlineStr">
        <is>
          <t>JET ENGINE OVERHAUL SHOP SUPPORTS THE ENGINE PRODUCTION SHOP OF THE NAVAL AIR DEPOT (NAVAIR DEPOT).</t>
        </is>
      </c>
    </row>
    <row r="365">
      <c r="C365" s="143" t="inlineStr">
        <is>
          <t>211 26</t>
        </is>
      </c>
      <c r="D365" s="143" t="inlineStr">
        <is>
          <t>RECIPROCAT ENGINE OVERHAUL</t>
        </is>
      </c>
      <c r="E365" s="143" t="inlineStr">
        <is>
          <t>SF</t>
        </is>
      </c>
      <c r="F365" s="143" t="n"/>
      <c r="G365" s="143" t="n"/>
      <c r="H365" s="143" t="n"/>
      <c r="I365" s="143" t="inlineStr">
        <is>
          <t>RECIPROCATING ENGINE OVERHAUL SHOP SUPPORTS THE ENGINE PRODUCTION SHOP OF THE NAVAL AIR DEPOT (NAVAIR DEPOT).</t>
        </is>
      </c>
    </row>
    <row r="366">
      <c r="C366" s="143" t="inlineStr">
        <is>
          <t>211 27</t>
        </is>
      </c>
      <c r="D366" s="143" t="inlineStr">
        <is>
          <t>TURBINE ENGINE OVERHAUL SH</t>
        </is>
      </c>
      <c r="E366" s="143" t="inlineStr">
        <is>
          <t>SF</t>
        </is>
      </c>
      <c r="F366" s="143" t="n"/>
      <c r="G366" s="143" t="n"/>
      <c r="H366" s="143" t="n"/>
      <c r="I366" s="143" t="inlineStr">
        <is>
          <t>TURBINE ENGINE OVERHAUL SHOP SUPPORTS THE ENGINE PRODUCTION SHOP OF THE NAVAL AIR DEPOT (NAVAIR DEPOT).</t>
        </is>
      </c>
    </row>
    <row r="367">
      <c r="C367" s="143" t="inlineStr">
        <is>
          <t>211 30</t>
        </is>
      </c>
      <c r="D367" s="143" t="inlineStr">
        <is>
          <t>A/C &amp; ENGINE ACCES OVERHAL</t>
        </is>
      </c>
      <c r="E367" s="143" t="inlineStr">
        <is>
          <t>SF</t>
        </is>
      </c>
      <c r="F367" s="143" t="n"/>
      <c r="G367" s="143" t="n"/>
      <c r="H367" s="143" t="n"/>
      <c r="I367" s="143" t="inlineStr">
        <is>
          <t>PROVIDES SPACE FOR THE OVERHAUL AND TESTING OF MISCELLANEOUS ACCESSORIES SUCH AS CONTROL ASSEMBLIES, ENGINE FUEL SYSTEM COMPONENTS, AND ACCESSORIES GEAR DRIVE FOR THE ACCESSORIES AND COMPONENTS PRODUCTION SHOP OF THE NAVAL AIR DEPOT (NAVAIR DEPOT).</t>
        </is>
      </c>
    </row>
    <row r="368">
      <c r="C368" s="143" t="inlineStr">
        <is>
          <t>211 31</t>
        </is>
      </c>
      <c r="D368" s="143" t="inlineStr">
        <is>
          <t>DED A/C &amp; ENG AC OH GEN PR</t>
        </is>
      </c>
      <c r="E368" s="143" t="inlineStr">
        <is>
          <t>SF</t>
        </is>
      </c>
      <c r="F368" s="143" t="n"/>
      <c r="G368" s="143" t="n"/>
      <c r="H368" s="143" t="n"/>
      <c r="I368" s="143" t="inlineStr">
        <is>
          <t>DEDICATED AIRCRAFT AND ENGINE ACCESSORIES OVERHAUL SHOP INCLUDES THE FOLLOWING DEDICATED SHOPS: CLEANING, PAINT, MACHINE, PLATING, WELDING, EXAMINATION AND EVALUATION, PRE-SHOP ANALYSIS, EXAMINATION AND INSPECTION, HAZARDOUS TEST SHOP.</t>
        </is>
      </c>
    </row>
    <row r="369">
      <c r="C369" s="143" t="inlineStr">
        <is>
          <t>211 32</t>
        </is>
      </c>
      <c r="D369" s="143" t="inlineStr">
        <is>
          <t>METAL COMPONENTS SHOP</t>
        </is>
      </c>
      <c r="E369" s="143" t="inlineStr">
        <is>
          <t>SF</t>
        </is>
      </c>
      <c r="F369" s="143" t="n"/>
      <c r="G369" s="143" t="n"/>
      <c r="H369" s="143" t="n"/>
      <c r="I369" s="143" t="inlineStr">
        <is>
          <t>ACCESSORIES AND COMPONENTS PRODUCTION SHOP OF THE NAVAIR DEPOT INCLUDES THE FOLLOWING SHOPS: TANK AND RADIATOR REPAIR; SHEET METAL; METAL SURFACE; SEAT REPAIR, METAL BONDING, AND CONTAINER RECLAMATION.</t>
        </is>
      </c>
    </row>
    <row r="370">
      <c r="C370" s="143" t="inlineStr">
        <is>
          <t>211 33</t>
        </is>
      </c>
      <c r="D370" s="143" t="inlineStr">
        <is>
          <t>NON-METAL COMPONENTS SHOP</t>
        </is>
      </c>
      <c r="E370" s="143" t="inlineStr">
        <is>
          <t>SF</t>
        </is>
      </c>
      <c r="F370" s="143" t="n"/>
      <c r="G370" s="143" t="n"/>
      <c r="H370" s="143" t="n"/>
      <c r="I370" s="143" t="inlineStr">
        <is>
          <t>NON-METALS COMPONENTS SHOP OF THE NAVAIR DEPOT INCLUDES THE FOLLOWING SHOPS: LIFE RAFT REPAIR; RUBBER REPAIR SHOP; PARACHUTE REPAIR SHOP; FABRIC AND UPHOLSTERY SHOP; TIRE REPAIR SHOP; PLASTIC AND FIBERGLASS SHOP; AND COMPOSITE REWORK SHOP.</t>
        </is>
      </c>
    </row>
    <row r="371">
      <c r="C371" s="143" t="inlineStr">
        <is>
          <t>211 34</t>
        </is>
      </c>
      <c r="D371" s="143" t="inlineStr">
        <is>
          <t>DYNAMIC COMPONENTS SHOP</t>
        </is>
      </c>
      <c r="E371" s="143" t="inlineStr">
        <is>
          <t>SF</t>
        </is>
      </c>
      <c r="F371" s="143" t="n"/>
      <c r="G371" s="143" t="n"/>
      <c r="H371" s="143" t="n"/>
      <c r="I371" s="143" t="inlineStr">
        <is>
          <t>ACCESSORIES AND COMPONENTS PRODUCTION SHOP OF THE NAVAL AIR DEPOT (NADEP). INCLUDED WITHIN THIS CATEGORY CODE ARE: PROPELLER AND PROPELLER CONTROL OVERHAUL SHOP; ROTOR HEAD OVERHAUL SHOP; ROTOR BLADE OVERHAUL SHOP; TRANSMISSION/GEARBOX OVERHAUL SHOP; AND DYNAMIC DRIVE SYSTEM OVERHAUL SHOP.</t>
        </is>
      </c>
    </row>
    <row r="372">
      <c r="C372" s="143" t="inlineStr">
        <is>
          <t>211 35</t>
        </is>
      </c>
      <c r="D372" s="143" t="inlineStr">
        <is>
          <t>HYDRAULIC COMPONENTS SHOP</t>
        </is>
      </c>
      <c r="E372" s="143" t="inlineStr">
        <is>
          <t>SF</t>
        </is>
      </c>
      <c r="F372" s="143" t="n"/>
      <c r="G372" s="143" t="n"/>
      <c r="H372" s="143" t="n"/>
      <c r="I372" s="143" t="inlineStr">
        <is>
          <t>HYDRAULIC COMPONENTS SHOP OF THE NAVAIR DEPOT. INCLUDED WITHIN THIS CATEGORY CODE ARE: HYDRAULIC COMPONENTS OVERHAUL SHOP; BEARINGS SHOP; AND AIRCRAFT LANDING GEAR SHOP.</t>
        </is>
      </c>
    </row>
    <row r="373">
      <c r="C373" s="143" t="inlineStr">
        <is>
          <t>211 36</t>
        </is>
      </c>
      <c r="D373" s="143" t="inlineStr">
        <is>
          <t>ELECTRICAL COMPONENTS SHOP</t>
        </is>
      </c>
      <c r="E373" s="143" t="inlineStr">
        <is>
          <t>SF</t>
        </is>
      </c>
      <c r="F373" s="143" t="n"/>
      <c r="G373" s="143" t="n"/>
      <c r="H373" s="143" t="n"/>
      <c r="I373" s="143" t="inlineStr">
        <is>
          <t>ELECTRICAL COMPONENTS SHOP OF THE NAVAIR DEPOT. INCLUDED WITHIN THIS CATEGORY CODE ARE: ALTERNATOR DRIVE OVERHAUL SHOP; ELECTRICAL ACCESSORIES OVERHAUL AND TEST SHOP; BATTERY SHOP; CONSTANT SPEED DRIVE SHOP; AND ELECTRO-MECHANICAL COMPONENTS SHOP.</t>
        </is>
      </c>
    </row>
    <row r="374">
      <c r="C374" s="143" t="inlineStr">
        <is>
          <t>211 37</t>
        </is>
      </c>
      <c r="D374" s="143" t="inlineStr">
        <is>
          <t>TURBINE ACCESSORIES SHOP</t>
        </is>
      </c>
      <c r="E374" s="143" t="inlineStr">
        <is>
          <t>SF</t>
        </is>
      </c>
      <c r="F374" s="143" t="n"/>
      <c r="G374" s="143" t="n"/>
      <c r="H374" s="143" t="n"/>
      <c r="I374" s="143" t="inlineStr">
        <is>
          <t>TURBINE ACCESSORIES SHOP OF THE NAVAIR DEPOT. INCLUDED WITHIN THIS CATEGORY CODE ARE: TURBINE ACCESSORIES OVERHAUL SHOP; TURBINE ACCESSORIES TEST SHOP; GENERAL PURPOSE UNITS SHOP; GENERAL PURPOSE UNITS TESTS SHOP; RAM/AIR TURBINE ACCESSORIES OVERHAUL SHOP; AND RAM/AIR TURBINE ACCESSORIES TEST SHOP.</t>
        </is>
      </c>
    </row>
    <row r="375">
      <c r="C375" s="143" t="inlineStr">
        <is>
          <t>211 38</t>
        </is>
      </c>
      <c r="D375" s="143" t="inlineStr">
        <is>
          <t>PNEUMATIC OXYGEN SHOP</t>
        </is>
      </c>
      <c r="E375" s="143" t="inlineStr">
        <is>
          <t>SF</t>
        </is>
      </c>
      <c r="F375" s="143" t="n"/>
      <c r="G375" s="143" t="n"/>
      <c r="H375" s="143" t="n"/>
      <c r="I375" s="143" t="inlineStr">
        <is>
          <t>PNEUMATIC OXYGEN SHOP SUPPORTS THE ACCESSORIES AND COMPONENTS PRODUCTION SHOP OF THE NAVAIR DEPOT. INCLUDED WITHIN THIS CATEGORY CODE ARE: PNEUMATIC COMPONENTS OVERHAUL SHOP; CRYOGENICS SHOP; AND OXYGEN EQUIPMENT SHOP.</t>
        </is>
      </c>
    </row>
    <row r="376">
      <c r="C376" s="143" t="inlineStr">
        <is>
          <t>211 39</t>
        </is>
      </c>
      <c r="D376" s="143" t="inlineStr">
        <is>
          <t>OPTICAL &amp; PHOTOGRAPHIC COM</t>
        </is>
      </c>
      <c r="E376" s="143" t="inlineStr">
        <is>
          <t>SF</t>
        </is>
      </c>
      <c r="F376" s="143" t="n"/>
      <c r="G376" s="143" t="n"/>
      <c r="H376" s="143" t="n"/>
      <c r="I376" s="143" t="inlineStr">
        <is>
          <t>OPTICAL AND PHOTOGRAPHIC COMPONENTS SHOP SUPPORTS THE ACCESSORIES AND COMPONENTS PRODUCTION SHOP OF THE (NAVAIR DEPOT). INCLUDED WITHIN THIS CATEGORY CODE ARE: PHOTOGRAPHIC EQUIPMENT REPAIR SHOP AND OPTICAL COMPONENT REPAIR SHOP.</t>
        </is>
      </c>
    </row>
    <row r="377">
      <c r="C377" s="143" t="inlineStr">
        <is>
          <t>211 40</t>
        </is>
      </c>
      <c r="D377" s="143" t="inlineStr">
        <is>
          <t>ELECTRON,COMM &amp; ARM SYS SH</t>
        </is>
      </c>
      <c r="E377" s="143" t="inlineStr">
        <is>
          <t>SF</t>
        </is>
      </c>
      <c r="F377" s="143" t="n"/>
      <c r="G377" s="143" t="n"/>
      <c r="H377" s="143" t="n"/>
      <c r="I377" s="143" t="inlineStr">
        <is>
          <t>A SHOP THAT PROVIDES SPACE ASSOCIATED WITH PROCESSING AIRBORNE COMMUNICATION AND NAVIGATION EQUIPMENT, INSTRUMENTS, AIRBORNE DATA COMPUTERS, FIRE CONTROL AND BOMBING SYSTEM EQUIPMENT, GYROSCOPES, INERTIAL GUIDANCE SYSTEMS, AND OTHER AVIONICS EQUIPMENT.</t>
        </is>
      </c>
    </row>
    <row r="378">
      <c r="C378" s="143" t="inlineStr">
        <is>
          <t>211 41</t>
        </is>
      </c>
      <c r="D378" s="143" t="inlineStr">
        <is>
          <t>DED ELEC,COM &amp; ARM GEN PRO</t>
        </is>
      </c>
      <c r="E378" s="143" t="inlineStr">
        <is>
          <t>SF</t>
        </is>
      </c>
      <c r="F378" s="143" t="n"/>
      <c r="G378" s="143" t="n"/>
      <c r="H378" s="143" t="n"/>
      <c r="I378" s="143" t="inlineStr">
        <is>
          <t>SPECIALIZED SHOP THAT SUPPORTS THE ELECTRONIC, COMMUNICATION, AND ARMAMENT SYSTEMS PRODUCTION SHOP OF THE NAVAIR DEPOT. INCLUDED WITHIN THIS CATEGORY CODE ARE ELECTRONICS, COMMUNICATION, AND ARMAMENT SYSTEMS DEDICATED: CLEANING SHOP; PAINT SHOP; MACHINE SHOP; WELDING SHOP; PLATING SHOP; BEARINGS SHOP; AND INSTRUMENT OVERHAUL SHOP.</t>
        </is>
      </c>
    </row>
    <row r="379">
      <c r="C379" s="143" t="inlineStr">
        <is>
          <t>211 42</t>
        </is>
      </c>
      <c r="D379" s="143" t="inlineStr">
        <is>
          <t>ELECTRONIC SYS COMPONENTS</t>
        </is>
      </c>
      <c r="E379" s="143" t="inlineStr">
        <is>
          <t>SF</t>
        </is>
      </c>
      <c r="F379" s="143" t="n"/>
      <c r="G379" s="143" t="n"/>
      <c r="H379" s="143" t="n"/>
      <c r="I379" s="143" t="inlineStr">
        <is>
          <t>SPECIALIZED SHOP THAT SUPPORTS ELECTRONIC, COMMUNICATION, AND ARMAMENT SYSTEMS PRODUCTION SHOP OF THE NAVAIR DEPOT. INCLUDED WITHIN THIS CATEGORY CODE ARE: ARMAMENT AND AVIONICS SHOP; AIRBORNE SYSTEMS SOFTWARE SHOP; NAVIGATIONAL AIDS REPAIR SHOP; AND AVIONICS TESTING SHOP.</t>
        </is>
      </c>
    </row>
    <row r="380">
      <c r="C380" s="143" t="inlineStr">
        <is>
          <t>211 43</t>
        </is>
      </c>
      <c r="D380" s="143" t="inlineStr">
        <is>
          <t>INERTIAL QUAL INSTRU OH SH</t>
        </is>
      </c>
      <c r="E380" s="143" t="inlineStr">
        <is>
          <t>SF</t>
        </is>
      </c>
      <c r="F380" s="143" t="n"/>
      <c r="G380" s="143" t="n"/>
      <c r="H380" s="143" t="n"/>
      <c r="I380" s="143" t="inlineStr">
        <is>
          <t>INERTIAL QUALITY INSTRUMENT OVERHAUL SHOP OF THE NAVAIR DEPOT. INCLUDED WITHIN THIS CATEGORY CODE ARE: INERTIAL QUALITY GYROSCOPE OVERHAUL SHOP AND INERTIAL GUIDANCE SYSTEM OVERHAUL AND CALIBRATION SHOP.</t>
        </is>
      </c>
    </row>
    <row r="381">
      <c r="C381" s="143" t="inlineStr">
        <is>
          <t>211 44</t>
        </is>
      </c>
      <c r="D381" s="143" t="inlineStr">
        <is>
          <t>NON-INERTIAL QUAL INSTR OH</t>
        </is>
      </c>
      <c r="E381" s="143" t="inlineStr">
        <is>
          <t>SF</t>
        </is>
      </c>
      <c r="F381" s="143" t="n"/>
      <c r="G381" s="143" t="n"/>
      <c r="H381" s="143" t="n"/>
      <c r="I381" s="143" t="inlineStr">
        <is>
          <t>SPECIALIZED SHOP THAT SUPPORTS THE ELECTRONIC, COMMUNICATION, AND ARMAMENT SYSTEMS PRODUCTION SHOP OF THE NAVAIR DEPOT. INCLUDED WITHIN THIS CATEGORY CODE ARE: ELECTRONIC INSTRUMENT OVERHAUL SHOP; MECHANICAL INSTRUMENT OVERHAUL SHOP; NON-INERTIAL GYROSCOPE OVERHAUL SHOP; AND MAGNETIC INSTRUMENT OVERHAUL AND TEST SHOP.</t>
        </is>
      </c>
    </row>
    <row r="382">
      <c r="C382" s="143" t="inlineStr">
        <is>
          <t>211 45</t>
        </is>
      </c>
      <c r="D382" s="143" t="inlineStr">
        <is>
          <t>AVIONICS SHOP (NON-DEPOT)</t>
        </is>
      </c>
      <c r="E382" s="143" t="inlineStr">
        <is>
          <t>SF</t>
        </is>
      </c>
      <c r="F382" s="143" t="n"/>
      <c r="G382" s="143" t="n"/>
      <c r="H382" s="143" t="n"/>
      <c r="I382" s="143" t="inlineStr">
        <is>
          <t>AVIONICS DIVISION INTERMEDIATE MAINTENANCE LEVEL SHOP IS USED FOR THE TESTING, MAINTENANCE AND REPAIR OF AVIONICS SYSTEMS. IT UTILIZES STANDARD SIZE WORK CENTERS, VARIABLE SIZE WORK CENTERS AND SUPPORT SPACES.</t>
        </is>
      </c>
    </row>
    <row r="383">
      <c r="C383" s="143" t="inlineStr">
        <is>
          <t>211 50</t>
        </is>
      </c>
      <c r="D383" s="143" t="inlineStr">
        <is>
          <t>A/C ARMAMENT/MISILE REWORK</t>
        </is>
      </c>
      <c r="E383" s="143" t="inlineStr">
        <is>
          <t>SF</t>
        </is>
      </c>
      <c r="F383" s="143" t="n"/>
      <c r="G383" s="143" t="n"/>
      <c r="H383" s="143" t="n"/>
      <c r="I383" s="143" t="inlineStr">
        <is>
          <t>AIRCRAFT ARMAMENT/MISSILE REWORK SHOP IS REQUIRED TO PROVIDE SPACE ASSOCIATED WITH PROCESSING AIRCRAFT WEAPONS INCLUDING GUNS, MISSILES, BOMB RACKS, WEAPON PYLONS, ETC.</t>
        </is>
      </c>
    </row>
    <row r="384">
      <c r="C384" s="143" t="inlineStr">
        <is>
          <t>211 51</t>
        </is>
      </c>
      <c r="D384" s="143" t="inlineStr">
        <is>
          <t>DED A/C ARM/MISSL GEN PURP</t>
        </is>
      </c>
      <c r="E384" s="143" t="inlineStr">
        <is>
          <t>SF</t>
        </is>
      </c>
      <c r="F384" s="143" t="n"/>
      <c r="G384" s="143" t="n"/>
      <c r="H384" s="143" t="n"/>
      <c r="I384" s="143" t="inlineStr">
        <is>
          <t>A DEDICATED AIRCRAFT ARMAMENT/MISSILE REWORK ¿ GENERAL PURPOSE SHOP SUPPORTS THE ARMAMENT PRODUCTION SHOP OF THE NAVAL AIR DEPOT (NAVAIR DEPOT). INCLUDED WITHIN THIS CATEGORY CODE ARE ARMAMENT DEDICATED: CLEANING SHOP; PAINT SHOP; MACHINE SHOP; WELDING SHOP; PLATING SHOP; WEAPON OVERHAUL AND TEST SHOP; ORDNANCE EQUIPMENT SHOP; AND WEAPON ACCESSORIES REPAIR SHOP.</t>
        </is>
      </c>
    </row>
    <row r="385">
      <c r="C385" s="143" t="inlineStr">
        <is>
          <t>211 52</t>
        </is>
      </c>
      <c r="D385" s="143" t="inlineStr">
        <is>
          <t>A/C WEAPON OVERHAUL &amp; TEST</t>
        </is>
      </c>
      <c r="E385" s="143" t="inlineStr">
        <is>
          <t>SF</t>
        </is>
      </c>
      <c r="F385" s="143" t="n"/>
      <c r="G385" s="143" t="n"/>
      <c r="H385" s="143" t="n"/>
      <c r="I385" s="143" t="inlineStr">
        <is>
          <t>A SHOP IS REQUIRED TO PROVIDE SPACE FOR THE REPAIR OF AIR LAUNCHED MISSILES FOR THE ARMAMENT PRODUCTION SHOP OF THE NAVAIR DEPOT. INCLUDED WITHIN THIS CATEGORY CODE ARE: AIRCRAFT WEAPON OVERHAUL AND TEST SHOP; ORDNANCE EQUIPMENT SHOP; AND WEAPON ACCESSORIES REPAIR SHOP.</t>
        </is>
      </c>
    </row>
    <row r="386">
      <c r="C386" s="143" t="inlineStr">
        <is>
          <t>211 53</t>
        </is>
      </c>
      <c r="D386" s="143" t="inlineStr">
        <is>
          <t>AIR LAUNCHED MISSILE REWRK</t>
        </is>
      </c>
      <c r="E386" s="143" t="inlineStr">
        <is>
          <t>SF</t>
        </is>
      </c>
      <c r="F386" s="143" t="n"/>
      <c r="G386" s="143" t="n"/>
      <c r="H386" s="143" t="n"/>
      <c r="I386" s="143" t="inlineStr">
        <is>
          <t>AIR LAUNCHED MISSILE REWORK SHOP IS REQUIRED TO PROVIDE SPACE FOR THE REPAIR OF AIR LAUNCHED MISSILES FOR THE ARMAMENT PRODUCTION SHOP OF THE NAVAL AIR DEPOT (NAVAIR DEPOT).</t>
        </is>
      </c>
    </row>
    <row r="387">
      <c r="C387" s="143" t="inlineStr">
        <is>
          <t>211 54</t>
        </is>
      </c>
      <c r="D387" s="143" t="inlineStr">
        <is>
          <t>AVIATION ARMAMENT SHOP</t>
        </is>
      </c>
      <c r="E387" s="143" t="inlineStr">
        <is>
          <t>SF</t>
        </is>
      </c>
      <c r="F387" s="143" t="n"/>
      <c r="G387" s="143" t="n"/>
      <c r="H387" s="143" t="n"/>
      <c r="I387" s="143" t="inlineStr">
        <is>
          <t>INTERMEDIATE MAINTENANCE LEVEL SHOP USED TO SUPPORT AIRCRAFT CAPABLE OF BEING ARMED. ALTHOUGH MISSILES AND ROCKETS ARE HANDLED AT THE MISSILE MAINTENANCE SHOP OR ROCKET ASSEMBLY AND LOADING AREAS, MAINTENANCE OF REUSABLE OR NON- EXPENDABLE TYPE ROCKET LAUNCHERS CLASSIFIED AS AMMUNITION ITEMS AND MAINTENANCE AND STORAGE OF MISSILE LAUNCHERS ARE HANDLED IN THE ARMAMENT SHOP.</t>
        </is>
      </c>
    </row>
    <row r="388">
      <c r="C388" s="143" t="inlineStr">
        <is>
          <t>211 55</t>
        </is>
      </c>
      <c r="D388" s="143" t="inlineStr">
        <is>
          <t>AVIATION ARM EQUIP SHED</t>
        </is>
      </c>
      <c r="E388" s="143" t="inlineStr">
        <is>
          <t>SF</t>
        </is>
      </c>
      <c r="F388" s="143" t="n"/>
      <c r="G388" s="143" t="n"/>
      <c r="H388" s="143" t="n"/>
      <c r="I388" s="143" t="inlineStr">
        <is>
          <t>FOR MARINE CORPS ACTIVITIES, AN AVIATION ARMAMENT SUPPORT EQUIPMENT HOLDING SHED IS PLANNED IN CONJUNCTION WITH THE CATEGORY CODE 211 54. THE SHED PROVIDES COVER FOR WEAPONS TRAILERS, BOMB CRADLES, SHORT AIRFIELD AND TACTICAL SUPPORT (SATS) TENTS, AND OTHER ARMAMENT SUPPORT EQUIPMENT AND IS AN INTEGRAL PART OF MARINE CORPS HEADQUARTERS AND MAINTENANCE SQUADRONS¿ ORDNANCE DIVISIONS</t>
        </is>
      </c>
    </row>
    <row r="389">
      <c r="C389" s="143" t="inlineStr">
        <is>
          <t>211 60</t>
        </is>
      </c>
      <c r="D389" s="143" t="inlineStr">
        <is>
          <t>SUPPORT EQUIP REWORK SHOP</t>
        </is>
      </c>
      <c r="E389" s="143" t="inlineStr">
        <is>
          <t>SF</t>
        </is>
      </c>
      <c r="F389" s="143" t="n"/>
      <c r="G389" s="143" t="n"/>
      <c r="H389" s="143" t="n"/>
      <c r="I389" s="143" t="inlineStr">
        <is>
          <t>A SUPPORT EQUIPMENT REWORK SHOP IS REQUIRED TO PROVIDE SPACE ASSOCIATED WITH PROCESSING AVIATION GENERAL AND SPECIAL SUPPORT EQUIPMENT AND AEROSPACE GROUND SUPPORT EQUIPMENT.</t>
        </is>
      </c>
    </row>
    <row r="390">
      <c r="C390" s="143" t="inlineStr">
        <is>
          <t>211 61</t>
        </is>
      </c>
      <c r="D390" s="143" t="inlineStr">
        <is>
          <t>DED SUP EQUIP REWRK GEN PR</t>
        </is>
      </c>
      <c r="E390" s="143" t="inlineStr">
        <is>
          <t>SF</t>
        </is>
      </c>
      <c r="F390" s="143" t="n"/>
      <c r="G390" s="143" t="n"/>
      <c r="H390" s="143" t="n"/>
      <c r="I390" s="143" t="inlineStr">
        <is>
          <t>SPECIALIZED SHOP USED TO SUPPORT THE SUPPORT EQUIPMENT PRODUCTION SHOP OF THE NAVAL AIR DEPOT (NAVAIR DEPOT). INCLUDED WITHIN THIS CATEGORY CODE ARE SUPPORT EQUIPMENT DEDICATED: CLEANING SHOP; PAINT SHOP; MACHINE SHOP; PLATING SHOP; AND WELDING SHOP.</t>
        </is>
      </c>
    </row>
    <row r="391">
      <c r="C391" s="143" t="inlineStr">
        <is>
          <t>211 62</t>
        </is>
      </c>
      <c r="D391" s="143" t="inlineStr">
        <is>
          <t>SUPPORT EQUIP CALIBRATION</t>
        </is>
      </c>
      <c r="E391" s="143" t="inlineStr">
        <is>
          <t>SF</t>
        </is>
      </c>
      <c r="F391" s="143" t="n"/>
      <c r="G391" s="143" t="n"/>
      <c r="H391" s="143" t="n"/>
      <c r="I391" s="143" t="inlineStr">
        <is>
          <t>SPECIALIZED SHOP USED TO SUPPORT THE SUPPORT EQUIPMENT PRODUCTION SHOP OF THE NAVAL AIR DEPOT (NAVAIR DEPOT). INCLUDED WITHIN THIS CATEGORY CODE ARE: AERONAUTICAL ELECTRONIC SUPPORT EQUIPMENT SHOP; ELECTRONIC TEST SYSTEMS REPAIR SHOP; AND PRECISION MEASUREMENT EQUIPMENT SHOP .</t>
        </is>
      </c>
    </row>
    <row r="392">
      <c r="C392" s="143" t="inlineStr">
        <is>
          <t>211 63</t>
        </is>
      </c>
      <c r="D392" s="143" t="inlineStr">
        <is>
          <t>GROUND SUPPORT EQUIP REWK</t>
        </is>
      </c>
      <c r="E392" s="143" t="inlineStr">
        <is>
          <t>SF</t>
        </is>
      </c>
      <c r="F392" s="143" t="n"/>
      <c r="G392" s="143" t="n"/>
      <c r="H392" s="143" t="n"/>
      <c r="I392" s="143" t="inlineStr">
        <is>
          <t>A GROUND SUPPORT EQUIPMENT REWORK SHOP IS REQUIRED FOR THE SUPPORT EQUIPMENT PRODUCTION SHOP OF THE NAVAL AIR DEPOT (NAVAIR DEPOT). INCLUDED WITHIN THIS CATEGORY CODE ARE: GSE MAINTENANCE SHOP, TRAINING DEVICES SHOP, HYDROSTATICS SHOP. THERE ARE NO SPECIFIC CRITERIA DEVELOPED FOR THIS CATEGORY CODE.</t>
        </is>
      </c>
    </row>
    <row r="393">
      <c r="C393" s="143" t="inlineStr">
        <is>
          <t>211 64</t>
        </is>
      </c>
      <c r="D393" s="143" t="inlineStr">
        <is>
          <t>GROUND SUP EQUIP HOLD SHED</t>
        </is>
      </c>
      <c r="E393" s="143" t="inlineStr">
        <is>
          <t>SF</t>
        </is>
      </c>
      <c r="F393" s="143" t="n"/>
      <c r="G393" s="143" t="n"/>
      <c r="H393" s="143" t="n"/>
      <c r="I393" s="143" t="inlineStr">
        <is>
          <t>A GROUND SUPPORT EQUIPMENT HOLDING SHED IS REQUIRED FOR THE SUPPORT EQUIPMENT PRODUCTION SHOP OF THE NAVAL AIR DEPOT (NAVAIR DEPOT). THERE ARE NO SPECIFIC CRITERIA DEVELOPED FOR THIS CATEGORY CODE.</t>
        </is>
      </c>
    </row>
    <row r="394">
      <c r="C394" s="143" t="inlineStr">
        <is>
          <t>211 65</t>
        </is>
      </c>
      <c r="D394" s="143" t="inlineStr">
        <is>
          <t>WEAPONS EQUIPMENT SHOP</t>
        </is>
      </c>
      <c r="E394" s="143" t="inlineStr">
        <is>
          <t>SF</t>
        </is>
      </c>
      <c r="F394" s="143" t="n"/>
      <c r="G394" s="143" t="n"/>
      <c r="H394" s="143" t="n"/>
      <c r="I394" s="143" t="inlineStr">
        <is>
          <t>AN AIRBORNE WEAPONS SUPPORT EQUIPMENT SHOP IS REQUIRED FOR THE SUPPORT EQUIPMENT PRODUCTION SHOP OF THE NAVAL AIR DEPOT (NAVAIR DEPOT). THERE ARE NO SPECIFIC CRITERIA DEVELOPED FOR THIS CATEGORY CODE.</t>
        </is>
      </c>
    </row>
    <row r="395">
      <c r="C395" s="143" t="inlineStr">
        <is>
          <t>211 70</t>
        </is>
      </c>
      <c r="D395" s="143" t="inlineStr">
        <is>
          <t>MANUFACTUING &amp; REPAIR SHOP</t>
        </is>
      </c>
      <c r="E395" s="143" t="inlineStr">
        <is>
          <t>SF</t>
        </is>
      </c>
      <c r="F395" s="143" t="n"/>
      <c r="G395" s="143" t="n"/>
      <c r="H395" s="143" t="n"/>
      <c r="I395" s="143" t="inlineStr">
        <is>
          <t>A MANUFACTURING AND REPAIR SHOP IS REQUIRED TO PROVIDE SPACE FOR AIRCRAFT REPAIR OPERATIONS BY SUCH WORK FUNCTIONS AS PARTS CLEANING AND PAINTING, PLATING AND METAL PROCESSING SHOP. THERE ARE NO SPECIFIC CRITERIA DEVELOPED FOR THIS CATEGORY CODE.</t>
        </is>
      </c>
    </row>
    <row r="396">
      <c r="C396" s="143" t="inlineStr">
        <is>
          <t>211 71</t>
        </is>
      </c>
      <c r="D396" s="143" t="inlineStr">
        <is>
          <t>DED MANUF &amp; REPR GEN PURP</t>
        </is>
      </c>
      <c r="E396" s="143" t="inlineStr">
        <is>
          <t>SF</t>
        </is>
      </c>
      <c r="F396" s="143" t="n"/>
      <c r="G396" s="143" t="n"/>
      <c r="H396" s="143" t="n"/>
      <c r="I396" s="143" t="inlineStr">
        <is>
          <t>A MANUFACTURING AND REPAIR - GENERAL PURPOSE SHOP IS REQUIRED FOR THE MANUFACTURE AND REPAIR PRODUCTION SHOP (NAVAIR DEPOT). INCLUDED WITHIN THIS CATEGORY CODE ARE: WELDING SHOP, FOUNDRY SHOP, PEENING AND BLASTING SHOP, NON- DESTRUCTIVE INSPECTION ¿ MAGNETIC PARTICLE, DYE PENETRANT, ETC, PARTS CLEANING SHOP, PARTS PAINTING SHOP, THERE ARE NO SPECIFIC CRITERIA DEVELOPED FOR THIS CATEGORY CODE.</t>
        </is>
      </c>
    </row>
    <row r="397">
      <c r="C397" s="143" t="inlineStr">
        <is>
          <t>211 72</t>
        </is>
      </c>
      <c r="D397" s="143" t="inlineStr">
        <is>
          <t>METAL FABRICATION/MANU FACT</t>
        </is>
      </c>
      <c r="E397" s="143" t="inlineStr">
        <is>
          <t>SF</t>
        </is>
      </c>
      <c r="F397" s="143" t="n"/>
      <c r="G397" s="143" t="n"/>
      <c r="H397" s="143" t="n"/>
      <c r="I397" s="143" t="inlineStr">
        <is>
          <t>A METAL FABRICATION/MANUFACTURING SHOP IS REQUIRED FOR THE MANUFACTURE AND REPAIR PRODUCTION SHOP OF THE NAVAL AIR DEPOT (NAVAIR DEPOT). INCLUDED WITHIN THIS CATEGORY CODE ARE: MACHINE SHOP, GRINDING SHOP, NC MACHINE SHOP, METAL PARTS FABRICATION SHOP. THERE ARE NO SPECIFIC CRITERIA DEVELOPED FOR THIS CATEGORY CODE.</t>
        </is>
      </c>
    </row>
    <row r="398">
      <c r="C398" s="143" t="inlineStr">
        <is>
          <t>211 73</t>
        </is>
      </c>
      <c r="D398" s="143" t="inlineStr">
        <is>
          <t>METAL TREATMENT SHOP</t>
        </is>
      </c>
      <c r="E398" s="143" t="inlineStr">
        <is>
          <t>SF</t>
        </is>
      </c>
      <c r="F398" s="143" t="n"/>
      <c r="G398" s="143" t="n"/>
      <c r="H398" s="143" t="n"/>
      <c r="I398" s="143" t="inlineStr">
        <is>
          <t>A METAL TREATMENT SHOP IS REQUIRED FOR THE MANUFACTURE AND REPAIR PRODUCTION SHOP OF THE NAVAL AIR DEPOT (NAVAIR DEPOT). INCLUDED WITHIN THIS CATEGORY CODE ARE: METAL PROCESSING SHOP, PLATING SHOP, HEAT TREATING SHOP. THERE ARE NO SPECIFIC CRITERIA DEVELOPED FOR THIS CATEGORY CODE.</t>
        </is>
      </c>
    </row>
    <row r="399">
      <c r="C399" s="143" t="inlineStr">
        <is>
          <t>211 74</t>
        </is>
      </c>
      <c r="D399" s="143" t="inlineStr">
        <is>
          <t>NON-METAL FABRICA/MANUF SH</t>
        </is>
      </c>
      <c r="E399" s="143" t="inlineStr">
        <is>
          <t>SF</t>
        </is>
      </c>
      <c r="F399" s="143" t="n"/>
      <c r="G399" s="143" t="n"/>
      <c r="H399" s="143" t="n"/>
      <c r="I399" s="143" t="inlineStr">
        <is>
          <t>A NON-METAL FABRICATION/MANUFACTURING SHOP IS REQUIRED FOR THE MANUFACTURE AND REPAIR PRODUCTION SHOP OF THE NAVAL AIR DEPOT (NAVAIR DEPOT). INCLUDED WITHIN THIS CATEGORY CODE ARE: PLASTIC FABRICATION SHOP, PATTERN SHOP, DECAL (GRAPHIC ARTS) SHOP, WOODWORKING SHOP, RUBBER FABRICATION SHOP. THERE ARE NO SPECIFIC CRITERIA DEVELOPED FOR THIS CATEGORY CODE.</t>
        </is>
      </c>
    </row>
    <row r="400">
      <c r="C400" s="143" t="inlineStr">
        <is>
          <t>211 75</t>
        </is>
      </c>
      <c r="D400" s="143" t="inlineStr">
        <is>
          <t>PARACHUTE &amp; SURVL EQUIPT</t>
        </is>
      </c>
      <c r="E400" s="143" t="inlineStr">
        <is>
          <t>SF</t>
        </is>
      </c>
      <c r="F400" s="143" t="n"/>
      <c r="G400" s="143" t="n"/>
      <c r="H400" s="143" t="n"/>
      <c r="I400" s="143" t="inlineStr">
        <is>
          <t>AN AVIATION LIFE SUPPORT SYSTEMS SHOP IS REQUIRED AT NAVY AND MARINE CORPS AIR INSTALLATIONS FOR INSPECTING, REPAIRING, AND REPACKING OF PARACHUTES, FLOTATION DEVICES, OXYGEN AND OTHER LIFE SUPPORT EQUIPMENT.</t>
        </is>
      </c>
    </row>
    <row r="401">
      <c r="C401" s="143" t="inlineStr">
        <is>
          <t>211 76</t>
        </is>
      </c>
      <c r="D401" s="143" t="inlineStr">
        <is>
          <t>MISC PARTS/COMPNT REPR</t>
        </is>
      </c>
      <c r="E401" s="143" t="inlineStr">
        <is>
          <t>SF</t>
        </is>
      </c>
      <c r="F401" s="143" t="n"/>
      <c r="G401" s="143" t="n"/>
      <c r="H401" s="143" t="n"/>
      <c r="I401" s="143" t="inlineStr">
        <is>
          <t>A MISCELLANEOUS PARTS/COMPONENTS REPAIR SHOP IS REQUIRED FOR THE MANUFACTURE AND REPAIR PRODUCTION SHOP OF THE NAVAL AIR DEPOT (NAVAIR DEPOT). INCLUDED WITHIN THIS CATEGORY CODE ARE: TUBING SHOP, CABLE SHOP, CORDAGE (FLIGHT CONTROLS) SHOP, ELECTRICAL CABLE/HARNESS SHOP. THERE ARE NO SPECIFIC CRITERIA DEVELOPED FOR THIS CATEGORY CODE.</t>
        </is>
      </c>
    </row>
    <row r="402">
      <c r="C402" s="143" t="inlineStr">
        <is>
          <t>211 80</t>
        </is>
      </c>
      <c r="D402" s="143" t="inlineStr">
        <is>
          <t>TEST AND CALIBRATION SHOP</t>
        </is>
      </c>
      <c r="E402" s="143" t="inlineStr">
        <is>
          <t>SF</t>
        </is>
      </c>
      <c r="F402" s="143" t="n"/>
      <c r="G402" s="143" t="n"/>
      <c r="H402" s="143" t="n"/>
      <c r="I402" s="143" t="inlineStr">
        <is>
          <t>A TEST AND CALIBRATION SHOP IS REQUIRED TO PROVIDE SPACE DEDICATED TO TEST, TRIM, OR CALIBRATE ENGINES, ELECTRONICS, COMMUNICATIONS OR ARMAMENT SYSTEMS. THIS IS THE MAIN CATEGORY CODE USED FOR THE TEST AND CALIBRATION PRODUCTION SHOP OF THE NAVAL AIR DEPOT (NADEP). THERE ARE NO SPECIFIC CRITERIA DEVELOPED FOR THIS CATEGORY CODE.</t>
        </is>
      </c>
    </row>
    <row r="403">
      <c r="C403" s="143" t="inlineStr">
        <is>
          <t>211 81</t>
        </is>
      </c>
      <c r="D403" s="143" t="inlineStr">
        <is>
          <t>ENGINE TEST CELL</t>
        </is>
      </c>
      <c r="E403" s="143" t="inlineStr">
        <is>
          <t>SF</t>
        </is>
      </c>
      <c r="F403" s="143" t="n"/>
      <c r="G403" s="143" t="n"/>
      <c r="H403" s="143" t="n"/>
      <c r="I403" s="143" t="inlineStr">
        <is>
          <t>AN ENGINE TEST CELL PROVIDES AN ACOUSTICALLY ATTENUATED AND FULLY INSTRUMENTED ENCLOSURE IN WHICH UNINSTALLED TURBOJET AND TURBOFAN ENGINES ARE TESTED AT INSTALLATIONS WHERE INTERMEDIATE LEVEL MAINTENANCE ENGINE REPAIR WORK IS PERFORMED.</t>
        </is>
      </c>
    </row>
    <row r="404">
      <c r="C404" s="143" t="inlineStr">
        <is>
          <t>211 82</t>
        </is>
      </c>
      <c r="D404" s="143" t="inlineStr">
        <is>
          <t>A/C WEAPONS ALIGNMENT SHEL</t>
        </is>
      </c>
      <c r="E404" s="143" t="inlineStr">
        <is>
          <t>SF</t>
        </is>
      </c>
      <c r="F404" s="143" t="n"/>
      <c r="G404" s="143" t="n"/>
      <c r="H404" s="143" t="n"/>
      <c r="I404" s="143" t="inlineStr">
        <is>
          <t>A MINIMUM OF ONE AIRCRAFT WEAPONS ALIGNMENT SHELTER IS REQUIRED AT NAVY AND MARINE CORPS AIR INSTALLATIONS HAVING FIGHTER OR ATTACK AIRCRAFT WEAPONS SYSTEMS REQUIRING ALIGNMENT, WHICH IS THE PROCESS OF MECHANICALLY AND ELECTRICALLY ALIGNING AIRCRAFT WEAPONS ELECTRONIC SYSTEMS TO A COMMON AIRCRAFT AXIS.</t>
        </is>
      </c>
    </row>
    <row r="405">
      <c r="C405" s="143" t="inlineStr">
        <is>
          <t>211 83</t>
        </is>
      </c>
      <c r="D405" s="143" t="inlineStr">
        <is>
          <t>ENGINE TEST CELL</t>
        </is>
      </c>
      <c r="E405" s="143" t="inlineStr">
        <is>
          <t>SF</t>
        </is>
      </c>
      <c r="F405" s="143" t="n"/>
      <c r="G405" s="143" t="n"/>
      <c r="H405" s="143" t="n"/>
      <c r="I405" s="143" t="inlineStr">
        <is>
          <t>AN ENGINE TEST CELL IS REQUIRED FOR THE TEST AND CALIBRATION PRODUCTION SHOP OF THE (NAVAIR DEPOT). INCLUDED WITHIN THIS CATCODE ARE: VARIOUS JET ENGINE TEST CELLS, JET ENGINE TEST STAND, VARIOUS RECIPROCATING ENGINE TEST CELLS, RECIPROCATING ENGINE TEST STAND, AND TURBO SHAFT, TURBO FAN AND PNEUMATIC GAS/AIR TURBINE TEST CELLS. THERE ARE NO SPECIFIC CRITERIA DEVELOPED FOR THIS CATEGORY CODE.</t>
        </is>
      </c>
    </row>
    <row r="406">
      <c r="C406" s="143" t="inlineStr">
        <is>
          <t>211 84</t>
        </is>
      </c>
      <c r="D406" s="143" t="inlineStr">
        <is>
          <t>HELICOPTER BLADE TEST FAC</t>
        </is>
      </c>
      <c r="E406" s="143" t="inlineStr">
        <is>
          <t>SF</t>
        </is>
      </c>
      <c r="F406" s="143" t="n"/>
      <c r="G406" s="143" t="n"/>
      <c r="H406" s="143" t="n"/>
      <c r="I406" s="143" t="inlineStr">
        <is>
          <t>A HELICOPTER BLADE TEST FACILITY IS REQUIRED FOR THE TEST AND CALIBRATION PRODUCTION SHOP OF THE NAVAL AIR DEPOT (NAVAIR DEPOT). THERE ARE NO SPECIFIC CRITERIA DEVELOPED FOR THIS CATEGORY CODE.</t>
        </is>
      </c>
    </row>
    <row r="407">
      <c r="C407" s="143" t="inlineStr">
        <is>
          <t>211 85</t>
        </is>
      </c>
      <c r="D407" s="143" t="inlineStr">
        <is>
          <t>RADOME TEST FACILITY</t>
        </is>
      </c>
      <c r="E407" s="143" t="inlineStr">
        <is>
          <t>SF</t>
        </is>
      </c>
      <c r="F407" s="143" t="n"/>
      <c r="G407" s="143" t="n"/>
      <c r="H407" s="143" t="n"/>
      <c r="I407" s="143" t="inlineStr">
        <is>
          <t>A RADOME TEST FACILITY IS REQUIRED FOR THE TEST AND CALIBRATION PRODUCTION SHOP OF THE NAVAL AIR DEPOT (NAVAIR DEPOT). THERE ARE NO SPECIFIC CRITERIA DEVELOPED FOR THIS CATEGORY CODE.</t>
        </is>
      </c>
    </row>
    <row r="408">
      <c r="C408" s="143" t="inlineStr">
        <is>
          <t>211 86</t>
        </is>
      </c>
      <c r="D408" s="143" t="inlineStr">
        <is>
          <t>RADAR/ANTENNA TEST FAC</t>
        </is>
      </c>
      <c r="E408" s="143" t="inlineStr">
        <is>
          <t>SF</t>
        </is>
      </c>
      <c r="F408" s="143" t="n"/>
      <c r="G408" s="143" t="n"/>
      <c r="H408" s="143" t="n"/>
      <c r="I408" s="143" t="inlineStr">
        <is>
          <t>A RADAR/ANTENNA TEST FACILITY IS REQUIRED FOR THE TEST AND CALIBRATION PRODUCTION SHOP OF THE NAVAL AIR DEPOT (NAVAIR DEPOT). THERE ARE NO SPECIFIC CRITERIA DEVELOPED FOR THIS CATEGORY CODE.</t>
        </is>
      </c>
    </row>
    <row r="409">
      <c r="C409" s="143" t="inlineStr">
        <is>
          <t>211 87</t>
        </is>
      </c>
      <c r="D409" s="143" t="inlineStr">
        <is>
          <t>A/C WEAPON ALIGN/BORESIGHT</t>
        </is>
      </c>
      <c r="E409" s="143" t="inlineStr">
        <is>
          <t>SF</t>
        </is>
      </c>
      <c r="F409" s="143" t="n"/>
      <c r="G409" s="143" t="n"/>
      <c r="H409" s="143" t="n"/>
      <c r="I409" s="143" t="inlineStr">
        <is>
          <t>AN AIRCRAFT WEAPONS ALIGNMENT/BORESIGHT FACILITY IS REQUIRED FOR THE TEST AND CALIBRATION PRODUCTION SHOP OF THE NAVAL AIR DEPOT (NAVAIR DEPOT). THERE ARE NO SPECIFIC CRITERIA DEVELOPED FOR THIS CATEGORY CODE.</t>
        </is>
      </c>
    </row>
    <row r="410">
      <c r="C410" s="143" t="inlineStr">
        <is>
          <t>211 88</t>
        </is>
      </c>
      <c r="D410" s="143" t="inlineStr">
        <is>
          <t>POWER CK PAD W/ SOUND SUPP</t>
        </is>
      </c>
      <c r="E410" s="143" t="inlineStr">
        <is>
          <t>EA</t>
        </is>
      </c>
      <c r="F410" s="143" t="n"/>
      <c r="G410" s="143" t="n"/>
      <c r="H410" s="143" t="n"/>
      <c r="I410" s="143" t="inlineStr">
        <is>
          <t>POWER CHECK PADS WITH SOUND SUPPRESSION, ARE PROVIDED WITH FIXED OR PORTABLE SOUND SUPPRESSORS, TO MEET DESIRED NOISE CRITERIA.</t>
        </is>
      </c>
    </row>
    <row r="411">
      <c r="C411" s="143" t="inlineStr">
        <is>
          <t>211 89</t>
        </is>
      </c>
      <c r="D411" s="143" t="inlineStr">
        <is>
          <t>POWER CK PAD W/O SOUND SUP</t>
        </is>
      </c>
      <c r="E411" s="143" t="inlineStr">
        <is>
          <t>EA</t>
        </is>
      </c>
      <c r="F411" s="143" t="n"/>
      <c r="G411" s="143" t="n"/>
      <c r="H411" s="143" t="n"/>
      <c r="I411" s="143" t="inlineStr">
        <is>
          <t>THE POWER CHECK PAD IS USED TO TEST AND ADJUST ENGINES MOUNTED IN THE AIRCRAFT FOR IN-FRAME TESTING.</t>
        </is>
      </c>
    </row>
    <row r="412">
      <c r="C412" s="143" t="inlineStr">
        <is>
          <t>211 90</t>
        </is>
      </c>
      <c r="D412" s="143" t="inlineStr">
        <is>
          <t>OTHER SUPPORT FACILITIES</t>
        </is>
      </c>
      <c r="E412" s="143" t="inlineStr">
        <is>
          <t>SF</t>
        </is>
      </c>
      <c r="F412" s="143" t="n"/>
      <c r="G412" s="143" t="n"/>
      <c r="H412" s="143" t="n"/>
      <c r="I412" s="143" t="inlineStr">
        <is>
          <t>THE OTHER SUPPORT FACILITIES ARE THOSE AREAS USED TO PERFORM PRODUCTIVE NAVAIR DEPOT WORK THAT HAVE NOT BEEN PREVIOUSLY IDENTIFIED. THIS INCLUDES RAMP, APRON, AND AIRCRAFT STORAGE SITES. THERE ARE NO SPECIFIC CRITERIA DEVELOPED FOR THIS CATEGORY CODE.</t>
        </is>
      </c>
    </row>
    <row r="413">
      <c r="C413" s="143" t="inlineStr">
        <is>
          <t>211 91</t>
        </is>
      </c>
      <c r="D413" s="143" t="inlineStr">
        <is>
          <t>UNCOVERED RAMP</t>
        </is>
      </c>
      <c r="E413" s="143" t="inlineStr">
        <is>
          <t>SF</t>
        </is>
      </c>
      <c r="F413" s="143" t="n"/>
      <c r="G413" s="143" t="n"/>
      <c r="H413" s="143" t="n"/>
      <c r="I413" s="143" t="inlineStr">
        <is>
          <t>UNCOVERED RAMP IS REQUIRED TO PERFORM NAVAIR DEPOT-SPECIFIC MAINTENANCE AND PRODUCTION FUNCTIONS. INCLUDED WITHIN THIS CATEGORY CODE ARE: AIRCRAFT REWORK APRON, RECLAMATION APRON, ARMAMENT AND DISARMAMENT PAD, PREDOCK/POSTDOCK APRON, AIRCRAFT CORROSION CONTROL FACILITY, GROUND CHECK/FLIGHT TEST SUPPORT. THERE ARE NO SPECIFIC CRITERIA DEVELOPED FOR THIS CATEGORY CODE.</t>
        </is>
      </c>
    </row>
    <row r="414">
      <c r="C414" s="143" t="inlineStr">
        <is>
          <t>211 92</t>
        </is>
      </c>
      <c r="D414" s="143" t="inlineStr">
        <is>
          <t>COVERED GRND CK/FLIHT TEST</t>
        </is>
      </c>
      <c r="E414" s="143" t="inlineStr">
        <is>
          <t>SF</t>
        </is>
      </c>
      <c r="F414" s="143" t="n"/>
      <c r="G414" s="143" t="n"/>
      <c r="H414" s="143" t="n"/>
      <c r="I414" s="143" t="inlineStr">
        <is>
          <t>A COVERED GROUND CHECK/FLIGHT TEST FACILITY IS REQUIRED FOR THE NAVAL AIR DEPOT (NAVAIR DEPOT).</t>
        </is>
      </c>
    </row>
    <row r="415">
      <c r="C415" s="143" t="inlineStr">
        <is>
          <t>211 93</t>
        </is>
      </c>
      <c r="D415" s="143" t="inlineStr">
        <is>
          <t>ENGINEERING LABORATORY</t>
        </is>
      </c>
      <c r="E415" s="143" t="inlineStr">
        <is>
          <t>SF</t>
        </is>
      </c>
      <c r="F415" s="143" t="n"/>
      <c r="G415" s="143" t="n"/>
      <c r="H415" s="143" t="n"/>
      <c r="I415" s="143" t="inlineStr">
        <is>
          <t>AN ENGINEERING LAB IS REQUIRED TO PROVIDE SPACE TO SUPPORT NAVAIR DEPOT-SPECIFIC MAINTENANCE AND PRODUCTION FUNCTIONS. INCLUDED WITHIN THIS CATEGORY CODE ARE: MATERIAL HANDLERS/PARTS EXPEDITERS, MATERIAL CONTROL LABORATORY, STANDARDS LABORATORY, PROGRAMMER¿S ¿ AUTOMATIC TEST EQUIPMENT AND NUMERICAL CONTROLLED MACHINE. THERE ARE NO SPECIFIC CRITERIA DEVELOPED FOR THIS CATEGORY CODE.</t>
        </is>
      </c>
    </row>
    <row r="416">
      <c r="C416" s="143" t="inlineStr">
        <is>
          <t>211 94</t>
        </is>
      </c>
      <c r="D416" s="143" t="inlineStr">
        <is>
          <t>AIRCRAFT POWER CHECK FAC</t>
        </is>
      </c>
      <c r="E416" s="143" t="inlineStr">
        <is>
          <t>SF</t>
        </is>
      </c>
      <c r="F416" s="143" t="n"/>
      <c r="G416" s="143" t="n"/>
      <c r="H416" s="143" t="n"/>
      <c r="I416" s="143" t="inlineStr">
        <is>
          <t>AIRCRAFT POWER CHECK FACILITIES ARE REQUIRED TO PERFORM NAVAIR DEPOT-SPECIFIC MAINTENANCE AND PRODUCTION FUNCTIONS. INCLUDED WITHIN THIS CATEGORY CODE ARE: POWER CHECK PADS WITH AND WITHOUT SUPPRESSION, PROPELLOR AIRCRAFT, HELICOPTER AIRCRAFT AND VSTOL AIRCRAFT POWER CHECK PADS.</t>
        </is>
      </c>
    </row>
    <row r="417">
      <c r="C417" s="143" t="inlineStr">
        <is>
          <t>211 95</t>
        </is>
      </c>
      <c r="D417" s="143" t="inlineStr">
        <is>
          <t>MATERIAL &amp; EQUIP STAG/STOR</t>
        </is>
      </c>
      <c r="E417" s="143" t="inlineStr">
        <is>
          <t>SF</t>
        </is>
      </c>
      <c r="F417" s="143" t="n"/>
      <c r="G417" s="143" t="n"/>
      <c r="H417" s="143" t="n"/>
      <c r="I417" s="143" t="inlineStr">
        <is>
          <t>A MATERIAL AND EQUIPMENT STAGING/STORAGE FACILITY FOR NAVAL AIR DEPOT (NAVAIR DEPOT) IS REQUIRED TO PROVIDE SPACE FOR PACKAGING AND PRESERVATION OF MATERIAL. THERE ARE NO SPECIFIC CRITERIA DEVELOPED FOR THIS CATEGORY CODE.</t>
        </is>
      </c>
    </row>
    <row r="418">
      <c r="C418" s="143" t="inlineStr">
        <is>
          <t>211 96</t>
        </is>
      </c>
      <c r="D418" s="143" t="inlineStr">
        <is>
          <t>MAINT AC SPARE / STOR</t>
        </is>
      </c>
      <c r="E418" s="143" t="inlineStr">
        <is>
          <t>SF</t>
        </is>
      </c>
      <c r="F418" s="143" t="n"/>
      <c r="G418" s="143" t="n"/>
      <c r="H418" s="143" t="n"/>
      <c r="I418" s="143" t="inlineStr">
        <is>
          <t>AIRCRAFT PARTS/SPARES STORAGE FACILITY.</t>
        </is>
      </c>
    </row>
    <row r="419">
      <c r="C419" s="143" t="inlineStr">
        <is>
          <t>211 97</t>
        </is>
      </c>
      <c r="D419" s="143" t="inlineStr">
        <is>
          <t>PLANT SERVICES FOR A/C OH</t>
        </is>
      </c>
      <c r="E419" s="143" t="inlineStr">
        <is>
          <t>SF</t>
        </is>
      </c>
      <c r="F419" s="143" t="n"/>
      <c r="G419" s="143" t="n"/>
      <c r="H419" s="143" t="n"/>
      <c r="I419" s="143" t="inlineStr">
        <is>
          <t>AIRCRAFT OVERHAUL FACILITY IS USED FOR FUNCTIONS SUCH AS MANAGEMENT, SUPERVISION, ENGINEERING, CLERICAL FUNCTIONS, PLANT MAINTENANCE, CENTRAL OR GENERAL STORAGE, QUALITY ASSURANCE, AND MATERIALS TESTING. THIS CATCODE INCLUDES OFFICES, CAFETERIAS, SUPERVISORS¿ WORK SPACE, SHOP PARTS STORAGE AREAS, DISPATCHING FACILITIES, INSPECTION FACILITIES, STAIRWELLS, AUXILIARY EQUIPMENT ROOMS, WALLS, ETC.</t>
        </is>
      </c>
    </row>
    <row r="420">
      <c r="C420" s="143" t="inlineStr">
        <is>
          <t>211 98</t>
        </is>
      </c>
      <c r="D420" s="143" t="inlineStr">
        <is>
          <t>A/C ACOUSTICAL ENCLOSURE</t>
        </is>
      </c>
      <c r="E420" s="143" t="inlineStr">
        <is>
          <t>SF</t>
        </is>
      </c>
      <c r="F420" s="143" t="n"/>
      <c r="G420" s="143" t="n"/>
      <c r="H420" s="143" t="n"/>
      <c r="I420" s="143" t="inlineStr">
        <is>
          <t>THE AIRCRAFT ACOUSTICAL ENCLOSURE, SOMETIMES REFERRED TO AS A HUSH HOUSE, IS A TOTAL ENCLOSURE FOR FIXED WING AIRCRAFT DESIGNED TO ABATE NOISE DURING IN-FRAME RUN-UP OF JET ENGINES. THERE ARE NO SPECIFIC CRITERIA DEVELOPED FOR THIS CATEGORY CODE.</t>
        </is>
      </c>
    </row>
    <row r="421">
      <c r="C421" s="143" t="inlineStr">
        <is>
          <t>211 99</t>
        </is>
      </c>
      <c r="D421" s="143" t="inlineStr">
        <is>
          <t>HAZARDOUS MATERIAL STORE</t>
        </is>
      </c>
      <c r="E421" s="143" t="inlineStr">
        <is>
          <t>SF</t>
        </is>
      </c>
      <c r="F421" s="143" t="n"/>
      <c r="G421" s="143" t="n"/>
      <c r="H421" s="143" t="n"/>
      <c r="I421" s="143" t="inlineStr">
        <is>
          <t>A HAZARDOUS MATERIAL STOREHOUSE FOR NAVAL AIR DEPOT (NAVAIR DEPOT) IS REQUIRED TO PROVIDE SPACE FOR THE STORAGE OF HAZARDOUS SUBSTANCES AND MATERIALS. THERE ARE NO SPECIFIC CRITERIA DEVELOPED FOR THIS CATEGORY CODE.</t>
        </is>
      </c>
    </row>
    <row r="422">
      <c r="C422" s="143" t="inlineStr">
        <is>
          <t>212 10</t>
        </is>
      </c>
      <c r="D422" s="143" t="inlineStr">
        <is>
          <t>GUIDED MISSILE INTEGRA FAC</t>
        </is>
      </c>
      <c r="E422" s="143" t="inlineStr">
        <is>
          <t>SF</t>
        </is>
      </c>
      <c r="F422" s="143" t="n"/>
      <c r="G422" s="143" t="n"/>
      <c r="H422" s="143" t="n"/>
      <c r="I422" s="143" t="inlineStr">
        <is>
          <t>THE PURPOSE OF THIS FACILITY IS TO ASSEMBLE NEW-PRODUCTION COMPONENTS OF AIR LAUNCHED GUIDED MISSILES AND PERFORM ANY REQUIRED MAINTENANCE ON FLEET RETURNED ALL- UP-ROUND (AUR) MISSILES OR COMPONENTS.</t>
        </is>
      </c>
    </row>
    <row r="423">
      <c r="C423" s="143" t="inlineStr">
        <is>
          <t>212 20</t>
        </is>
      </c>
      <c r="D423" s="143" t="inlineStr">
        <is>
          <t>MISSILE EQUIP MAINT SHOP</t>
        </is>
      </c>
      <c r="E423" s="143" t="inlineStr">
        <is>
          <t>SF</t>
        </is>
      </c>
      <c r="F423" s="143" t="n"/>
      <c r="G423" s="143" t="n"/>
      <c r="H423" s="143" t="n"/>
      <c r="I423" s="143" t="inlineStr">
        <is>
          <t>MISSILE EQUIPMENT MAINTENANCE SHOP.</t>
        </is>
      </c>
    </row>
    <row r="424">
      <c r="C424" s="143" t="inlineStr">
        <is>
          <t>212 30</t>
        </is>
      </c>
      <c r="D424" s="143" t="inlineStr">
        <is>
          <t>MISSILE ASSBLY &amp; TEST BLDG</t>
        </is>
      </c>
      <c r="E424" s="143" t="inlineStr">
        <is>
          <t>SF</t>
        </is>
      </c>
      <c r="F424" s="143" t="n"/>
      <c r="G424" s="143" t="n"/>
      <c r="H424" s="143" t="n"/>
      <c r="I424" s="143" t="inlineStr">
        <is>
          <t>THIS FACILITY IS REQUIRED FOR INTERMEDIATE LEVEL MAINTENANCE OF SURFACE LAUNCHED GUIDED MISSILES.</t>
        </is>
      </c>
    </row>
    <row r="425">
      <c r="C425" s="143" t="inlineStr">
        <is>
          <t>212 40</t>
        </is>
      </c>
      <c r="D425" s="143" t="inlineStr">
        <is>
          <t>MISSILE COMPT SLING TESTER</t>
        </is>
      </c>
      <c r="E425" s="143" t="inlineStr">
        <is>
          <t>EA</t>
        </is>
      </c>
      <c r="F425" s="143" t="n"/>
      <c r="G425" s="143" t="n"/>
      <c r="H425" s="143" t="n"/>
      <c r="I425" s="143" t="inlineStr">
        <is>
          <t>THIS FACILITY IS USED TO TEST THE TENSILE STRENGTH OF ALL FORMS OF WEAPONS HANDLING EQUIPMENT SUCH AS SLINGS, BEAMS, BARS, ETC. IT IS USED IN TESTING DEVELOPMENTAL EQUIPMENT AND THE PERIODIC TESTING OF HANDLING EQUIPMENT.</t>
        </is>
      </c>
    </row>
    <row r="426">
      <c r="C426" s="143" t="inlineStr">
        <is>
          <t>212 50</t>
        </is>
      </c>
      <c r="D426" s="143" t="inlineStr">
        <is>
          <t>SUB BAL MISSILE PROCES FAC</t>
        </is>
      </c>
      <c r="E426" s="143" t="inlineStr">
        <is>
          <t>SF</t>
        </is>
      </c>
      <c r="F426" s="143" t="n"/>
      <c r="G426" s="143" t="n"/>
      <c r="H426" s="143" t="n"/>
      <c r="I426" s="143" t="inlineStr">
        <is>
          <t>THESE FACILITIES ARE REQUIRED TO RECEIVE COMPONENTS; CHECKOUT, ASSEMBLE, REFURBISH, AND REPAIR SUBMARINE LAUNCHED BALLISTIC MISSILES. NO PLANNING FACTORS ARE CURRENTLY AVAILABLE FOR THIS FACILITY.</t>
        </is>
      </c>
    </row>
    <row r="427">
      <c r="C427" s="143" t="inlineStr">
        <is>
          <t>212 77</t>
        </is>
      </c>
      <c r="D427" s="143" t="inlineStr">
        <is>
          <t>MISSILE/SPARE STRG(MISC)</t>
        </is>
      </c>
      <c r="E427" s="143" t="inlineStr">
        <is>
          <t>SF</t>
        </is>
      </c>
      <c r="F427" s="143" t="n"/>
      <c r="G427" s="143" t="n"/>
      <c r="H427" s="143" t="n"/>
      <c r="I427" s="143" t="inlineStr">
        <is>
          <t>THESE FACILITIES ARE STORAGE FACILITIES FOR MISCELLANEOUS EQUIPMENT OR GOODS RELATED TO GUIDED MISSILES. THERE ARE NO CRITERIA FOR THIS TYPE OF FACILITY.</t>
        </is>
      </c>
    </row>
    <row r="428">
      <c r="C428" s="143" t="inlineStr">
        <is>
          <t>213 10</t>
        </is>
      </c>
      <c r="D428" s="143" t="inlineStr">
        <is>
          <t>DRYDOCK</t>
        </is>
      </c>
      <c r="E428" s="143" t="inlineStr">
        <is>
          <t>SF</t>
        </is>
      </c>
      <c r="F428" s="143" t="n"/>
      <c r="G428" s="143" t="n"/>
      <c r="H428" s="143" t="n"/>
      <c r="I428" s="143" t="inlineStr">
        <is>
          <t>A DRY DOCK IS A LONG NARROW BASIN SITED IN THE FORESHORE OF A HARBOR. ITS ENTRANCE IS CLOSED BY A MOVABLE CAISSON OR BY GATES. THE BASIN IS SO CONSTRUCTED THAT A VESSEL MAY BE PLACED IN IT AND THE WATER REMOVED, ALLOWING THE VESSEL TO SETTLE ON SUPPORTS LOCATED ON THE DOCK FLOOR.</t>
        </is>
      </c>
    </row>
    <row r="429">
      <c r="C429" s="143" t="inlineStr">
        <is>
          <t>213 20</t>
        </is>
      </c>
      <c r="D429" s="143" t="inlineStr">
        <is>
          <t>MARINE RAILWAY</t>
        </is>
      </c>
      <c r="E429" s="143" t="inlineStr">
        <is>
          <t>EA</t>
        </is>
      </c>
      <c r="F429" s="143" t="n"/>
      <c r="G429" s="143" t="n"/>
      <c r="H429" s="143" t="n"/>
      <c r="I429" s="143" t="inlineStr">
        <is>
          <t>THE FUNCTION OF A MARINE RAILWAY IS TO BRING A VESSEL OUT OF THE WATER FOR THE PURPOSE OF MAKING ALL PARTS AVAILABLE FOR OVERHAUL, AND TO RETURN THE VESSEL TO THE WATER WHEN THE WORK IS FINISHED.</t>
        </is>
      </c>
    </row>
    <row r="430">
      <c r="C430" s="143" t="inlineStr">
        <is>
          <t>213 30</t>
        </is>
      </c>
      <c r="D430" s="143" t="inlineStr">
        <is>
          <t>SHORE INTERMED MAINT FCTY</t>
        </is>
      </c>
      <c r="E430" s="143" t="inlineStr">
        <is>
          <t>SF</t>
        </is>
      </c>
      <c r="F430" s="143" t="n"/>
      <c r="G430" s="143" t="n"/>
      <c r="H430" s="143" t="n"/>
      <c r="I430" s="143" t="inlineStr">
        <is>
          <t>THIS FACILITY (SIMA) PROVIDES SPACE FOR THE FLEET INTERMEDIATE LEVEL MAINTENANCE OPERATIONS. A SIMA HAS TWO BASIC COMPONENTS: MAINTENANCE SHOPS AND ADMINISTRATION.</t>
        </is>
      </c>
    </row>
    <row r="431">
      <c r="C431" s="143" t="inlineStr">
        <is>
          <t>213 40</t>
        </is>
      </c>
      <c r="D431" s="143" t="inlineStr">
        <is>
          <t>FIXED CRANE STRUCTURES</t>
        </is>
      </c>
      <c r="E431" s="143" t="inlineStr">
        <is>
          <t>EA</t>
        </is>
      </c>
      <c r="F431" s="143" t="n"/>
      <c r="G431" s="143" t="n"/>
      <c r="H431" s="143" t="n"/>
      <c r="I431" s="143" t="inlineStr">
        <is>
          <t>THE PRINCIPAL TYPES OF FIXED CRANES ARE PILLAR, PILLAR-JIB, AND JIB. THE HAMMERHEAD AND TOWER CRANES ARE ALSO CLASSED AS STATIONARY WHEN MOUNTED ON FIXED TOWERS.</t>
        </is>
      </c>
    </row>
    <row r="432">
      <c r="C432" s="143" t="inlineStr">
        <is>
          <t>213 41</t>
        </is>
      </c>
      <c r="D432" s="143" t="inlineStr">
        <is>
          <t>CENTRAL TOOL SHOP</t>
        </is>
      </c>
      <c r="E432" s="143" t="inlineStr">
        <is>
          <t>SF</t>
        </is>
      </c>
      <c r="F432" s="143" t="n"/>
      <c r="G432" s="143" t="n"/>
      <c r="H432" s="143" t="n"/>
      <c r="I432" s="143" t="inlineStr">
        <is>
          <t>THE CENTRAL TOOL SHOP IS RESPONSIBLE FOR THE DESIGN, DEVELOPMENT, MANUFACTURE AND MAINTENANCE OF PROTOTYPE AND CONVENTIONAL TOOLING SUCH AS CUTTING MACHINES, DIES, MOLDS, CLEANLINESS PLUGS, CUTTERS, JIGS, FIXTURES, AND SPECIAL TOOLS.</t>
        </is>
      </c>
    </row>
    <row r="433">
      <c r="C433" s="143" t="inlineStr">
        <is>
          <t>213 42</t>
        </is>
      </c>
      <c r="D433" s="143" t="inlineStr">
        <is>
          <t>SHIPFITTING SHOP</t>
        </is>
      </c>
      <c r="E433" s="143" t="inlineStr">
        <is>
          <t>SF</t>
        </is>
      </c>
      <c r="F433" s="143" t="n"/>
      <c r="G433" s="143" t="n"/>
      <c r="H433" s="143" t="n"/>
      <c r="I433" s="143" t="inlineStr">
        <is>
          <t>THE SHIPFITTING SHOP IS RESPONSIBLE FOR THE BACK-SHOP MODIFICATION, FABRICATION, REPAIR, AND ASSEMBLY OF VARIOUS METAL STRUCTURAL PARTS OF THE SHIP¿S HULL, SUPERSTRUCTURE AND INTERIOR SHIP STRUCTURE BY USING SHIPFITTING EQUIPMENT.</t>
        </is>
      </c>
    </row>
    <row r="434">
      <c r="C434" s="143" t="inlineStr">
        <is>
          <t>213 43</t>
        </is>
      </c>
      <c r="D434" s="143" t="inlineStr">
        <is>
          <t>SHEET METAL SHOP</t>
        </is>
      </c>
      <c r="E434" s="143" t="inlineStr">
        <is>
          <t>SF</t>
        </is>
      </c>
      <c r="F434" s="143" t="n"/>
      <c r="G434" s="143" t="n"/>
      <c r="H434" s="143" t="n"/>
      <c r="I434" s="143" t="inlineStr">
        <is>
          <t>THE SHEET METAL SHOP IS RESPONSIBLE FOR DEVELOPING, FABRICATING, AND INSTALLING VENTILATION AND AIR CONDITIONING DUCTWORK; WORKSHOP AND STOWAGE FACILITIES, OUTFITTING THE GALLEY, LABEL PLATES, SOME BERTHING, BULKHEAD AND PARTITIONS AND HABITABILITY AND OFFICE SPACE FITTINGS FOR VESSELS.</t>
        </is>
      </c>
    </row>
    <row r="435">
      <c r="C435" s="143" t="inlineStr">
        <is>
          <t>213 44</t>
        </is>
      </c>
      <c r="D435" s="143" t="inlineStr">
        <is>
          <t>FORGE &amp; HEAT TRT SP</t>
        </is>
      </c>
      <c r="E435" s="143" t="inlineStr">
        <is>
          <t>SF</t>
        </is>
      </c>
      <c r="F435" s="143" t="n"/>
      <c r="G435" s="143" t="n"/>
      <c r="H435" s="143" t="n"/>
      <c r="I435" s="143" t="inlineStr">
        <is>
          <t>THE FORGE AND HEAT TREATING SHOP IS RESPONSIBLE FOR HOT-FORGING, HEAT TREATING, INSPECTING, CLEANING, AND REPAIRING VARIOUS METAL STRUCTURAL PARTS OF A SHIP¿S HULL, SUPERSTRUCTURE, INTERIOR SHIP STRUCTURE, MECHANICAL SYSTEMS, MACHINERY SYSTEMS, ANCHOR CHAIN, AND SHIP¿S PROPELLERS</t>
        </is>
      </c>
    </row>
    <row r="436">
      <c r="C436" s="143" t="inlineStr">
        <is>
          <t>213 45</t>
        </is>
      </c>
      <c r="D436" s="143" t="inlineStr">
        <is>
          <t>WELDING SHOP</t>
        </is>
      </c>
      <c r="E436" s="143" t="inlineStr">
        <is>
          <t>SF</t>
        </is>
      </c>
      <c r="F436" s="143" t="n"/>
      <c r="G436" s="143" t="n"/>
      <c r="H436" s="143" t="n"/>
      <c r="I436" s="143" t="inlineStr">
        <is>
          <t>THE WELDING SHOP IS RESPONSIBLE FOR ALL OF THE WELDING, FLAME CUTTING, CARBON ARC GAUGING, AND RELATED PROCESSES REQUIRED BY THE VARIOUS SHOPS OF THE OPERATIONS AND PRODUCTION RESOURCES DEPARTMENTS OF THE SHIPYARD AND THE PUBLIC WORKS CENTER LOCATED AT THE SHIPYARD.</t>
        </is>
      </c>
    </row>
    <row r="437">
      <c r="C437" s="143" t="inlineStr">
        <is>
          <t>213 48</t>
        </is>
      </c>
      <c r="D437" s="143" t="inlineStr">
        <is>
          <t>QUALITY ASSUR OFF</t>
        </is>
      </c>
      <c r="E437" s="143" t="inlineStr">
        <is>
          <t>SF</t>
        </is>
      </c>
      <c r="F437" s="143" t="n"/>
      <c r="G437" s="143" t="n"/>
      <c r="H437" s="143" t="n"/>
      <c r="I437" s="143" t="inlineStr">
        <is>
          <t>THE QUALITY ASSURANCE OFFICE IS RESPONSIBLE FOR INSPECTION AND TESTS TO DETERMINE COMPLIANCE WITH SPECIFICATIONS, PLANS, ORDERS, DIRECTIVES, AND SOUND SHOP AND MARINE PRACTICES; NON-DESTRUCTIVE TESTING SERVICES; AND TECHNICAL DIRECTION, CONSULTING AND ADVISORY SERVICES ON THOSE PROCESSES, MATERIALS, AND SYSTEMS FOR FABRICATION AND REPAIR TO SHOPS.</t>
        </is>
      </c>
    </row>
    <row r="438">
      <c r="C438" s="143" t="inlineStr">
        <is>
          <t>213 49</t>
        </is>
      </c>
      <c r="D438" s="143" t="inlineStr">
        <is>
          <t>INSIDE MACH SHOP</t>
        </is>
      </c>
      <c r="E438" s="143" t="inlineStr">
        <is>
          <t>SF</t>
        </is>
      </c>
      <c r="F438" s="143" t="n"/>
      <c r="G438" s="143" t="n"/>
      <c r="H438" s="143" t="n"/>
      <c r="I438" s="143" t="inlineStr">
        <is>
          <t>THE INSIDE MACHINING SHOP IS RESPONSIBLE FOR PERFORMING HORIZONTAL BORING, VERTICAL BORING, PLANING AND HEAVY LATHE WORK IN MANUFACTURING, ALTERING, AND REPAIRING SHIP MACHINERY AND SHIPYARD MANUFACTURED ITEMS.</t>
        </is>
      </c>
    </row>
    <row r="439">
      <c r="C439" s="143" t="inlineStr">
        <is>
          <t>213 50</t>
        </is>
      </c>
      <c r="D439" s="143" t="inlineStr">
        <is>
          <t>OPTICAL SHOP</t>
        </is>
      </c>
      <c r="E439" s="143" t="inlineStr">
        <is>
          <t>SF</t>
        </is>
      </c>
      <c r="F439" s="143" t="n"/>
      <c r="G439" s="143" t="n"/>
      <c r="H439" s="143" t="n"/>
      <c r="I439" s="143" t="inlineStr">
        <is>
          <t>OPTICAL SHOP.</t>
        </is>
      </c>
    </row>
    <row r="440">
      <c r="C440" s="143" t="inlineStr">
        <is>
          <t>213 51</t>
        </is>
      </c>
      <c r="D440" s="143" t="inlineStr">
        <is>
          <t>WEAPONS SHOP</t>
        </is>
      </c>
      <c r="E440" s="143" t="inlineStr">
        <is>
          <t>SF</t>
        </is>
      </c>
      <c r="F440" s="143" t="n"/>
      <c r="G440" s="143" t="n"/>
      <c r="H440" s="143" t="n"/>
      <c r="I440" s="143" t="inlineStr">
        <is>
          <t>THE WEAPONS SHOP IS RESPONSIBLE FOR THE REPAIR, OVERHAUL, ALIGNMENT, INSTALLATION, CHECKING OUT, TESTING AND CALIBRATION OF ALL WEAPONS AND INTEGRATED SYSTEMS.</t>
        </is>
      </c>
    </row>
    <row r="441">
      <c r="C441" s="143" t="inlineStr">
        <is>
          <t>213 52</t>
        </is>
      </c>
      <c r="D441" s="143" t="inlineStr">
        <is>
          <t>MARINE MACH SHOP</t>
        </is>
      </c>
      <c r="E441" s="143" t="inlineStr">
        <is>
          <t>SF</t>
        </is>
      </c>
      <c r="F441" s="143" t="n"/>
      <c r="G441" s="143" t="n"/>
      <c r="H441" s="143" t="n"/>
      <c r="I441" s="143" t="inlineStr">
        <is>
          <t>THE MARINE MACHINING SHOP IS RESPONSIBLE FOR THE INSTALLATION AND TESTING OF ALL MAIN PROPULSION MACHINERY, AUXILIARIES, RUDDERS, SHAFTING, SEA VALVES, DECK MACHINERY, LAUNDRY AND GALLEY EQUIPMENT, ARRESTING GEAR, AND CATAPULTS ON SHIPS UNDERGOING REPAIR AND CONVERSION.</t>
        </is>
      </c>
    </row>
    <row r="442">
      <c r="C442" s="143" t="inlineStr">
        <is>
          <t>213 53</t>
        </is>
      </c>
      <c r="D442" s="143" t="inlineStr">
        <is>
          <t>BOILERMAKING SHOP</t>
        </is>
      </c>
      <c r="E442" s="143" t="inlineStr">
        <is>
          <t>SF</t>
        </is>
      </c>
      <c r="F442" s="143" t="n"/>
      <c r="G442" s="143" t="n"/>
      <c r="H442" s="143" t="n"/>
      <c r="I442" s="143" t="inlineStr">
        <is>
          <t>THE BOILERMAKING SHOP IS RESPONSIBLE FOR THE REPAIR, CONVERSION, AND BUILDING OF STEAM GENERATING EQUIPMENT USED TO FURNISH STEAM TO MAIN AND AUXILIARY MACHINERY.</t>
        </is>
      </c>
    </row>
    <row r="443">
      <c r="C443" s="143" t="inlineStr">
        <is>
          <t>213 54</t>
        </is>
      </c>
      <c r="D443" s="143" t="inlineStr">
        <is>
          <t>ELECTRICAL SHOP</t>
        </is>
      </c>
      <c r="E443" s="143" t="inlineStr">
        <is>
          <t>SF</t>
        </is>
      </c>
      <c r="F443" s="143" t="n"/>
      <c r="G443" s="143" t="n"/>
      <c r="H443" s="143" t="n"/>
      <c r="I443" s="143" t="inlineStr">
        <is>
          <t>THE ELECTRICAL SHOP IS RESPONSIBLE FOR ACCOMPLISHING THE INSTALLATION, REPAIR, MAINTENANCE, ALTERATION, TROUBLESHOOTING, AND TEST OF ALL POWER, LIGHTING, AND INTERIOR COMMUNICATION SYSTEMS AND EQUIPMENT ABOARD NAVAL SHIPS AND SUBMARINES;</t>
        </is>
      </c>
    </row>
    <row r="444">
      <c r="C444" s="143" t="inlineStr">
        <is>
          <t>213 55</t>
        </is>
      </c>
      <c r="D444" s="143" t="inlineStr">
        <is>
          <t>PIPEFITTING SHOP</t>
        </is>
      </c>
      <c r="E444" s="143" t="inlineStr">
        <is>
          <t>SF</t>
        </is>
      </c>
      <c r="F444" s="143" t="n"/>
      <c r="G444" s="143" t="n"/>
      <c r="H444" s="143" t="n"/>
      <c r="I444" s="143" t="inlineStr">
        <is>
          <t>THE PIPEFITTING SHOP IS RESPONSIBLE FOR ACCOMPLISHING THE LAYOUT, FABRICATION, INSTALLATION, DISMANTLING, REPAIR, CLEANING, TESTING, AND INSPECTION OF PIPING SYSTEMS AND GASKETS ON BOTH NUCLEAR AND NON-NUCLEAR SYSTEMS IN THE SHOP AS WELL AS ONBOARD SHIPS AND SUBMARINES;</t>
        </is>
      </c>
    </row>
    <row r="445">
      <c r="C445" s="143" t="inlineStr">
        <is>
          <t>213 56</t>
        </is>
      </c>
      <c r="D445" s="143" t="inlineStr">
        <is>
          <t>WOODWORKING SHOP</t>
        </is>
      </c>
      <c r="E445" s="143" t="inlineStr">
        <is>
          <t>SF</t>
        </is>
      </c>
      <c r="F445" s="143" t="n"/>
      <c r="G445" s="143" t="n"/>
      <c r="H445" s="143" t="n"/>
      <c r="I445" s="143" t="inlineStr">
        <is>
          <t>THE WOODWORKING SHOP IS RESPONSIBLE FOR ACCOMPLISHING OPERATIONS PERFORMED BY BOAT BUILDERS, WOODCRAFTSMEN, AND SHIPWRIGHTS TO CONSTRUCT AND REPAIR WOODEN AND PLASTIC BOATS, WOODEN PORTABLE BUILDINGS AND SHELTERS, HOLLOW BOOMS, WOODEN TANK, PRACTICE TORPEDOES, AND FLIGHT DECK PANELS; AS WELL AS REPAIR AND MAINTENANCE OF ANY WOOD OR WOOD RELATED ITEMS ABOARD SHIP.</t>
        </is>
      </c>
    </row>
    <row r="446">
      <c r="C446" s="143" t="inlineStr">
        <is>
          <t>213 57</t>
        </is>
      </c>
      <c r="D446" s="143" t="inlineStr">
        <is>
          <t>ELECTRONICS SHOP</t>
        </is>
      </c>
      <c r="E446" s="143" t="inlineStr">
        <is>
          <t>SF</t>
        </is>
      </c>
      <c r="F446" s="143" t="n"/>
      <c r="G446" s="143" t="n"/>
      <c r="H446" s="143" t="n"/>
      <c r="I446" s="143" t="inlineStr">
        <is>
          <t>THE ELECTRONICS SHOP IS RESPONSIBLE FOR ACCOMPLISHING INSTALLATION, REPAIR, OVERHAUL, MODIFICATION CHECK-OUT, ADJUSTMENT, TEST, AND CALIBRATION OF RADAR, SONAR, COMMUNICATIONS, CRYPTOGRAPHIC DATA PROCESSING, ANTENNAS, NAVIGATION, AND ELECTRONIC COUNTERMEASURE EQUIPMENT AND SYSTEMS ON AND FOR SURFACE SHIPS, SUBMARINES, AND SHORE STATIONS.</t>
        </is>
      </c>
    </row>
    <row r="447">
      <c r="C447" s="143" t="inlineStr">
        <is>
          <t>213 58</t>
        </is>
      </c>
      <c r="D447" s="143" t="inlineStr">
        <is>
          <t>BOAT SHOP</t>
        </is>
      </c>
      <c r="E447" s="143" t="inlineStr">
        <is>
          <t>SF</t>
        </is>
      </c>
      <c r="F447" s="143" t="n"/>
      <c r="G447" s="143" t="n"/>
      <c r="H447" s="143" t="n"/>
      <c r="I447" s="143" t="inlineStr">
        <is>
          <t>OPERATIONAL BOAT SHOP.</t>
        </is>
      </c>
    </row>
    <row r="448">
      <c r="C448" s="143" t="inlineStr">
        <is>
          <t>213 59</t>
        </is>
      </c>
      <c r="D448" s="143" t="inlineStr">
        <is>
          <t>ABRASIVE BLAST FACILITY</t>
        </is>
      </c>
      <c r="E448" s="143" t="inlineStr">
        <is>
          <t>SF</t>
        </is>
      </c>
      <c r="F448" s="143" t="n"/>
      <c r="G448" s="143" t="n"/>
      <c r="H448" s="143" t="n"/>
      <c r="I448" s="143" t="inlineStr">
        <is>
          <t>ABRASIVE BLAST FACILITY.</t>
        </is>
      </c>
    </row>
    <row r="449">
      <c r="C449" s="143" t="inlineStr">
        <is>
          <t>213 60</t>
        </is>
      </c>
      <c r="D449" s="143" t="inlineStr">
        <is>
          <t>PAINT &amp; BLASTNG SHP</t>
        </is>
      </c>
      <c r="E449" s="143" t="inlineStr">
        <is>
          <t>SF</t>
        </is>
      </c>
      <c r="F449" s="143" t="n"/>
      <c r="G449" s="143" t="n"/>
      <c r="H449" s="143" t="n"/>
      <c r="I449" s="143" t="inlineStr">
        <is>
          <t>THE PAINT AND BLASTING SHOP IS RESPONSIBLE FOR SURFACE PREPARATION, INCLUDING ABRASIVE BLASTING, FOR THE APPLICATION OR INSTALLATION OF PROTECTIVE, DECORATIVE, AND FUNCTIONAL PAINTS, COATINGS, FILMS, AND FOR INSTALLATION OF DECK, FLOOR, AND WALL COVERINGS.</t>
        </is>
      </c>
    </row>
    <row r="450">
      <c r="C450" s="143" t="inlineStr">
        <is>
          <t>213 61</t>
        </is>
      </c>
      <c r="D450" s="143" t="inlineStr">
        <is>
          <t>RIGGING SHOP</t>
        </is>
      </c>
      <c r="E450" s="143" t="inlineStr">
        <is>
          <t>SF</t>
        </is>
      </c>
      <c r="F450" s="143" t="n"/>
      <c r="G450" s="143" t="n"/>
      <c r="H450" s="143" t="n"/>
      <c r="I450" s="143" t="inlineStr">
        <is>
          <t>THE RIGGING SHOP IS RESPONSIBLE FOR OPERATIONS PERFORMED BY RIGGERS, SAILMAKERS, TANK AND COMPONENT CLEANERS, LABORERS, UPHOLSTERERS, FABRIC WORKERS, AND DIVING OPERATIONS REQUIRED FOR REPAIR, OVERHAUL, CONVERSION, AND CONSTRUCTION OF NAVAL VESSELS AND EQUIPMENT.</t>
        </is>
      </c>
    </row>
    <row r="451">
      <c r="C451" s="143" t="inlineStr">
        <is>
          <t>213 62</t>
        </is>
      </c>
      <c r="D451" s="143" t="inlineStr">
        <is>
          <t>SAIL LOFT</t>
        </is>
      </c>
      <c r="E451" s="143" t="inlineStr">
        <is>
          <t>SF</t>
        </is>
      </c>
      <c r="F451" s="143" t="n"/>
      <c r="G451" s="143" t="n"/>
      <c r="H451" s="143" t="n"/>
      <c r="I451" s="143" t="inlineStr">
        <is>
          <t>SAIL LOFT.</t>
        </is>
      </c>
    </row>
    <row r="452">
      <c r="C452" s="143" t="inlineStr">
        <is>
          <t>213 63</t>
        </is>
      </c>
      <c r="D452" s="143" t="inlineStr">
        <is>
          <t>FOUNDRY</t>
        </is>
      </c>
      <c r="E452" s="143" t="inlineStr">
        <is>
          <t>SF</t>
        </is>
      </c>
      <c r="F452" s="143" t="n"/>
      <c r="G452" s="143" t="n"/>
      <c r="H452" s="143" t="n"/>
      <c r="I452" s="143" t="inlineStr">
        <is>
          <t>THE FOUNDRY IS RESPONSIBLE FOR MANUFACTURING CORES FOR IRON, STEEL, AND NON-FERROUS CASTING IN THE CORE UNIT; PREPARING AND MIXING SAND, PROCESSING AND MAKING MOLDS, STEEL CASTINGS, POURING STEEL FROM FURNACES, MELTING, AND MANUFACTURING STEEL, AND SHAKING OUT STEEL CASTINGS FROM MOLDS AFTER POURING IN THE STEEL FOUNDRY UNIT</t>
        </is>
      </c>
    </row>
    <row r="453">
      <c r="C453" s="143" t="inlineStr">
        <is>
          <t>213 64</t>
        </is>
      </c>
      <c r="D453" s="143" t="inlineStr">
        <is>
          <t>PATTERNMAKING SHOP</t>
        </is>
      </c>
      <c r="E453" s="143" t="inlineStr">
        <is>
          <t>SF</t>
        </is>
      </c>
      <c r="F453" s="143" t="n"/>
      <c r="G453" s="143" t="n"/>
      <c r="H453" s="143" t="n"/>
      <c r="I453" s="143" t="inlineStr">
        <is>
          <t>THE PATTERNMAKING SHOP IS RESPONSIBLE FOR THE MANUFACTURE, REPAIR, AND ALTERATION OF WOOD PATTERNS REQUIRED TO PRODUCE CASTINGS; MANUFACTURE OF METAL PARTS FOR WOOD AND PLASTIC PATTERNS AND METAL PATTERNS AND MANUFACTURE OF MOCK-UPS FOR PATTERNS.</t>
        </is>
      </c>
    </row>
    <row r="454">
      <c r="C454" s="143" t="inlineStr">
        <is>
          <t>213 65</t>
        </is>
      </c>
      <c r="D454" s="143" t="inlineStr">
        <is>
          <t>NUCLEAR REPAIR SHOP</t>
        </is>
      </c>
      <c r="E454" s="143" t="inlineStr">
        <is>
          <t>SF</t>
        </is>
      </c>
      <c r="F454" s="143" t="n"/>
      <c r="G454" s="143" t="n"/>
      <c r="H454" s="143" t="n"/>
      <c r="I454" s="143" t="inlineStr">
        <is>
          <t>THE NUCLEAR REPAIR SHOP IS RESPONSIBLE FOR THE REPAIR OF REACTOR PLANT COMPONENTS FOR NUCLEAR SHIPS.</t>
        </is>
      </c>
    </row>
    <row r="455">
      <c r="C455" s="143" t="inlineStr">
        <is>
          <t>213 66</t>
        </is>
      </c>
      <c r="D455" s="143" t="inlineStr">
        <is>
          <t>TEMP SERVICES SHOP</t>
        </is>
      </c>
      <c r="E455" s="143" t="inlineStr">
        <is>
          <t>SF</t>
        </is>
      </c>
      <c r="F455" s="143" t="n"/>
      <c r="G455" s="143" t="n"/>
      <c r="H455" s="143" t="n"/>
      <c r="I455" s="143" t="inlineStr">
        <is>
          <t>THE TEMPORARY SERVICES SHOP IS RESPONSIBLE FOR ELECTRICAL, PIPING, AND VENTILATION SYSTEMS AS RELATED TO TEMPORARY SERVICES.</t>
        </is>
      </c>
    </row>
    <row r="456">
      <c r="C456" s="143" t="inlineStr">
        <is>
          <t>213 67</t>
        </is>
      </c>
      <c r="D456" s="143" t="inlineStr">
        <is>
          <t>PUMPHOUSE, DRYDOCKS</t>
        </is>
      </c>
      <c r="E456" s="143" t="inlineStr">
        <is>
          <t>SF</t>
        </is>
      </c>
      <c r="F456" s="143" t="n"/>
      <c r="G456" s="143" t="n"/>
      <c r="H456" s="143" t="n"/>
      <c r="I456" s="143" t="inlineStr">
        <is>
          <t>THE DRY DOCK PUMPHOUSE IS USED TO HOUSE DRY DOCK DEWATERING PUMPS AND ASSOCIATED EQUIPMENT.</t>
        </is>
      </c>
    </row>
    <row r="457">
      <c r="C457" s="143" t="inlineStr">
        <is>
          <t>213 68</t>
        </is>
      </c>
      <c r="D457" s="143" t="inlineStr">
        <is>
          <t>DIVE SHOP</t>
        </is>
      </c>
      <c r="E457" s="143" t="inlineStr">
        <is>
          <t>SF</t>
        </is>
      </c>
      <c r="F457" s="143" t="n"/>
      <c r="G457" s="143" t="n"/>
      <c r="H457" s="143" t="n"/>
      <c r="I457" s="143" t="inlineStr">
        <is>
          <t>DIVE SHOP</t>
        </is>
      </c>
    </row>
    <row r="458">
      <c r="C458" s="143" t="inlineStr">
        <is>
          <t>213 70</t>
        </is>
      </c>
      <c r="D458" s="143" t="inlineStr">
        <is>
          <t>SHP SVCS SUPT BLDG</t>
        </is>
      </c>
      <c r="E458" s="143" t="inlineStr">
        <is>
          <t>SF</t>
        </is>
      </c>
      <c r="F458" s="143" t="n"/>
      <c r="G458" s="143" t="n"/>
      <c r="H458" s="143" t="n"/>
      <c r="I458" s="143" t="inlineStr">
        <is>
          <t>A SHIP SERVICES SUPPORT BUILDING IS USED TO PROVIDE OFFICE AND SHOP SPACE IN DIRECT SUPPORT OF MAINTENANCE AND REPAIR WORK FOR SURFACE SHIPS AND SUBMARINES.</t>
        </is>
      </c>
    </row>
    <row r="459">
      <c r="C459" s="143" t="inlineStr">
        <is>
          <t>213 73</t>
        </is>
      </c>
      <c r="D459" s="143" t="inlineStr">
        <is>
          <t>LANDING CRAFT WASH RACK</t>
        </is>
      </c>
      <c r="E459" s="143" t="inlineStr">
        <is>
          <t>EA</t>
        </is>
      </c>
      <c r="F459" s="143" t="n"/>
      <c r="G459" s="143" t="n"/>
      <c r="H459" s="143" t="n"/>
      <c r="I459" s="143" t="inlineStr">
        <is>
          <t>THE PRIMARY FUNCTION OF THIS FACILITY IS TO WASH DOWN LANDING CRAFT AIR CUSHIONS (LCAC) VEHICLES AFTER EVERY MISSION IN ORDER TO REMOVE SAND AND SALT SPRAY.</t>
        </is>
      </c>
    </row>
    <row r="460">
      <c r="C460" s="143" t="inlineStr">
        <is>
          <t>213 75</t>
        </is>
      </c>
      <c r="D460" s="143" t="inlineStr">
        <is>
          <t>AMPHIB VEHICLE MAINT SHOP</t>
        </is>
      </c>
      <c r="E460" s="143" t="inlineStr">
        <is>
          <t>SF</t>
        </is>
      </c>
      <c r="F460" s="143" t="n"/>
      <c r="G460" s="143" t="n"/>
      <c r="H460" s="143" t="n"/>
      <c r="I460" s="143" t="inlineStr">
        <is>
          <t>THE AMPHIBIAN VEHICLE MAINTENANCE SHOP PROVIDES SPECIAL WORK AREAS FOR PERFORMING ALL ORGANIZATIONAL MAINTENANCE FUNCTIONS ON THE AMPHIBIAN VEHICLES OF THE MARINE CORPS AMPHIBIOUS TRACTOR BATTALION AND IN THE CASE OF THE NAVY, ALL ORGANIZATIONAL AND INTERMEDIATE LEVEL MAINTENANCE ON LANDING CRAFT AIR CUSHION (LCAC) VEHICLES.</t>
        </is>
      </c>
    </row>
    <row r="461">
      <c r="C461" s="143" t="inlineStr">
        <is>
          <t>213 77</t>
        </is>
      </c>
      <c r="D461" s="143" t="inlineStr">
        <is>
          <t>MAINT SHPS/SPRS STRG</t>
        </is>
      </c>
      <c r="E461" s="143" t="inlineStr">
        <is>
          <t>SF</t>
        </is>
      </c>
      <c r="F461" s="143" t="n"/>
      <c r="G461" s="143" t="n"/>
      <c r="H461" s="143" t="n"/>
      <c r="I461" s="143" t="inlineStr">
        <is>
          <t>STORAGE FACILITIES FOR MISCELLANEOUS EQUIPMENT OR GOODS RELATED TO SHIP MAINTENANCE</t>
        </is>
      </c>
    </row>
    <row r="462">
      <c r="C462" s="143" t="inlineStr">
        <is>
          <t>214 10</t>
        </is>
      </c>
      <c r="D462" s="143" t="inlineStr">
        <is>
          <t>COMBAT VEHICLE MAINT SHOP</t>
        </is>
      </c>
      <c r="E462" s="143" t="inlineStr">
        <is>
          <t>SF</t>
        </is>
      </c>
      <c r="F462" s="143" t="n"/>
      <c r="G462" s="143" t="n"/>
      <c r="H462" s="143" t="n"/>
      <c r="I462" s="143" t="inlineStr">
        <is>
          <t>THIS FACILITY PROVIDES SPECIALIZED WORK AREAS, EQUIPMENT, AND STORAGE FOR OVERHAUL OF COMBAT VEHICLES SUCH AS SELF-PROPELLED GUN CARRIAGES AND TANKS.</t>
        </is>
      </c>
    </row>
    <row r="463">
      <c r="C463" s="143" t="inlineStr">
        <is>
          <t>214 20</t>
        </is>
      </c>
      <c r="D463" s="143" t="inlineStr">
        <is>
          <t>AUTO VEHICLE MAINT NONCOMB</t>
        </is>
      </c>
      <c r="E463" s="143" t="inlineStr">
        <is>
          <t>SF</t>
        </is>
      </c>
      <c r="F463" s="143" t="n"/>
      <c r="G463" s="143" t="n"/>
      <c r="H463" s="143" t="n"/>
      <c r="I463" s="143" t="inlineStr">
        <is>
          <t>AUTOMOTIVE VEHICLE MAINTENANCE FACILITIES ARE REQUIRED TO PROVIDE COVERED WORK AREAS FOR INSPECTION, MAINTENANCE, AND REPAIR OF ALL TRANSPORTATION EQUIPMENT ASSIGNED TO AN INSTALLATION, AND AS APPLICABLE, ITS SUPPORTED ACTIVITIES.</t>
        </is>
      </c>
    </row>
    <row r="464">
      <c r="C464" s="143" t="inlineStr">
        <is>
          <t>214 30</t>
        </is>
      </c>
      <c r="D464" s="143" t="inlineStr">
        <is>
          <t>REFUELING VEHICLE SHOP</t>
        </is>
      </c>
      <c r="E464" s="143" t="inlineStr">
        <is>
          <t>SF</t>
        </is>
      </c>
      <c r="F464" s="143" t="n"/>
      <c r="G464" s="143" t="n"/>
      <c r="H464" s="143" t="n"/>
      <c r="I464" s="143" t="inlineStr">
        <is>
          <t>AIRCRAFT REFUELER TRUCKS AND OTHER PORTABLE FUEL DISPENSING EQUIPMENT ARE NOT SERVICED OR REPAIRED IN THE AUTOMOTIVE VEHICLE MAINTENANCE SHOP BECAUSE OF THE EXPLOSIVE HAZARD INVOLVED. ACCORDINGLY, A SEPARATE EXPLOSION PROOF AND FIRE- RESISTANT MAINTENANCE/REPAIR FACILITY IS PROVIDED.</t>
        </is>
      </c>
    </row>
    <row r="465">
      <c r="C465" s="143" t="inlineStr">
        <is>
          <t>214 40</t>
        </is>
      </c>
      <c r="D465" s="143" t="inlineStr">
        <is>
          <t>VEHICLE HOLDG SHED</t>
        </is>
      </c>
      <c r="E465" s="143" t="inlineStr">
        <is>
          <t>SF</t>
        </is>
      </c>
      <c r="F465" s="143" t="n"/>
      <c r="G465" s="143" t="n"/>
      <c r="H465" s="143" t="n"/>
      <c r="I465" s="143" t="inlineStr">
        <is>
          <t>THIS FACILITY IS A PART OF THE AUTOMOTIVE VEHICLE MAINTENANCE SHOP WITH THE MAIN PURPOSE OF PROVIDING A COVERED AREA FOR HOLDING DEADLINED EQUIPMENT AWAITING REPAIRS.</t>
        </is>
      </c>
    </row>
    <row r="466">
      <c r="C466" s="143" t="inlineStr">
        <is>
          <t>214 51</t>
        </is>
      </c>
      <c r="D466" s="143" t="inlineStr">
        <is>
          <t>AUTO ORGANIZATIONAL SHOP</t>
        </is>
      </c>
      <c r="E466" s="143" t="inlineStr">
        <is>
          <t>SF</t>
        </is>
      </c>
      <c r="F466" s="143" t="n"/>
      <c r="G466" s="143" t="n"/>
      <c r="H466" s="143" t="n"/>
      <c r="I466" s="143" t="inlineStr">
        <is>
          <t>THIS FACILITY PROVIDES WORK AREAS FOR FLEET MARINE FORCE (FMF) UNITS TO PERFORM MAINTENANCE ON ITEMS OF ORGANIZATIONAL EQUIPMENT.</t>
        </is>
      </c>
    </row>
    <row r="467">
      <c r="C467" s="143" t="inlineStr">
        <is>
          <t>214 53</t>
        </is>
      </c>
      <c r="D467" s="143" t="inlineStr">
        <is>
          <t>FLD MAINT SHOP</t>
        </is>
      </c>
      <c r="E467" s="143" t="inlineStr">
        <is>
          <t>SF</t>
        </is>
      </c>
      <c r="F467" s="143" t="n"/>
      <c r="G467" s="143" t="n"/>
      <c r="H467" s="143" t="n"/>
      <c r="I467" s="143" t="inlineStr">
        <is>
          <t>THIS FACILITY PROVIDES SPECIALIZED WORK AREAS FOR PERFORMING 3RD AND 4TH ECHELON MAINTENANCE FUNCTIONS ON ITEMS OF TACTICAL EQUIPMENT INVOLVING PRIMARILY ROLLING STOCK ITEMS OF MOTOR TRANSPORT AND ENGINEER EQUIPMENT.</t>
        </is>
      </c>
    </row>
    <row r="468">
      <c r="C468" s="143" t="inlineStr">
        <is>
          <t>214 55</t>
        </is>
      </c>
      <c r="D468" s="143" t="inlineStr">
        <is>
          <t>VEHICLE WASH PLATFORM</t>
        </is>
      </c>
      <c r="E468" s="143" t="inlineStr">
        <is>
          <t>SF</t>
        </is>
      </c>
      <c r="F468" s="143" t="n"/>
      <c r="G468" s="143" t="n"/>
      <c r="H468" s="143" t="n"/>
      <c r="I468" s="143" t="inlineStr">
        <is>
          <t>VEHICLE WASH PLATFORMS EQUIPPED WITH HOSE CONNECTIONS SHOULD BE PROVIDED ON THE BASIS OF ONE VEHICLE WASHING SPACE FOR EACH 50 VEHICLES ASSIGNED TO THE MOTOR POOL.</t>
        </is>
      </c>
    </row>
    <row r="469">
      <c r="C469" s="143" t="inlineStr">
        <is>
          <t>214 56</t>
        </is>
      </c>
      <c r="D469" s="143" t="inlineStr">
        <is>
          <t>GREASE RACK</t>
        </is>
      </c>
      <c r="E469" s="143" t="inlineStr">
        <is>
          <t>SF</t>
        </is>
      </c>
      <c r="F469" s="143" t="n"/>
      <c r="G469" s="143" t="n"/>
      <c r="H469" s="143" t="n"/>
      <c r="I469" s="143" t="inlineStr">
        <is>
          <t>GREASE RACK.</t>
        </is>
      </c>
    </row>
    <row r="470">
      <c r="C470" s="143" t="inlineStr">
        <is>
          <t>215 10</t>
        </is>
      </c>
      <c r="D470" s="143" t="inlineStr">
        <is>
          <t>SMALL ARMS SHOP</t>
        </is>
      </c>
      <c r="E470" s="143" t="inlineStr">
        <is>
          <t>SF</t>
        </is>
      </c>
      <c r="F470" s="143" t="n"/>
      <c r="G470" s="143" t="n"/>
      <c r="H470" s="143" t="n"/>
      <c r="I470" s="143" t="inlineStr">
        <is>
          <t>A SMALL ARMS SHOP IS USED TO SUPPORT SMALL ARMS MAINTENANCE AND REPAIR FOR VARIOUS MARINE CORPS ACTIVITIES OR UNITS.</t>
        </is>
      </c>
    </row>
    <row r="471">
      <c r="C471" s="143" t="inlineStr">
        <is>
          <t>215 20</t>
        </is>
      </c>
      <c r="D471" s="143" t="inlineStr">
        <is>
          <t>LIGHT GUN(20MM/5IN) SHOP</t>
        </is>
      </c>
      <c r="E471" s="143" t="inlineStr">
        <is>
          <t>SF</t>
        </is>
      </c>
      <c r="F471" s="143" t="n"/>
      <c r="G471" s="143" t="n"/>
      <c r="H471" s="143" t="n"/>
      <c r="I471" s="143" t="inlineStr">
        <is>
          <t>LIGHT GUN (20 MM TO 5 IN) SHOP.</t>
        </is>
      </c>
    </row>
    <row r="472">
      <c r="C472" s="143" t="inlineStr">
        <is>
          <t>215 30</t>
        </is>
      </c>
      <c r="D472" s="143" t="inlineStr">
        <is>
          <t>HEAVY-GUN (6/16IN) SHOP</t>
        </is>
      </c>
      <c r="E472" s="143" t="inlineStr">
        <is>
          <t>SF</t>
        </is>
      </c>
      <c r="F472" s="143" t="n"/>
      <c r="G472" s="143" t="n"/>
      <c r="H472" s="143" t="n"/>
      <c r="I472" s="143" t="inlineStr">
        <is>
          <t>HEAVY GUN (6 IN TO 16 IN) SHOP.</t>
        </is>
      </c>
    </row>
    <row r="473">
      <c r="C473" s="143" t="inlineStr">
        <is>
          <t>215 40</t>
        </is>
      </c>
      <c r="D473" s="143" t="inlineStr">
        <is>
          <t>HARBOR PROTECT NET SHOP</t>
        </is>
      </c>
      <c r="E473" s="143" t="inlineStr">
        <is>
          <t>SF</t>
        </is>
      </c>
      <c r="F473" s="143" t="n"/>
      <c r="G473" s="143" t="n"/>
      <c r="H473" s="143" t="n"/>
      <c r="I473" s="143" t="inlineStr">
        <is>
          <t>HARBOR PROTECTIVE NET SHOP.</t>
        </is>
      </c>
    </row>
    <row r="474">
      <c r="C474" s="143" t="inlineStr">
        <is>
          <t>215 50</t>
        </is>
      </c>
      <c r="D474" s="143" t="inlineStr">
        <is>
          <t>LAUNCHR&amp;PROJCTR MAINT SHOP</t>
        </is>
      </c>
      <c r="E474" s="143" t="inlineStr">
        <is>
          <t>SF</t>
        </is>
      </c>
      <c r="F474" s="143" t="n"/>
      <c r="G474" s="143" t="n"/>
      <c r="H474" s="143" t="n"/>
      <c r="I474" s="143" t="inlineStr">
        <is>
          <t>LAUNCHER AND PROTECTIVE MAINTENANCE SHOP.</t>
        </is>
      </c>
    </row>
    <row r="475">
      <c r="C475" s="143" t="inlineStr">
        <is>
          <t>215 60</t>
        </is>
      </c>
      <c r="D475" s="143" t="inlineStr">
        <is>
          <t>FLD MAINT SHOP (ORDNANCE)</t>
        </is>
      </c>
      <c r="E475" s="143" t="inlineStr">
        <is>
          <t>SF</t>
        </is>
      </c>
      <c r="F475" s="143" t="n"/>
      <c r="G475" s="143" t="n"/>
      <c r="H475" s="143" t="n"/>
      <c r="I475" s="143" t="inlineStr">
        <is>
          <t>THIS FIELD MAINTENANCE SHOP PROVIDES SPECIALIZED WORK AREAS FOR PERFORMING 3RD AND 4TH ECHELON MAINTENANCE ON ALL ITEMS OF ORDNANCE EQUIPMENT AUTHORIZED REPAIRED BY THE FORCE SERVICE SUPPORT GROUP (FSSG).</t>
        </is>
      </c>
    </row>
    <row r="476">
      <c r="C476" s="143" t="inlineStr">
        <is>
          <t>216 05</t>
        </is>
      </c>
      <c r="D476" s="143" t="inlineStr">
        <is>
          <t>CHANGE / RELIEF HOUSE</t>
        </is>
      </c>
      <c r="E476" s="143" t="inlineStr">
        <is>
          <t>SF</t>
        </is>
      </c>
      <c r="F476" s="143" t="n"/>
      <c r="G476" s="143" t="n"/>
      <c r="H476" s="143" t="n"/>
      <c r="I476" s="143" t="inlineStr">
        <is>
          <t>THIS IS A BUILDING, TYPICALLY ASSOCIATED WITH EXPLOSIVES OPERATING BUILDING(S), CONTAINING FACILITIES FOR EMPLOYEES TO CHANGE TO AND FROM WORK CLOTHES.</t>
        </is>
      </c>
    </row>
    <row r="477">
      <c r="C477" s="143" t="inlineStr">
        <is>
          <t>216 10</t>
        </is>
      </c>
      <c r="D477" s="143" t="inlineStr">
        <is>
          <t>AMMO REWORK AND O/H SHOP</t>
        </is>
      </c>
      <c r="E477" s="143" t="inlineStr">
        <is>
          <t>SF</t>
        </is>
      </c>
      <c r="F477" s="143" t="n"/>
      <c r="G477" s="143" t="n"/>
      <c r="H477" s="143" t="n"/>
      <c r="I477" s="143" t="inlineStr">
        <is>
          <t>OVERHAULING AMMUNITION INCLUDES DETERMINING THE SERVICEABILITY OF THE PRIMARY COMPONENTS OF AN ITEM, AND PERFORMING EXTERIOR MAINTENANCE AS REQUIRED TO RENDER THE ITEM FULLY SERVICEABLE.</t>
        </is>
      </c>
    </row>
    <row r="478">
      <c r="C478" s="143" t="inlineStr">
        <is>
          <t>216 20</t>
        </is>
      </c>
      <c r="D478" s="143" t="inlineStr">
        <is>
          <t>ROCKET REWORK AND O/H SHOP</t>
        </is>
      </c>
      <c r="E478" s="143" t="inlineStr">
        <is>
          <t>SF</t>
        </is>
      </c>
      <c r="F478" s="143" t="n"/>
      <c r="G478" s="143" t="n"/>
      <c r="H478" s="143" t="n"/>
      <c r="I478" s="143" t="inlineStr">
        <is>
          <t>OVERHAULING ROCKETS INCLUDES DETERMINING THE SERVICEABILITY OF THE PRIMARY COMPONENTS OF AN ITEM, AND PERFORMING EXTERIOR MAINTENANCE AS REQUIRED TO RENDER THE ITEM FULLY SERVICEABLE.</t>
        </is>
      </c>
    </row>
    <row r="479">
      <c r="C479" s="143" t="inlineStr">
        <is>
          <t>216 30</t>
        </is>
      </c>
      <c r="D479" s="143" t="inlineStr">
        <is>
          <t>MINE&amp;DEPTH CHG REWORK SHOP</t>
        </is>
      </c>
      <c r="E479" s="143" t="inlineStr">
        <is>
          <t>SF</t>
        </is>
      </c>
      <c r="F479" s="143" t="n"/>
      <c r="G479" s="143" t="n"/>
      <c r="H479" s="143" t="n"/>
      <c r="I479" s="143" t="inlineStr">
        <is>
          <t>OVERHAULING MINES AND DEPTH CHARGES INCLUDES DETERMINING THE SERVICEABILITY OF THE PRIMARY COMPONENTS OF AN ITEM, AND PERFORMING EXTERIOR MAINTENANCE AS REQUIRED TO RENDER THE ITEM FULLY SERVICEABLE.</t>
        </is>
      </c>
    </row>
    <row r="480">
      <c r="C480" s="143" t="inlineStr">
        <is>
          <t>216 40</t>
        </is>
      </c>
      <c r="D480" s="143" t="inlineStr">
        <is>
          <t>TORPEDO SHOP</t>
        </is>
      </c>
      <c r="E480" s="143" t="inlineStr">
        <is>
          <t>SF</t>
        </is>
      </c>
      <c r="F480" s="143" t="n"/>
      <c r="G480" s="143" t="n"/>
      <c r="H480" s="143" t="n"/>
      <c r="I480" s="143" t="inlineStr">
        <is>
          <t>TORPEDO SHOP FUNCTIONS INCLUDE, BUT ARE NOT LIMITED TO: PREVENTIVE AND CORRECTIVE MAINTENANCE AS WELLS AS HARDWARE AND OPERATIONAL SOFTWARE UPGRADES ON TORPEDO WARSHOT AND EXERCISE CONFIGURATIONS.</t>
        </is>
      </c>
    </row>
    <row r="481">
      <c r="C481" s="143" t="inlineStr">
        <is>
          <t>216 50</t>
        </is>
      </c>
      <c r="D481" s="143" t="inlineStr">
        <is>
          <t>SPECIAL WEAPONS SHOP</t>
        </is>
      </c>
      <c r="E481" s="143" t="inlineStr">
        <is>
          <t>SF</t>
        </is>
      </c>
      <c r="F481" s="143" t="n"/>
      <c r="G481" s="143" t="n"/>
      <c r="H481" s="143" t="n"/>
      <c r="I481" s="143" t="inlineStr">
        <is>
          <t>SPECIAL WEAPONS SHOP FUNCTIONS INCLUDE, BUT ARE NOT LIMITED TO, DETERMINING THE SERVICEABILITY OF THE PRIMARY COMPONENTS OF AN ITEM, AND PERFORMING EXTERIOR MAINTENANCE AS REQUIRED TO RENDER THE ITEM FULLY SERVICEABLE.</t>
        </is>
      </c>
    </row>
    <row r="482">
      <c r="C482" s="143" t="inlineStr">
        <is>
          <t>216 55</t>
        </is>
      </c>
      <c r="D482" s="143" t="inlineStr">
        <is>
          <t>AIR/UNDRWTR WPNS SHOP</t>
        </is>
      </c>
      <c r="E482" s="143" t="inlineStr">
        <is>
          <t>SF</t>
        </is>
      </c>
      <c r="F482" s="143" t="n"/>
      <c r="G482" s="143" t="n"/>
      <c r="H482" s="143" t="n"/>
      <c r="I482" s="143" t="inlineStr">
        <is>
          <t>THE AUW SHOP CONTAINS SPACE AND EQUIPMENT FOR THE STORAGE, TEST, CHECK, ASSEMBLY, AND LIMITED MAINTENANCE OF AIRBORNE TORPEDOES AND OTHER AIRDROP WEAPONS.</t>
        </is>
      </c>
    </row>
    <row r="483">
      <c r="C483" s="143" t="inlineStr">
        <is>
          <t>216 60</t>
        </is>
      </c>
      <c r="D483" s="143" t="inlineStr">
        <is>
          <t>QUALITY EVALUATION LAB</t>
        </is>
      </c>
      <c r="E483" s="143" t="inlineStr">
        <is>
          <t>SF</t>
        </is>
      </c>
      <c r="F483" s="143" t="n"/>
      <c r="G483" s="143" t="n"/>
      <c r="H483" s="143" t="n"/>
      <c r="I483" s="143" t="inlineStr">
        <is>
          <t>A QUALITY EVALUATION LABORATORY (QEL) SUPPORTS THE QE PROGRAM BY PERFORMING ANALYSIS AND TESTS TO DETERMINE AND MAINTAIN QUALITY ASSURANCE OF AMMUNITION, EXPLOSIVES AND TOXINS.</t>
        </is>
      </c>
    </row>
    <row r="484">
      <c r="C484" s="143" t="inlineStr">
        <is>
          <t>216 77</t>
        </is>
      </c>
      <c r="D484" s="143" t="inlineStr">
        <is>
          <t>AMMO/EXPLSV MAINT STORAGE</t>
        </is>
      </c>
      <c r="E484" s="143" t="inlineStr">
        <is>
          <t>SF</t>
        </is>
      </c>
      <c r="F484" s="143" t="n"/>
      <c r="G484" s="143" t="n"/>
      <c r="H484" s="143" t="n"/>
      <c r="I484" s="143" t="inlineStr">
        <is>
          <t>STORAGE FACILITIES FOR MISCELLANEOUS EQUIPMENT RELATED TO AMMUNITION/EXPLOSIVES MAINTENANCE FACILITIES</t>
        </is>
      </c>
    </row>
    <row r="485">
      <c r="C485" s="143" t="inlineStr">
        <is>
          <t>217 10</t>
        </is>
      </c>
      <c r="D485" s="143" t="inlineStr">
        <is>
          <t>ELECNX/COMMS MAINT SHOP</t>
        </is>
      </c>
      <c r="E485" s="143" t="inlineStr">
        <is>
          <t>SF</t>
        </is>
      </c>
      <c r="F485" s="143" t="n"/>
      <c r="G485" s="143" t="n"/>
      <c r="H485" s="143" t="n"/>
      <c r="I485" s="143" t="inlineStr">
        <is>
          <t>ELECTRONICS MAINTENANCE SHOPS PROVIDE FACILITIES FOR MAINTENANCE AND REPAIR OF NON-AIRBORNE EQUIPMENT. IT CONTAINS OFFICE AND SUPPORT SPACES FOR THE EQUIPMENT MAINTENANCE OFFICER (EMO) AND THE EMO STAFF, EQUIPMENT MAINTENANCE AND TRAINING AREAS, AND A SMALL STORAGE AREA FOR PARTS AND SUPPLIES DIRECTLY UNDER THE CONTROL OF THE EMO.</t>
        </is>
      </c>
    </row>
    <row r="486">
      <c r="C486" s="143" t="inlineStr">
        <is>
          <t>217 20</t>
        </is>
      </c>
      <c r="D486" s="143" t="inlineStr">
        <is>
          <t>COLLIMATION TOWER</t>
        </is>
      </c>
      <c r="E486" s="143" t="inlineStr">
        <is>
          <t>EA</t>
        </is>
      </c>
      <c r="F486" s="143" t="n"/>
      <c r="G486" s="143" t="n"/>
      <c r="H486" s="143" t="n"/>
      <c r="I486" s="143" t="inlineStr">
        <is>
          <t>COLLIMATION FACILITIES ARE REQUIRED AT SHIPYARDS FOR ELECTRONIC AND OPTICAL ALIGNMENT OF FIRE CONTROL AND RADAR EQUIPMENT ABOARD SHIPS.</t>
        </is>
      </c>
    </row>
    <row r="487">
      <c r="C487" s="143" t="inlineStr">
        <is>
          <t>217 30</t>
        </is>
      </c>
      <c r="D487" s="143" t="inlineStr">
        <is>
          <t>FLD MAINT SHOP(ELEC/COMMS)</t>
        </is>
      </c>
      <c r="E487" s="143" t="inlineStr">
        <is>
          <t>SF</t>
        </is>
      </c>
      <c r="F487" s="143" t="n"/>
      <c r="G487" s="143" t="n"/>
      <c r="H487" s="143" t="n"/>
      <c r="I487" s="143" t="inlineStr">
        <is>
          <t>THIS FIELD MAINTENANCE SHOP PROVIDES SPECIALIZED WORK AREAS FOR PERFORMING 3RD AND 4TH ECHELON MAINTENANCE ON ALL ITEMS OF COMMUNICATIONS/ELECTRONICS EQUIPMENT AUTHORIZED REPAIRED BY THE SERVICE BATTALION OF THE MARINE DIVISION AND THE FORCE SERVICE REGIMENT. THE SHOP SPACE INCLUDES ADMINISTRATIVE AND TRAINING AREAS AS WELL AS STORAGE SPACE FOR TOOLS, PARTS, AND MAINTENANCE FLOAT EQUIPMENT.</t>
        </is>
      </c>
    </row>
    <row r="488">
      <c r="C488" s="143" t="inlineStr">
        <is>
          <t>217 40</t>
        </is>
      </c>
      <c r="D488" s="143" t="inlineStr">
        <is>
          <t>ANTENNA TEST RANGE</t>
        </is>
      </c>
      <c r="E488" s="143" t="inlineStr">
        <is>
          <t>EA</t>
        </is>
      </c>
      <c r="F488" s="143" t="n"/>
      <c r="G488" s="143" t="n"/>
      <c r="H488" s="143" t="n"/>
      <c r="I488" s="143" t="inlineStr">
        <is>
          <t>THIS FACILITY IS FOR TESTING ELECTRONIC EQUIPMENT AND COMMUNICATION ANTENNAS AFTER COMPLETION OF MAINTENANCE, REPAIR AND OVERHAUL WORK.</t>
        </is>
      </c>
    </row>
    <row r="489">
      <c r="C489" s="143" t="inlineStr">
        <is>
          <t>217 50</t>
        </is>
      </c>
      <c r="D489" s="143" t="inlineStr">
        <is>
          <t>SENSOR ACCURACY CHECK SITE</t>
        </is>
      </c>
      <c r="E489" s="143" t="inlineStr">
        <is>
          <t>EA</t>
        </is>
      </c>
      <c r="F489" s="143" t="n"/>
      <c r="G489" s="143" t="n"/>
      <c r="H489" s="143" t="n"/>
      <c r="I489" s="143" t="inlineStr">
        <is>
          <t>THE PRIMARY PURPOSE OF THIS FACILITY IS TO MEASURE THE PERFORMANCE OF SHIPBOARD SENSORS IN AN IN-PORT ENVIRONMENT ON COMPLETION OF OVERHAUL OR DURING NORMAL PORT UPKEEP OF NAVY SHIPS. MAJOR COMPONENTS ARE: MOVEABLE AND PILE MOUNTED TRANSDUCERS, MOORING SYSTEM, SLIP SERVICES, ECHO SOUNDER TEST ARRAY AND A AUTOMATIC SHIP¿S HEAD MEASURING SYSTEM</t>
        </is>
      </c>
    </row>
    <row r="490">
      <c r="C490" s="143" t="inlineStr">
        <is>
          <t>217 77</t>
        </is>
      </c>
      <c r="D490" s="143" t="inlineStr">
        <is>
          <t>ELECTRNCS SPRES/MISC STRG</t>
        </is>
      </c>
      <c r="E490" s="143" t="inlineStr">
        <is>
          <t>SF</t>
        </is>
      </c>
      <c r="F490" s="143" t="n"/>
      <c r="G490" s="143" t="n"/>
      <c r="H490" s="143" t="n"/>
      <c r="I490" s="143" t="inlineStr">
        <is>
          <t>ELECTRONICS PARTS STORAGE FACILITY.</t>
        </is>
      </c>
    </row>
    <row r="491">
      <c r="C491" s="143" t="inlineStr">
        <is>
          <t>218 10</t>
        </is>
      </c>
      <c r="D491" s="143" t="inlineStr">
        <is>
          <t>CONTAINER REPAIR/TEST BLDG</t>
        </is>
      </c>
      <c r="E491" s="143" t="inlineStr">
        <is>
          <t>SF</t>
        </is>
      </c>
      <c r="F491" s="143" t="n"/>
      <c r="G491" s="143" t="n"/>
      <c r="H491" s="143" t="n"/>
      <c r="I491" s="143" t="inlineStr">
        <is>
          <t>A CONTAINER REPAIR AND TEST FACILITY SERVICES ONLY EMPTY CONTAINERS.</t>
        </is>
      </c>
    </row>
    <row r="492">
      <c r="C492" s="143" t="inlineStr">
        <is>
          <t>218 20</t>
        </is>
      </c>
      <c r="D492" s="143" t="inlineStr">
        <is>
          <t>CONSTR/WT HNDLG EQUIP SHOP</t>
        </is>
      </c>
      <c r="E492" s="143" t="inlineStr">
        <is>
          <t>SF</t>
        </is>
      </c>
      <c r="F492" s="143" t="n"/>
      <c r="G492" s="143" t="n"/>
      <c r="H492" s="143" t="n"/>
      <c r="I492" s="143" t="inlineStr">
        <is>
          <t>SEPARATE FACILITY FOR THE MAINTENANCE AND REPAIR OF CONSTRUCTION/WEIGHT-HANDLING EQUIPMENT FOR AREAS WHERE COMBINED AUTOMOTIVE, WEIGHT-HANDLING, RAILROAD AND/OR CONSTRUCTION EQUIPMENT MAINTENANCE FACILITIES ARE NOT A PART OF CATEGORY CODE 214 20, AUTOMOTIVE VEHICLE MAINTENANCE SHOP.</t>
        </is>
      </c>
    </row>
    <row r="493">
      <c r="C493" s="143" t="inlineStr">
        <is>
          <t>218 25</t>
        </is>
      </c>
      <c r="D493" s="143" t="inlineStr">
        <is>
          <t>MAR AIR BASE SQDN FAC</t>
        </is>
      </c>
      <c r="E493" s="143" t="inlineStr">
        <is>
          <t>SF</t>
        </is>
      </c>
      <c r="F493" s="143" t="n"/>
      <c r="G493" s="143" t="n"/>
      <c r="H493" s="143" t="n"/>
      <c r="I493" s="143" t="inlineStr">
        <is>
          <t>MARINE AIR BASE SQUADRON (MABS) FACILITY.</t>
        </is>
      </c>
    </row>
    <row r="494">
      <c r="C494" s="143" t="inlineStr">
        <is>
          <t>218 30</t>
        </is>
      </c>
      <c r="D494" s="143" t="inlineStr">
        <is>
          <t>DRUM RECONDITIONING PLANT</t>
        </is>
      </c>
      <c r="E494" s="143" t="inlineStr">
        <is>
          <t>SF</t>
        </is>
      </c>
      <c r="F494" s="143" t="n"/>
      <c r="G494" s="143" t="n"/>
      <c r="H494" s="143" t="n"/>
      <c r="I494" s="143" t="inlineStr">
        <is>
          <t>THE DRUM RECONDITIONING PLANT IS USED TYPICALLY FOR THE RECONDITIONING OF 55 GAL DRUMS. PROCESSES INCLUDE: WASHING, DE- DENTING, INTERNAL CHAINING, EXTERNAL WIRE BRUSHING, CHIME ROLLING, TESTING, WELDING, INTERNAL PRESERVATION AND PAINTING.</t>
        </is>
      </c>
    </row>
    <row r="495">
      <c r="C495" s="143" t="inlineStr">
        <is>
          <t>218 35</t>
        </is>
      </c>
      <c r="D495" s="143" t="inlineStr">
        <is>
          <t>CABLE REPAIR HOUSE</t>
        </is>
      </c>
      <c r="E495" s="143" t="inlineStr">
        <is>
          <t>SF</t>
        </is>
      </c>
      <c r="F495" s="143" t="n"/>
      <c r="G495" s="143" t="n"/>
      <c r="H495" s="143" t="n"/>
      <c r="I495" s="143" t="inlineStr">
        <is>
          <t>CABLE REPAIR FACILITY.</t>
        </is>
      </c>
    </row>
    <row r="496">
      <c r="C496" s="143" t="inlineStr">
        <is>
          <t>218 40</t>
        </is>
      </c>
      <c r="D496" s="143" t="inlineStr">
        <is>
          <t>RAILROAD EQUIPMENT SHOP</t>
        </is>
      </c>
      <c r="E496" s="143" t="inlineStr">
        <is>
          <t>SF</t>
        </is>
      </c>
      <c r="F496" s="143" t="n"/>
      <c r="G496" s="143" t="n"/>
      <c r="H496" s="143" t="n"/>
      <c r="I496" s="143" t="inlineStr">
        <is>
          <t>THE RAILROAD EQUIPMENT MAINTENANCE FACILITY IS A SPECIAL SHOP TO HOUSE MATERIAL AND EQUIPMENT FOR THE SERVICE AND MAINTENANCE OF RAILROAD LOCOMOTIVES AND LOCOMOTIVE CRANES.</t>
        </is>
      </c>
    </row>
    <row r="497">
      <c r="C497" s="143" t="inlineStr">
        <is>
          <t>218 45</t>
        </is>
      </c>
      <c r="D497" s="143" t="inlineStr">
        <is>
          <t>INSTRUMNT CALIBRATION SHOP</t>
        </is>
      </c>
      <c r="E497" s="143" t="inlineStr">
        <is>
          <t>SF</t>
        </is>
      </c>
      <c r="F497" s="143" t="n"/>
      <c r="G497" s="143" t="n"/>
      <c r="H497" s="143" t="n"/>
      <c r="I497" s="143" t="inlineStr">
        <is>
          <t>THIS SHOP PERFORMS CALIBRATION, REPAIR, AND CERTIFICATION OF ALL MEASUREMENT INSTRUMENTS ASSIGNED TO AN ACTIVITY. SPACES WITHIN INCLUDE: CALIBRATION LAB, CLEANING ROOM, UTILITIES ROOM, STORAGE AREA, ADMINISTRATION AREA.</t>
        </is>
      </c>
    </row>
    <row r="498">
      <c r="C498" s="143" t="inlineStr">
        <is>
          <t>218 50</t>
        </is>
      </c>
      <c r="D498" s="143" t="inlineStr">
        <is>
          <t>BATTERY SHOP</t>
        </is>
      </c>
      <c r="E498" s="143" t="inlineStr">
        <is>
          <t>SF</t>
        </is>
      </c>
      <c r="F498" s="143" t="n"/>
      <c r="G498" s="143" t="n"/>
      <c r="H498" s="143" t="n"/>
      <c r="I498" s="143" t="inlineStr">
        <is>
          <t>A BATTERY SHOP IS REQUIRED TO SERVICE AND CHARGE BATTERIES.</t>
        </is>
      </c>
    </row>
    <row r="499">
      <c r="C499" s="143" t="inlineStr">
        <is>
          <t>218 51</t>
        </is>
      </c>
      <c r="D499" s="143" t="inlineStr">
        <is>
          <t>BATTERY RECHARGING SHOP</t>
        </is>
      </c>
      <c r="E499" s="143" t="inlineStr">
        <is>
          <t>SF</t>
        </is>
      </c>
      <c r="F499" s="143" t="n"/>
      <c r="G499" s="143" t="n"/>
      <c r="H499" s="143" t="n"/>
      <c r="I499" s="143" t="inlineStr">
        <is>
          <t>THIS CATEGORY CODE IS FOR USE AT ACTIVITIES WHICH HAVE A REQUIREMENT TO RECHARGE BATTERY POWERED EQUIPMENT SUCH AS FORKLIFT TRUCKS USED AT SUPPLY CENTERS.</t>
        </is>
      </c>
    </row>
    <row r="500">
      <c r="C500" s="143" t="inlineStr">
        <is>
          <t>218 60</t>
        </is>
      </c>
      <c r="D500" s="143" t="inlineStr">
        <is>
          <t>GRND SUPPRT EQUIP SHP</t>
        </is>
      </c>
      <c r="E500" s="143" t="inlineStr">
        <is>
          <t>SF</t>
        </is>
      </c>
      <c r="F500" s="143" t="n"/>
      <c r="G500" s="143" t="n"/>
      <c r="H500" s="143" t="n"/>
      <c r="I500" s="143" t="inlineStr">
        <is>
          <t>THE INTERMEDIATE LEVEL MAINTENANCE OF AIRCRAFT GROUND SUPPORT EQUIPMENT (GSE) IS PERFORMED IN THIS SHOP. GROUND SUPPORT EQUIPMENT, OFTEN REFERRED TO AS YELLOW GEAR, INCLUDES SUCH ITEMS AS TOW TRACTORS, TRUCKS, FORK LIFTS, TRAILERS, COMPRESSORS, POWER GENERATORS, MAINTENANCE STANDS, JACKS AND OTHER GROUND EQUIPMENT WHICH SUPPORT AIRCRAFT OPERATIONS.</t>
        </is>
      </c>
    </row>
    <row r="501">
      <c r="C501" s="143" t="inlineStr">
        <is>
          <t>218 61</t>
        </is>
      </c>
      <c r="D501" s="143" t="inlineStr">
        <is>
          <t>GRND SUPPRT EQUIP HOLDING</t>
        </is>
      </c>
      <c r="E501" s="143" t="inlineStr">
        <is>
          <t>SF</t>
        </is>
      </c>
      <c r="F501" s="143" t="n"/>
      <c r="G501" s="143" t="n"/>
      <c r="H501" s="143" t="n"/>
      <c r="I501" s="143" t="inlineStr">
        <is>
          <t>THE GROUND SUPPORT EQUIPMENT (GSE) HOLDING SHED PROVIDES PROTECTIVE COVER FOR GSE GEAR AWAITING AND UNDERGOING INTERMEDIATE LEVEL MAINTENANCE AND IS AN INTEGRAL PART OF THE GSE SHOP COMPOUND.</t>
        </is>
      </c>
    </row>
    <row r="502">
      <c r="C502" s="143" t="inlineStr">
        <is>
          <t>218 62</t>
        </is>
      </c>
      <c r="D502" s="143" t="inlineStr">
        <is>
          <t>SHIPBD ACFT SUPP EQUIP FAC</t>
        </is>
      </c>
      <c r="E502" s="143" t="inlineStr">
        <is>
          <t>SF</t>
        </is>
      </c>
      <c r="F502" s="143" t="n"/>
      <c r="G502" s="143" t="n"/>
      <c r="H502" s="143" t="n"/>
      <c r="I502" s="143" t="inlineStr">
        <is>
          <t>SHIPBOARD AIRCRAFT SUPPORT EQUIPMENT FACILITY.</t>
        </is>
      </c>
    </row>
    <row r="503">
      <c r="C503" s="143" t="inlineStr">
        <is>
          <t>218 65</t>
        </is>
      </c>
      <c r="D503" s="143" t="inlineStr">
        <is>
          <t>EQUIP HOLD SHED FOR 218-20</t>
        </is>
      </c>
      <c r="E503" s="143" t="inlineStr">
        <is>
          <t>SF</t>
        </is>
      </c>
      <c r="F503" s="143" t="n"/>
      <c r="G503" s="143" t="n"/>
      <c r="H503" s="143" t="n"/>
      <c r="I503" s="143" t="inlineStr">
        <is>
          <t>THIS FACILITY IS REQUIRED IN CONJUNCTION WITH CONSTRUCTION/WEIGHT-HANDLING EQUIPMENT SHOP, CATEGORY CODE 218 20 FOR THE PURPOSE OF PROTECTION OF EQUIPMENT AWAITING REPAIRS.</t>
        </is>
      </c>
    </row>
    <row r="504">
      <c r="C504" s="143" t="inlineStr">
        <is>
          <t>218 68</t>
        </is>
      </c>
      <c r="D504" s="143" t="inlineStr">
        <is>
          <t>PROD EQUIP MAINT SHOP</t>
        </is>
      </c>
      <c r="E504" s="143" t="inlineStr">
        <is>
          <t>SF</t>
        </is>
      </c>
      <c r="F504" s="143" t="n"/>
      <c r="G504" s="143" t="n"/>
      <c r="H504" s="143" t="n"/>
      <c r="I504" s="143" t="inlineStr">
        <is>
          <t>PRODUCTION EQUIPMENT MAINTENANCE SHOP.</t>
        </is>
      </c>
    </row>
    <row r="505">
      <c r="C505" s="143" t="inlineStr">
        <is>
          <t>218 70</t>
        </is>
      </c>
      <c r="D505" s="143" t="inlineStr">
        <is>
          <t>OFFICE EQUIP/APPL REPAIR</t>
        </is>
      </c>
      <c r="E505" s="143" t="inlineStr">
        <is>
          <t>SF</t>
        </is>
      </c>
      <c r="F505" s="143" t="n"/>
      <c r="G505" s="143" t="n"/>
      <c r="H505" s="143" t="n"/>
      <c r="I505" s="143" t="inlineStr">
        <is>
          <t>APPROPRIATE FACILITIES MAY BE PROVIDED TO PERFORM MAINTENANCE AND REPAIR OF OFFICE EQUIPMENT AND SMALL APPLIANCES.</t>
        </is>
      </c>
    </row>
    <row r="506">
      <c r="C506" s="143" t="inlineStr">
        <is>
          <t>218 71</t>
        </is>
      </c>
      <c r="D506" s="143" t="inlineStr">
        <is>
          <t>DENTAL EQUIP MAINT BLDG</t>
        </is>
      </c>
      <c r="E506" s="143" t="inlineStr">
        <is>
          <t>SF</t>
        </is>
      </c>
      <c r="F506" s="143" t="n"/>
      <c r="G506" s="143" t="n"/>
      <c r="H506" s="143" t="n"/>
      <c r="I506" s="143" t="inlineStr">
        <is>
          <t>DENTAL EQUIPMENT MAINTENANCE BUILDING.</t>
        </is>
      </c>
    </row>
    <row r="507">
      <c r="C507" s="143" t="inlineStr">
        <is>
          <t>218 77</t>
        </is>
      </c>
      <c r="D507" s="143" t="inlineStr">
        <is>
          <t>REPAIR SHOP STORAGE</t>
        </is>
      </c>
      <c r="E507" s="143" t="inlineStr">
        <is>
          <t>SF</t>
        </is>
      </c>
      <c r="F507" s="143" t="n"/>
      <c r="G507" s="143" t="n"/>
      <c r="H507" s="143" t="n"/>
      <c r="I507" s="143" t="inlineStr">
        <is>
          <t>REPAIR SHOP STORAGE FACILITY.</t>
        </is>
      </c>
    </row>
    <row r="508">
      <c r="C508" s="143" t="inlineStr">
        <is>
          <t>218 80</t>
        </is>
      </c>
      <c r="D508" s="143" t="inlineStr">
        <is>
          <t>FLD MAINT SHOP(GENL SUPPL)</t>
        </is>
      </c>
      <c r="E508" s="143" t="inlineStr">
        <is>
          <t>SF</t>
        </is>
      </c>
      <c r="F508" s="143" t="n"/>
      <c r="G508" s="143" t="n"/>
      <c r="H508" s="143" t="n"/>
      <c r="I508" s="143" t="inlineStr">
        <is>
          <t>THIS FIELD MAINTENANCE SHOP PROVIDES SPECIALIZED WORK AREAS FOR FLEET MARINE FORCE (FMF) UNITS PERFORMING 3RD AND 4TH ECHELON MAINTENANCE ON ALL ITEMS OF GENERAL SUPPLY EQUIPMENT.</t>
        </is>
      </c>
    </row>
    <row r="509">
      <c r="C509" s="143" t="inlineStr">
        <is>
          <t>218 90</t>
        </is>
      </c>
      <c r="D509" s="143" t="inlineStr">
        <is>
          <t>AVIA SUP EQUIP SHOP (NALC)</t>
        </is>
      </c>
      <c r="E509" s="143" t="inlineStr">
        <is>
          <t>SF</t>
        </is>
      </c>
      <c r="F509" s="143" t="n"/>
      <c r="G509" s="143" t="n"/>
      <c r="H509" s="143" t="n"/>
      <c r="I509" s="143" t="inlineStr">
        <is>
          <t>AVIATION SUPPORT EQUIPMENT SHOP.</t>
        </is>
      </c>
    </row>
    <row r="510">
      <c r="C510" s="143" t="inlineStr">
        <is>
          <t>218 91</t>
        </is>
      </c>
      <c r="D510" s="143" t="inlineStr">
        <is>
          <t>MOBILE VAN SHOP (NALC)</t>
        </is>
      </c>
      <c r="E510" s="143" t="inlineStr">
        <is>
          <t>SF</t>
        </is>
      </c>
      <c r="F510" s="143" t="n"/>
      <c r="G510" s="143" t="n"/>
      <c r="H510" s="143" t="n"/>
      <c r="I510" s="143" t="inlineStr">
        <is>
          <t>MOBILE VAN SHOP (NALC).</t>
        </is>
      </c>
    </row>
    <row r="511">
      <c r="C511" s="143" t="inlineStr">
        <is>
          <t>218 92</t>
        </is>
      </c>
      <c r="D511" s="143" t="inlineStr">
        <is>
          <t>AVIA SUPT/FEED SHOP (NALC)</t>
        </is>
      </c>
      <c r="E511" s="143" t="inlineStr">
        <is>
          <t>SF</t>
        </is>
      </c>
      <c r="F511" s="143" t="n"/>
      <c r="G511" s="143" t="n"/>
      <c r="H511" s="143" t="n"/>
      <c r="I511" s="143" t="inlineStr">
        <is>
          <t>AVIATION SUPPORT/FEEDER SHOP (NALC).</t>
        </is>
      </c>
    </row>
    <row r="512">
      <c r="C512" s="143" t="inlineStr">
        <is>
          <t>219 10</t>
        </is>
      </c>
      <c r="D512" s="143" t="inlineStr">
        <is>
          <t>PUBLIC WORKS SHOP</t>
        </is>
      </c>
      <c r="E512" s="143" t="inlineStr">
        <is>
          <t>SF</t>
        </is>
      </c>
      <c r="F512" s="143" t="n"/>
      <c r="G512" s="143" t="n"/>
      <c r="H512" s="143" t="n"/>
      <c r="I512" s="143" t="inlineStr">
        <is>
          <t>THIS FACILITY SUPPORTS THE MAINTENANCE DIVISION OF THE PUBLIC WORKS DEPARTMENT. THIS DIVISION IS RESPONSIBLE FOR MANAGEMENT OF THE PREVENTIVE, MAINTENANCE INSPECTION (PMI) PROGRAM AND IS TASKED TO PERFORM MAINTENANCE ON ALL BUILDINGS, UTILITIES PLANTS AND DISTRIBUTION SYSTEMS, HEATING, AIR-CONDITIONING AND REFRIGERATION SYSTEMS, INTERNAL COMMUNICATIONS AND ALARM SYSTEMS AND ROADS AND TRACKAGE.</t>
        </is>
      </c>
    </row>
    <row r="513">
      <c r="C513" s="143" t="inlineStr">
        <is>
          <t>219 20</t>
        </is>
      </c>
      <c r="D513" s="143" t="inlineStr">
        <is>
          <t>PAVMT/GRNDS EQUIP SHED</t>
        </is>
      </c>
      <c r="E513" s="143" t="inlineStr">
        <is>
          <t>SF</t>
        </is>
      </c>
      <c r="F513" s="143" t="n"/>
      <c r="G513" s="143" t="n"/>
      <c r="H513" s="143" t="n"/>
      <c r="I513" s="143" t="inlineStr">
        <is>
          <t>THE PAVEMENT AND GROUNDS EQUIPMENT SHOP WILL PROVIDE HOLDING SPACE AND MINOR MAINTENANCE SPACE FOR TRACTORS, LAWNMOWERS, SNOWPLOWS, AND OTHER MISCELLANEOUS EQUIPMENT USED FOR ROADS AND GROUND MAINTENANCE.</t>
        </is>
      </c>
    </row>
    <row r="514">
      <c r="C514" s="143" t="inlineStr">
        <is>
          <t>219 25</t>
        </is>
      </c>
      <c r="D514" s="143" t="inlineStr">
        <is>
          <t>PW EXPENDBL/WORK IN PROCES</t>
        </is>
      </c>
      <c r="E514" s="143" t="inlineStr">
        <is>
          <t>SF</t>
        </is>
      </c>
      <c r="F514" s="143" t="n"/>
      <c r="G514" s="143" t="n"/>
      <c r="H514" s="143" t="n"/>
      <c r="I514" s="143" t="inlineStr">
        <is>
          <t>THE PUBLIC WORKS SHOPS EXPENDABLE/WORK-IN-PROCESS STORE HOLDS THE READY-ISSUE ITEMS FOR PUBLIC WORKS DAILY MAINTENANCE, JOB ORDER MATERIALS FOR THE MAINTENANCE OF STATION FACILITIES AND MATERIALS THAT ARE CONSIDERED CRITICAL ITEMS FOR EMERGENCIES/SERVICE.</t>
        </is>
      </c>
    </row>
    <row r="515">
      <c r="C515" s="143" t="inlineStr">
        <is>
          <t>219 30</t>
        </is>
      </c>
      <c r="D515" s="143" t="inlineStr">
        <is>
          <t>PAINTG &amp; RELTD OPNS BLDG</t>
        </is>
      </c>
      <c r="E515" s="143" t="inlineStr">
        <is>
          <t>SF</t>
        </is>
      </c>
      <c r="F515" s="143" t="n"/>
      <c r="G515" s="143" t="n"/>
      <c r="H515" s="143" t="n"/>
      <c r="I515" s="143" t="inlineStr">
        <is>
          <t>THE FUNCTION OF THE PAINTING AND RELATED OPERATIONS BUILDING IS TO PROVIDE SPACE FOR PAINTING AND OTHER OPERATIONS WHICH MAY NOT BE FUNCTIONALLY COMPATIBLE OR HAZARDOUS TO THE BUILDING OR TYPES OF OPERATION CONDUCTED IN THE PUBLIC WORKS SHOP, CATEGORY CODE 219 10.</t>
        </is>
      </c>
    </row>
    <row r="516">
      <c r="C516" s="143" t="inlineStr">
        <is>
          <t>219 31</t>
        </is>
      </c>
      <c r="D516" s="143" t="inlineStr">
        <is>
          <t>PAINTG &amp; RELTD OPNS STRC</t>
        </is>
      </c>
      <c r="E516" s="143" t="inlineStr">
        <is>
          <t>EA</t>
        </is>
      </c>
      <c r="F516" s="143" t="n"/>
      <c r="G516" s="143" t="n"/>
      <c r="H516" s="143" t="n"/>
      <c r="I516" s="143" t="inlineStr">
        <is>
          <t>THE PAINTING AND RELATED OPERATIONS STRUCTURE IS A FACILITY USED FOR PAINTING AND THOSE OPERATIONS WHICH ARE NOT SUITABLE TO BE CARRIED ON IN CATEGORY CODE 219 30, PAINTING AND RELATED OPERATIONS BUILDING. THIS CODE MAY INCLUDE STRUCTURES LIKE A SANDBLAST SCAFFOLD, PAINT SPRAY BOOTH, PRESERVATION DIP TANK, PICKLING TANK, SANDHOPPER, SANDBLASTING FACILITIES, OPEN PAINT CANOPY, SAND HANDLING BIN.</t>
        </is>
      </c>
    </row>
    <row r="517">
      <c r="C517" s="143" t="inlineStr">
        <is>
          <t>219 40</t>
        </is>
      </c>
      <c r="D517" s="143" t="inlineStr">
        <is>
          <t>SEWAGE HOSE STORAGE FAC</t>
        </is>
      </c>
      <c r="E517" s="143" t="inlineStr">
        <is>
          <t>EA</t>
        </is>
      </c>
      <c r="F517" s="143" t="n"/>
      <c r="G517" s="143" t="n"/>
      <c r="H517" s="143" t="n"/>
      <c r="I517" s="143" t="inlineStr">
        <is>
          <t>SEWAGE HOSE STORAGE FACILITY. FOR INVENTORY PURPOSES ONLY.</t>
        </is>
      </c>
    </row>
    <row r="518">
      <c r="C518" s="143" t="inlineStr">
        <is>
          <t>219 77</t>
        </is>
      </c>
      <c r="D518" s="143" t="inlineStr">
        <is>
          <t>PW MAINTENANCE STORAGE</t>
        </is>
      </c>
      <c r="E518" s="143" t="inlineStr">
        <is>
          <t>SF</t>
        </is>
      </c>
      <c r="F518" s="143" t="n"/>
      <c r="G518" s="143" t="n"/>
      <c r="H518" s="143" t="n"/>
      <c r="I518" s="143" t="inlineStr">
        <is>
          <t>THIS FACILITY IS A GENERAL WAREHOUSE FOR THE STORAGE OF ITEMS AND MATERIALS REQUIRED FOR THE MAINTENANCE OF STATION BUILDINGS AND GROUNDS.</t>
        </is>
      </c>
    </row>
    <row r="519">
      <c r="C519" s="143" t="inlineStr">
        <is>
          <t>221 10</t>
        </is>
      </c>
      <c r="D519" s="143" t="inlineStr">
        <is>
          <t>ACFT ENGINE ASSEMBLY PLANT</t>
        </is>
      </c>
      <c r="E519" s="143" t="inlineStr">
        <is>
          <t>SF</t>
        </is>
      </c>
      <c r="F519" s="143" t="n"/>
      <c r="G519" s="143" t="n"/>
      <c r="H519" s="143" t="n"/>
      <c r="I519" s="143" t="inlineStr">
        <is>
          <t>AIRCRAFT ENGINE ASSEMBLY PLANT.</t>
        </is>
      </c>
    </row>
    <row r="520">
      <c r="C520" s="143" t="inlineStr">
        <is>
          <t>221 20</t>
        </is>
      </c>
      <c r="D520" s="143" t="inlineStr">
        <is>
          <t>AIRFRAME ASSEMBLY PLANT</t>
        </is>
      </c>
      <c r="E520" s="143" t="inlineStr">
        <is>
          <t>SF</t>
        </is>
      </c>
      <c r="F520" s="143" t="n"/>
      <c r="G520" s="143" t="n"/>
      <c r="H520" s="143" t="n"/>
      <c r="I520" s="143" t="inlineStr">
        <is>
          <t>AIRFRAME ASSEMBLY PLANT.</t>
        </is>
      </c>
    </row>
    <row r="521">
      <c r="C521" s="143" t="inlineStr">
        <is>
          <t>221 30</t>
        </is>
      </c>
      <c r="D521" s="143" t="inlineStr">
        <is>
          <t>ACFT ACCESSORY ASSEMBLY</t>
        </is>
      </c>
      <c r="E521" s="143" t="inlineStr">
        <is>
          <t>SF</t>
        </is>
      </c>
      <c r="F521" s="143" t="n"/>
      <c r="G521" s="143" t="n"/>
      <c r="H521" s="143" t="n"/>
      <c r="I521" s="143" t="inlineStr">
        <is>
          <t>AIRCRAFT ACCESSORIES ASSEMBLY PLANT.</t>
        </is>
      </c>
    </row>
    <row r="522">
      <c r="C522" s="143" t="inlineStr">
        <is>
          <t>222 10</t>
        </is>
      </c>
      <c r="D522" s="143" t="inlineStr">
        <is>
          <t>MISSILE ASSEMBLY PLANT</t>
        </is>
      </c>
      <c r="E522" s="143" t="inlineStr">
        <is>
          <t>SF</t>
        </is>
      </c>
      <c r="F522" s="143" t="n"/>
      <c r="G522" s="143" t="n"/>
      <c r="H522" s="143" t="n"/>
      <c r="I522" s="143" t="inlineStr">
        <is>
          <t>MISSILE ASSEMBLY PLANT THAT ACCOMODATES MOTOR FINISHING, PARTS STORAGE, ADMIN, CONTROL HOUSE, SHIPPING, INGREDIENT SCREENING, PROPELLANT STORAGE, TOOL STORAGE, BURNING CAGE, BLENDING, GRINDING, DARKROOM, UTILITY STORAGE ETC.</t>
        </is>
      </c>
    </row>
    <row r="523">
      <c r="C523" s="143" t="inlineStr">
        <is>
          <t>222 20</t>
        </is>
      </c>
      <c r="D523" s="143" t="inlineStr">
        <is>
          <t>MISSILE HANDL LAUNCH EQUIP</t>
        </is>
      </c>
      <c r="E523" s="143" t="inlineStr">
        <is>
          <t>SF</t>
        </is>
      </c>
      <c r="F523" s="143" t="n"/>
      <c r="G523" s="143" t="n"/>
      <c r="H523" s="143" t="n"/>
      <c r="I523" s="143" t="inlineStr">
        <is>
          <t>MISSILE HANDLING LAUNCH EQUIPMENT PLANT.</t>
        </is>
      </c>
    </row>
    <row r="524">
      <c r="C524" s="143" t="inlineStr">
        <is>
          <t>223 10</t>
        </is>
      </c>
      <c r="D524" s="143" t="inlineStr">
        <is>
          <t>FABRICATION/ASSE MBLY BLDG</t>
        </is>
      </c>
      <c r="E524" s="143" t="inlineStr">
        <is>
          <t>SF</t>
        </is>
      </c>
      <c r="F524" s="143" t="n"/>
      <c r="G524" s="143" t="n"/>
      <c r="H524" s="143" t="n"/>
      <c r="I524" s="143" t="inlineStr">
        <is>
          <t>FABRICATION AND ASSEMBLY BUILDING THAT ACCOMODATES FABRICATION, PROTOTYPE ASSEMBLY, TECH LAB STORAGE, CONSTRUCTION WOOD SHOP, SAND BLAST FACILITY, TECHNICAL SERVICES, AND PROTOTYPE FABRICATION.</t>
        </is>
      </c>
    </row>
    <row r="525">
      <c r="C525" s="143" t="inlineStr">
        <is>
          <t>223 30</t>
        </is>
      </c>
      <c r="D525" s="143" t="inlineStr">
        <is>
          <t>SHIP BUILDING DRYDOCKS</t>
        </is>
      </c>
      <c r="E525" s="143" t="inlineStr">
        <is>
          <t>SF</t>
        </is>
      </c>
      <c r="F525" s="143" t="n"/>
      <c r="G525" s="143" t="n"/>
      <c r="H525" s="143" t="n"/>
      <c r="I525" s="143" t="inlineStr">
        <is>
          <t>SHIP-BUILDING DRYDOCKS.</t>
        </is>
      </c>
    </row>
    <row r="526">
      <c r="C526" s="143" t="inlineStr">
        <is>
          <t>224 10</t>
        </is>
      </c>
      <c r="D526" s="143" t="inlineStr">
        <is>
          <t>COMBAT VEHICL ASSEMBL PLT</t>
        </is>
      </c>
      <c r="E526" s="143" t="inlineStr">
        <is>
          <t>SF</t>
        </is>
      </c>
      <c r="F526" s="143" t="n"/>
      <c r="G526" s="143" t="n"/>
      <c r="H526" s="143" t="n"/>
      <c r="I526" s="143" t="inlineStr">
        <is>
          <t>COMBAT VEHICLE ASSEMBLY PLANT</t>
        </is>
      </c>
    </row>
    <row r="527">
      <c r="C527" s="143" t="inlineStr">
        <is>
          <t>224 20</t>
        </is>
      </c>
      <c r="D527" s="143" t="inlineStr">
        <is>
          <t>AUTO VEHICL ASSEMBL PLT</t>
        </is>
      </c>
      <c r="E527" s="143" t="inlineStr">
        <is>
          <t>SF</t>
        </is>
      </c>
      <c r="F527" s="143" t="n"/>
      <c r="G527" s="143" t="n"/>
      <c r="H527" s="143" t="n"/>
      <c r="I527" s="143" t="inlineStr">
        <is>
          <t>AUTOMOTIVE VEHICLE ASSEMBLY PLANT.</t>
        </is>
      </c>
    </row>
    <row r="528">
      <c r="C528" s="143" t="inlineStr">
        <is>
          <t>225 10</t>
        </is>
      </c>
      <c r="D528" s="143" t="inlineStr">
        <is>
          <t>SMALL ARMS PLANT</t>
        </is>
      </c>
      <c r="E528" s="143" t="inlineStr">
        <is>
          <t>SF</t>
        </is>
      </c>
      <c r="F528" s="143" t="n"/>
      <c r="G528" s="143" t="n"/>
      <c r="H528" s="143" t="n"/>
      <c r="I528" s="143" t="inlineStr">
        <is>
          <t>SMALL ARMS PLANT.</t>
        </is>
      </c>
    </row>
    <row r="529">
      <c r="C529" s="143" t="inlineStr">
        <is>
          <t>225 20</t>
        </is>
      </c>
      <c r="D529" s="143" t="inlineStr">
        <is>
          <t>LIGHT GUN (20MM/5IN) PLANT</t>
        </is>
      </c>
      <c r="E529" s="143" t="inlineStr">
        <is>
          <t>SF</t>
        </is>
      </c>
      <c r="F529" s="143" t="n"/>
      <c r="G529" s="143" t="n"/>
      <c r="H529" s="143" t="n"/>
      <c r="I529" s="143" t="inlineStr">
        <is>
          <t>LIGHT GUN PLANT.</t>
        </is>
      </c>
    </row>
    <row r="530">
      <c r="C530" s="143" t="inlineStr">
        <is>
          <t>225 30</t>
        </is>
      </c>
      <c r="D530" s="143" t="inlineStr">
        <is>
          <t>HEAVY GUN(6/16IN) PLANT</t>
        </is>
      </c>
      <c r="E530" s="143" t="inlineStr">
        <is>
          <t>SF</t>
        </is>
      </c>
      <c r="F530" s="143" t="n"/>
      <c r="G530" s="143" t="n"/>
      <c r="H530" s="143" t="n"/>
      <c r="I530" s="143" t="inlineStr">
        <is>
          <t>HEAVY GUN PLANT.</t>
        </is>
      </c>
    </row>
    <row r="531">
      <c r="C531" s="143" t="inlineStr">
        <is>
          <t>225 40</t>
        </is>
      </c>
      <c r="D531" s="143" t="inlineStr">
        <is>
          <t>HARBOR PROTECT NET PLANT</t>
        </is>
      </c>
      <c r="E531" s="143" t="inlineStr">
        <is>
          <t>SF</t>
        </is>
      </c>
      <c r="F531" s="143" t="n"/>
      <c r="G531" s="143" t="n"/>
      <c r="H531" s="143" t="n"/>
      <c r="I531" s="143" t="inlineStr">
        <is>
          <t>HARBOR PROTECTIVE NET PLANT.</t>
        </is>
      </c>
    </row>
    <row r="532">
      <c r="C532" s="143" t="inlineStr">
        <is>
          <t>225 50</t>
        </is>
      </c>
      <c r="D532" s="143" t="inlineStr">
        <is>
          <t>LAUNCHER/PROJECT OR PLANT</t>
        </is>
      </c>
      <c r="E532" s="143" t="inlineStr">
        <is>
          <t>SF</t>
        </is>
      </c>
      <c r="F532" s="143" t="n"/>
      <c r="G532" s="143" t="n"/>
      <c r="H532" s="143" t="n"/>
      <c r="I532" s="143" t="inlineStr">
        <is>
          <t>LAUNCHER AND PROJECTOR PLANT.</t>
        </is>
      </c>
    </row>
    <row r="533">
      <c r="C533" s="143" t="inlineStr">
        <is>
          <t>225 60</t>
        </is>
      </c>
      <c r="D533" s="143" t="inlineStr">
        <is>
          <t>ARMOR PLATE PLANT</t>
        </is>
      </c>
      <c r="E533" s="143" t="inlineStr">
        <is>
          <t>SF</t>
        </is>
      </c>
      <c r="F533" s="143" t="n"/>
      <c r="G533" s="143" t="n"/>
      <c r="H533" s="143" t="n"/>
      <c r="I533" s="143" t="inlineStr">
        <is>
          <t>ARMOR PLATE PLANT.</t>
        </is>
      </c>
    </row>
    <row r="534">
      <c r="C534" s="143" t="inlineStr">
        <is>
          <t>226 10</t>
        </is>
      </c>
      <c r="D534" s="143" t="inlineStr">
        <is>
          <t>BAG CHARGE FILLING PLANT</t>
        </is>
      </c>
      <c r="E534" s="143" t="inlineStr">
        <is>
          <t>SF</t>
        </is>
      </c>
      <c r="F534" s="143" t="n"/>
      <c r="G534" s="143" t="n"/>
      <c r="H534" s="143" t="n"/>
      <c r="I534" s="143" t="inlineStr">
        <is>
          <t>BAG CHARGE FILLING PLANT.</t>
        </is>
      </c>
    </row>
    <row r="535">
      <c r="C535" s="143" t="inlineStr">
        <is>
          <t>226 15</t>
        </is>
      </c>
      <c r="D535" s="143" t="inlineStr">
        <is>
          <t>CASE FILLING PLANT</t>
        </is>
      </c>
      <c r="E535" s="143" t="inlineStr">
        <is>
          <t>SF</t>
        </is>
      </c>
      <c r="F535" s="143" t="n"/>
      <c r="G535" s="143" t="n"/>
      <c r="H535" s="143" t="n"/>
      <c r="I535" s="143" t="inlineStr">
        <is>
          <t>CASE FILLING PLANT.</t>
        </is>
      </c>
    </row>
    <row r="536">
      <c r="C536" s="143" t="inlineStr">
        <is>
          <t>226 20</t>
        </is>
      </c>
      <c r="D536" s="143" t="inlineStr">
        <is>
          <t>CASE O/H TANK REPAIR FAC</t>
        </is>
      </c>
      <c r="E536" s="143" t="inlineStr">
        <is>
          <t>SF</t>
        </is>
      </c>
      <c r="F536" s="143" t="n"/>
      <c r="G536" s="143" t="n"/>
      <c r="H536" s="143" t="n"/>
      <c r="I536" s="143" t="inlineStr">
        <is>
          <t>CASE OVERHAUL TANK REPAIR FACILITY.</t>
        </is>
      </c>
    </row>
    <row r="537">
      <c r="C537" s="143" t="inlineStr">
        <is>
          <t>226 25</t>
        </is>
      </c>
      <c r="D537" s="143" t="inlineStr">
        <is>
          <t>40MM LOADING PLANT</t>
        </is>
      </c>
      <c r="E537" s="143" t="inlineStr">
        <is>
          <t>SF</t>
        </is>
      </c>
      <c r="F537" s="143" t="n"/>
      <c r="G537" s="143" t="n"/>
      <c r="H537" s="143" t="n"/>
      <c r="I537" s="143" t="inlineStr">
        <is>
          <t>40MM-LOADING PLANT.</t>
        </is>
      </c>
    </row>
    <row r="538">
      <c r="C538" s="143" t="inlineStr">
        <is>
          <t>226 30</t>
        </is>
      </c>
      <c r="D538" s="143" t="inlineStr">
        <is>
          <t>20MM LOADING PLANT</t>
        </is>
      </c>
      <c r="E538" s="143" t="inlineStr">
        <is>
          <t>SF</t>
        </is>
      </c>
      <c r="F538" s="143" t="n"/>
      <c r="G538" s="143" t="n"/>
      <c r="H538" s="143" t="n"/>
      <c r="I538" s="143" t="inlineStr">
        <is>
          <t>20MM-LOADING PLANT.</t>
        </is>
      </c>
    </row>
    <row r="539">
      <c r="C539" s="143" t="inlineStr">
        <is>
          <t>226 35</t>
        </is>
      </c>
      <c r="D539" s="143" t="inlineStr">
        <is>
          <t>MAJ-CAL PROJECTL LOAD PLT</t>
        </is>
      </c>
      <c r="E539" s="143" t="inlineStr">
        <is>
          <t>SF</t>
        </is>
      </c>
      <c r="F539" s="143" t="n"/>
      <c r="G539" s="143" t="n"/>
      <c r="H539" s="143" t="n"/>
      <c r="I539" s="143" t="inlineStr">
        <is>
          <t>LARGE CALIBER PROJECTILES LOADING FACILITY.</t>
        </is>
      </c>
    </row>
    <row r="540">
      <c r="C540" s="143" t="inlineStr">
        <is>
          <t>226 40</t>
        </is>
      </c>
      <c r="D540" s="143" t="inlineStr">
        <is>
          <t>MED-CAL PROJECTL LOAD PLT</t>
        </is>
      </c>
      <c r="E540" s="143" t="inlineStr">
        <is>
          <t>SF</t>
        </is>
      </c>
      <c r="F540" s="143" t="n"/>
      <c r="G540" s="143" t="n"/>
      <c r="H540" s="143" t="n"/>
      <c r="I540" s="143" t="inlineStr">
        <is>
          <t>MEDIUM CALIBER PROJECTILE LOADING FACILITY.</t>
        </is>
      </c>
    </row>
    <row r="541">
      <c r="C541" s="143" t="inlineStr">
        <is>
          <t>226 45</t>
        </is>
      </c>
      <c r="D541" s="143" t="inlineStr">
        <is>
          <t>LARGE CAL ROCKET LOAD PLT</t>
        </is>
      </c>
      <c r="E541" s="143" t="inlineStr">
        <is>
          <t>SF</t>
        </is>
      </c>
      <c r="F541" s="143" t="n"/>
      <c r="G541" s="143" t="n"/>
      <c r="H541" s="143" t="n"/>
      <c r="I541" s="143" t="inlineStr">
        <is>
          <t>LARGE CALIBER ROCKET MOTOR LOADING PLANT.</t>
        </is>
      </c>
    </row>
    <row r="542">
      <c r="C542" s="143" t="inlineStr">
        <is>
          <t>226 50</t>
        </is>
      </c>
      <c r="D542" s="143" t="inlineStr">
        <is>
          <t>MED CAL ROCKET LOAD PLT</t>
        </is>
      </c>
      <c r="E542" s="143" t="inlineStr">
        <is>
          <t>SF</t>
        </is>
      </c>
      <c r="F542" s="143" t="n"/>
      <c r="G542" s="143" t="n"/>
      <c r="H542" s="143" t="n"/>
      <c r="I542" s="143" t="inlineStr">
        <is>
          <t>MEDIUM CALIBER ROCKET LOADING PLANT.</t>
        </is>
      </c>
    </row>
    <row r="543">
      <c r="C543" s="143" t="inlineStr">
        <is>
          <t>226 55</t>
        </is>
      </c>
      <c r="D543" s="143" t="inlineStr">
        <is>
          <t>CAST HI EXPLOS FILL PLT</t>
        </is>
      </c>
      <c r="E543" s="143" t="inlineStr">
        <is>
          <t>SF</t>
        </is>
      </c>
      <c r="F543" s="143" t="n"/>
      <c r="G543" s="143" t="n"/>
      <c r="H543" s="143" t="n"/>
      <c r="I543" s="143" t="inlineStr">
        <is>
          <t>CAST HIGH EXPLOSIVES FILLING PLANT.</t>
        </is>
      </c>
    </row>
    <row r="544">
      <c r="C544" s="143" t="inlineStr">
        <is>
          <t>226 56</t>
        </is>
      </c>
      <c r="D544" s="143" t="inlineStr">
        <is>
          <t>CAST HI EXPLOS FILL FAC</t>
        </is>
      </c>
      <c r="E544" s="143" t="inlineStr">
        <is>
          <t>SF</t>
        </is>
      </c>
      <c r="F544" s="143" t="n"/>
      <c r="G544" s="143" t="n"/>
      <c r="H544" s="143" t="n"/>
      <c r="I544" s="143" t="inlineStr">
        <is>
          <t>CAST HIGH EXPLOSIVES FILLING FACILITY.</t>
        </is>
      </c>
    </row>
    <row r="545">
      <c r="C545" s="143" t="inlineStr">
        <is>
          <t>226 60</t>
        </is>
      </c>
      <c r="D545" s="143" t="inlineStr">
        <is>
          <t>SPECIAL WEAPONS PLANT</t>
        </is>
      </c>
      <c r="E545" s="143" t="inlineStr">
        <is>
          <t>SF</t>
        </is>
      </c>
      <c r="F545" s="143" t="n"/>
      <c r="G545" s="143" t="n"/>
      <c r="H545" s="143" t="n"/>
      <c r="I545" s="143" t="inlineStr">
        <is>
          <t>SPECIAL WEAPONS PLANT.</t>
        </is>
      </c>
    </row>
    <row r="546">
      <c r="C546" s="143" t="inlineStr">
        <is>
          <t>226 65</t>
        </is>
      </c>
      <c r="D546" s="143" t="inlineStr">
        <is>
          <t>PROPELLANT CHEMICAL PLT</t>
        </is>
      </c>
      <c r="E546" s="143" t="inlineStr">
        <is>
          <t>SF</t>
        </is>
      </c>
      <c r="F546" s="143" t="n"/>
      <c r="G546" s="143" t="n"/>
      <c r="H546" s="143" t="n"/>
      <c r="I546" s="143" t="inlineStr">
        <is>
          <t>PROPELLANT AND RELATED CHEMICAL PLANT.</t>
        </is>
      </c>
    </row>
    <row r="547">
      <c r="C547" s="143" t="inlineStr">
        <is>
          <t>226 66</t>
        </is>
      </c>
      <c r="D547" s="143" t="inlineStr">
        <is>
          <t>PROPELLANT CHEMICAL FAC</t>
        </is>
      </c>
      <c r="E547" s="143" t="inlineStr">
        <is>
          <t>SF</t>
        </is>
      </c>
      <c r="F547" s="143" t="n"/>
      <c r="G547" s="143" t="n"/>
      <c r="H547" s="143" t="n"/>
      <c r="I547" s="143" t="inlineStr">
        <is>
          <t>PROPELLANT AND RELATED CHEMICAL FACILITY.</t>
        </is>
      </c>
    </row>
    <row r="548">
      <c r="C548" s="143" t="inlineStr">
        <is>
          <t>226 70</t>
        </is>
      </c>
      <c r="D548" s="143" t="inlineStr">
        <is>
          <t>READY AMMO BELTING PLT</t>
        </is>
      </c>
      <c r="E548" s="143" t="inlineStr">
        <is>
          <t>SF</t>
        </is>
      </c>
      <c r="F548" s="143" t="n"/>
      <c r="G548" s="143" t="n"/>
      <c r="H548" s="143" t="n"/>
      <c r="I548" s="143" t="inlineStr">
        <is>
          <t>READY AMMUNITION BELTING PLANT.</t>
        </is>
      </c>
    </row>
    <row r="549">
      <c r="C549" s="143" t="inlineStr">
        <is>
          <t>226 75</t>
        </is>
      </c>
      <c r="D549" s="143" t="inlineStr">
        <is>
          <t>UNDRWTR DEMO EQUIP PLT</t>
        </is>
      </c>
      <c r="E549" s="143" t="inlineStr">
        <is>
          <t>SF</t>
        </is>
      </c>
      <c r="F549" s="143" t="n"/>
      <c r="G549" s="143" t="n"/>
      <c r="H549" s="143" t="n"/>
      <c r="I549" s="143" t="inlineStr">
        <is>
          <t>UNDERWATER DEMOLITION EQUIPMENT PLANT.</t>
        </is>
      </c>
    </row>
    <row r="550">
      <c r="C550" s="143" t="inlineStr">
        <is>
          <t>226 80</t>
        </is>
      </c>
      <c r="D550" s="143" t="inlineStr">
        <is>
          <t>AMMUNITION LOADING PLANT</t>
        </is>
      </c>
      <c r="E550" s="143" t="inlineStr">
        <is>
          <t>SF</t>
        </is>
      </c>
      <c r="F550" s="143" t="n"/>
      <c r="G550" s="143" t="n"/>
      <c r="H550" s="143" t="n"/>
      <c r="I550" s="143" t="inlineStr">
        <is>
          <t>AMMUNITION LOADING PLANT.</t>
        </is>
      </c>
    </row>
    <row r="551">
      <c r="C551" s="143" t="inlineStr">
        <is>
          <t>226 81</t>
        </is>
      </c>
      <c r="D551" s="143" t="inlineStr">
        <is>
          <t>DEMILITARIZATION BUILDING</t>
        </is>
      </c>
      <c r="E551" s="143" t="inlineStr">
        <is>
          <t>SF</t>
        </is>
      </c>
      <c r="F551" s="143" t="n"/>
      <c r="G551" s="143" t="n"/>
      <c r="H551" s="143" t="n"/>
      <c r="I551" s="143" t="inlineStr">
        <is>
          <t>DEMILITARIZATION BUILDING.</t>
        </is>
      </c>
    </row>
    <row r="552">
      <c r="C552" s="143" t="inlineStr">
        <is>
          <t>226 82</t>
        </is>
      </c>
      <c r="D552" s="143" t="inlineStr">
        <is>
          <t>DEMILITARIZATION FACILITY</t>
        </is>
      </c>
      <c r="E552" s="143" t="inlineStr">
        <is>
          <t>EA</t>
        </is>
      </c>
      <c r="F552" s="143" t="n"/>
      <c r="G552" s="143" t="n"/>
      <c r="H552" s="143" t="n"/>
      <c r="I552" s="143" t="inlineStr">
        <is>
          <t>DEMILITARIZATION FACILITY.</t>
        </is>
      </c>
    </row>
    <row r="553">
      <c r="C553" s="143" t="inlineStr">
        <is>
          <t>226 85</t>
        </is>
      </c>
      <c r="D553" s="143" t="inlineStr">
        <is>
          <t>FUSE ASSEMBLY PLANT</t>
        </is>
      </c>
      <c r="E553" s="143" t="inlineStr">
        <is>
          <t>SF</t>
        </is>
      </c>
      <c r="F553" s="143" t="n"/>
      <c r="G553" s="143" t="n"/>
      <c r="H553" s="143" t="n"/>
      <c r="I553" s="143" t="inlineStr">
        <is>
          <t>FUZE ASSEMBLY PLANT.</t>
        </is>
      </c>
    </row>
    <row r="554">
      <c r="C554" s="143" t="inlineStr">
        <is>
          <t>226 86</t>
        </is>
      </c>
      <c r="D554" s="143" t="inlineStr">
        <is>
          <t>MINE ASSEMBLY PLANT</t>
        </is>
      </c>
      <c r="E554" s="143" t="inlineStr">
        <is>
          <t>SF</t>
        </is>
      </c>
      <c r="F554" s="143" t="n"/>
      <c r="G554" s="143" t="n"/>
      <c r="H554" s="143" t="n"/>
      <c r="I554" s="143" t="inlineStr">
        <is>
          <t>MINE ASSEMBLY PLANT.</t>
        </is>
      </c>
    </row>
    <row r="555">
      <c r="C555" s="143" t="inlineStr">
        <is>
          <t>226 88</t>
        </is>
      </c>
      <c r="D555" s="143" t="inlineStr">
        <is>
          <t>PYROTECHNIC PRODUCTION FAC</t>
        </is>
      </c>
      <c r="E555" s="143" t="inlineStr">
        <is>
          <t>SF</t>
        </is>
      </c>
      <c r="F555" s="143" t="n"/>
      <c r="G555" s="143" t="n"/>
      <c r="H555" s="143" t="n"/>
      <c r="I555" s="143" t="inlineStr">
        <is>
          <t>PYROTECHNIC PRODUCTION FACILITY.</t>
        </is>
      </c>
    </row>
    <row r="556">
      <c r="C556" s="143" t="inlineStr">
        <is>
          <t>227 10</t>
        </is>
      </c>
      <c r="D556" s="143" t="inlineStr">
        <is>
          <t>RADIO/RADAR EQUIP PLT</t>
        </is>
      </c>
      <c r="E556" s="143" t="inlineStr">
        <is>
          <t>SF</t>
        </is>
      </c>
      <c r="F556" s="143" t="n"/>
      <c r="G556" s="143" t="n"/>
      <c r="H556" s="143" t="n"/>
      <c r="I556" s="143" t="inlineStr">
        <is>
          <t>RADIO AND RADAR EQUIPMENT PLANT.</t>
        </is>
      </c>
    </row>
    <row r="557">
      <c r="C557" s="143" t="inlineStr">
        <is>
          <t>227 20</t>
        </is>
      </c>
      <c r="D557" s="143" t="inlineStr">
        <is>
          <t>SONAR EQUIPMENT PLANT</t>
        </is>
      </c>
      <c r="E557" s="143" t="inlineStr">
        <is>
          <t>SF</t>
        </is>
      </c>
      <c r="F557" s="143" t="n"/>
      <c r="G557" s="143" t="n"/>
      <c r="H557" s="143" t="n"/>
      <c r="I557" s="143" t="inlineStr">
        <is>
          <t>SONAR EQUIPMENT PLANT.</t>
        </is>
      </c>
    </row>
    <row r="558">
      <c r="C558" s="143" t="inlineStr">
        <is>
          <t>227 30</t>
        </is>
      </c>
      <c r="D558" s="143" t="inlineStr">
        <is>
          <t>GUIDANCE EQUIPMENT PLANT</t>
        </is>
      </c>
      <c r="E558" s="143" t="inlineStr">
        <is>
          <t>SF</t>
        </is>
      </c>
      <c r="F558" s="143" t="n"/>
      <c r="G558" s="143" t="n"/>
      <c r="H558" s="143" t="n"/>
      <c r="I558" s="143" t="inlineStr">
        <is>
          <t>GUIDANCE EQUIPMENT PLANT.</t>
        </is>
      </c>
    </row>
    <row r="559">
      <c r="C559" s="143" t="inlineStr">
        <is>
          <t>227 35</t>
        </is>
      </c>
      <c r="D559" s="143" t="inlineStr">
        <is>
          <t>PRINTED CIRCUIT SHOP</t>
        </is>
      </c>
      <c r="E559" s="143" t="inlineStr">
        <is>
          <t>SF</t>
        </is>
      </c>
      <c r="F559" s="143" t="n"/>
      <c r="G559" s="143" t="n"/>
      <c r="H559" s="143" t="n"/>
      <c r="I559" s="143" t="inlineStr">
        <is>
          <t>PRINTED CIRCUIT SHOP.</t>
        </is>
      </c>
    </row>
    <row r="560">
      <c r="C560" s="143" t="inlineStr">
        <is>
          <t>228 10</t>
        </is>
      </c>
      <c r="D560" s="143" t="inlineStr">
        <is>
          <t>PARACHUTE/SURVVL EQUIP PLT</t>
        </is>
      </c>
      <c r="E560" s="143" t="inlineStr">
        <is>
          <t>SF</t>
        </is>
      </c>
      <c r="F560" s="143" t="n"/>
      <c r="G560" s="143" t="n"/>
      <c r="H560" s="143" t="n"/>
      <c r="I560" s="143" t="inlineStr">
        <is>
          <t>PARACHUTE AND SURVIVAL EQUIPMENT SHOP.</t>
        </is>
      </c>
    </row>
    <row r="561">
      <c r="C561" s="143" t="inlineStr">
        <is>
          <t>228 20</t>
        </is>
      </c>
      <c r="D561" s="143" t="inlineStr">
        <is>
          <t>CONSTRUCTION EQUIP PLT</t>
        </is>
      </c>
      <c r="E561" s="143" t="inlineStr">
        <is>
          <t>SF</t>
        </is>
      </c>
      <c r="F561" s="143" t="n"/>
      <c r="G561" s="143" t="n"/>
      <c r="H561" s="143" t="n"/>
      <c r="I561" s="143" t="inlineStr">
        <is>
          <t>CONSTRUCTION EQUIPMENT PLANT.</t>
        </is>
      </c>
    </row>
    <row r="562">
      <c r="C562" s="143" t="inlineStr">
        <is>
          <t>228 30</t>
        </is>
      </c>
      <c r="D562" s="143" t="inlineStr">
        <is>
          <t>RAILROAD EQUIPMENT PLANT</t>
        </is>
      </c>
      <c r="E562" s="143" t="inlineStr">
        <is>
          <t>SF</t>
        </is>
      </c>
      <c r="F562" s="143" t="n"/>
      <c r="G562" s="143" t="n"/>
      <c r="H562" s="143" t="n"/>
      <c r="I562" s="143" t="inlineStr">
        <is>
          <t>RAILROAD EQUIPMENT PLANT.</t>
        </is>
      </c>
    </row>
    <row r="563">
      <c r="C563" s="143" t="inlineStr">
        <is>
          <t>228 35</t>
        </is>
      </c>
      <c r="D563" s="143" t="inlineStr">
        <is>
          <t>OPHTHALMIC SUPPORT BUILDIN</t>
        </is>
      </c>
      <c r="E563" s="143" t="inlineStr">
        <is>
          <t>SF</t>
        </is>
      </c>
      <c r="F563" s="143" t="n"/>
      <c r="G563" s="143" t="n"/>
      <c r="H563" s="143" t="n"/>
      <c r="I563" s="143" t="inlineStr">
        <is>
          <t>OPTHALMIC SUPPORT BUILDING.</t>
        </is>
      </c>
    </row>
    <row r="564">
      <c r="C564" s="143" t="inlineStr">
        <is>
          <t>229 10</t>
        </is>
      </c>
      <c r="D564" s="143" t="inlineStr">
        <is>
          <t>ASPHALT PLANT</t>
        </is>
      </c>
      <c r="E564" s="143" t="inlineStr">
        <is>
          <t>EA</t>
        </is>
      </c>
      <c r="F564" s="143" t="n"/>
      <c r="G564" s="143" t="n"/>
      <c r="H564" s="143" t="n"/>
      <c r="I564" s="143" t="inlineStr">
        <is>
          <t>ASPHALT BATCH PLANT.</t>
        </is>
      </c>
    </row>
    <row r="565">
      <c r="C565" s="143" t="inlineStr">
        <is>
          <t>229 20</t>
        </is>
      </c>
      <c r="D565" s="143" t="inlineStr">
        <is>
          <t>CONCRETE BATCHING PLANT</t>
        </is>
      </c>
      <c r="E565" s="143" t="inlineStr">
        <is>
          <t>EA</t>
        </is>
      </c>
      <c r="F565" s="143" t="n"/>
      <c r="G565" s="143" t="n"/>
      <c r="H565" s="143" t="n"/>
      <c r="I565" s="143" t="inlineStr">
        <is>
          <t>CONCRETE BATCH PLANT.</t>
        </is>
      </c>
    </row>
    <row r="566">
      <c r="C566" s="143" t="inlineStr">
        <is>
          <t>229 30</t>
        </is>
      </c>
      <c r="D566" s="143" t="inlineStr">
        <is>
          <t>ROCK CRUSHER PLANT</t>
        </is>
      </c>
      <c r="E566" s="143" t="inlineStr">
        <is>
          <t>EA</t>
        </is>
      </c>
      <c r="F566" s="143" t="n"/>
      <c r="G566" s="143" t="n"/>
      <c r="H566" s="143" t="n"/>
      <c r="I566" s="143" t="inlineStr">
        <is>
          <t>ROCK CRUSHER PLANT.</t>
        </is>
      </c>
    </row>
    <row r="567">
      <c r="C567" s="143" t="inlineStr">
        <is>
          <t>229 50</t>
        </is>
      </c>
      <c r="D567" s="143" t="inlineStr">
        <is>
          <t>PRINTING PLANT</t>
        </is>
      </c>
      <c r="E567" s="143" t="inlineStr">
        <is>
          <t>SF</t>
        </is>
      </c>
      <c r="F567" s="143" t="n"/>
      <c r="G567" s="143" t="n"/>
      <c r="H567" s="143" t="n"/>
      <c r="I567" s="143" t="inlineStr">
        <is>
          <t>PRINTING PLANT.</t>
        </is>
      </c>
    </row>
    <row r="568">
      <c r="C568" s="143" t="inlineStr">
        <is>
          <t>229 77</t>
        </is>
      </c>
      <c r="D568" s="143" t="inlineStr">
        <is>
          <t>MAINT/PROD STRG (MISC)</t>
        </is>
      </c>
      <c r="E568" s="143" t="inlineStr">
        <is>
          <t>SF</t>
        </is>
      </c>
      <c r="F568" s="143" t="n"/>
      <c r="G568" s="143" t="n"/>
      <c r="H568" s="143" t="n"/>
      <c r="I568" s="143" t="inlineStr">
        <is>
          <t>MAINTENANCE PRODUCTION STORAGE- READY ISSUE FACILITY.</t>
        </is>
      </c>
    </row>
    <row r="569">
      <c r="C569" s="143" t="inlineStr">
        <is>
          <t>229 80</t>
        </is>
      </c>
      <c r="D569" s="143" t="inlineStr">
        <is>
          <t>CONTAINER ASSEMBLY BLDG</t>
        </is>
      </c>
      <c r="E569" s="143" t="inlineStr">
        <is>
          <t>SF</t>
        </is>
      </c>
      <c r="F569" s="143" t="n"/>
      <c r="G569" s="143" t="n"/>
      <c r="H569" s="143" t="n"/>
      <c r="I569" s="143" t="inlineStr">
        <is>
          <t>CONTAINER (CONEX) ASSEMBLY BUILDING.</t>
        </is>
      </c>
    </row>
    <row r="570">
      <c r="C570" s="143" t="inlineStr">
        <is>
          <t>310 10</t>
        </is>
      </c>
      <c r="D570" s="143" t="inlineStr">
        <is>
          <t>RDAT&amp;E ADMINISTRATIVE OFC</t>
        </is>
      </c>
      <c r="E570" s="143" t="inlineStr">
        <is>
          <t>SF</t>
        </is>
      </c>
      <c r="F570" s="143" t="n"/>
      <c r="G570" s="143" t="n"/>
      <c r="H570" s="143" t="n"/>
      <c r="I570" s="143" t="inlineStr">
        <is>
          <t>BUILDINGS USED DIRECTLY IN THEORETICAL OR APPLIED RESEARCH, DEVELOPMENT AND TESTING OPERATIONS RELATED TO BASIC RESEARCH SUCH AS CHEMISTRY, MATERIALS, MEDICAL, BIOLOGICAL, SONIC, PHYSICS, GEOPHYSICS, ETC.</t>
        </is>
      </c>
    </row>
    <row r="571">
      <c r="C571" s="143" t="inlineStr">
        <is>
          <t>310 11</t>
        </is>
      </c>
      <c r="D571" s="143" t="inlineStr">
        <is>
          <t>ASTRONOMY/ASTROP HYSICS LAB</t>
        </is>
      </c>
      <c r="E571" s="143" t="inlineStr">
        <is>
          <t>SF</t>
        </is>
      </c>
      <c r="F571" s="143" t="n"/>
      <c r="G571" s="143" t="n"/>
      <c r="H571" s="143" t="n"/>
      <c r="I571" s="143" t="inlineStr">
        <is>
          <t>A FACILITY REQUIRED TO SUPPORT THE INVESTIGATION OF RADIO ASTRONOMY EQUIPMENT, SATELLITE RESEARCH, AND DEVELOPMENT FOR NAVIGATIONAL AND COMMUNICATION PROGRAMS.</t>
        </is>
      </c>
    </row>
    <row r="572">
      <c r="C572" s="143" t="inlineStr">
        <is>
          <t>310 13</t>
        </is>
      </c>
      <c r="D572" s="143" t="inlineStr">
        <is>
          <t>CHEMISTRY/TOXICO LOGY LAB</t>
        </is>
      </c>
      <c r="E572" s="143" t="inlineStr">
        <is>
          <t>SF</t>
        </is>
      </c>
      <c r="F572" s="143" t="n"/>
      <c r="G572" s="143" t="n"/>
      <c r="H572" s="143" t="n"/>
      <c r="I572" s="143" t="inlineStr">
        <is>
          <t>THE FACILITY REQUIRED TO SUPPORT THE CONDUCTING OF RESEARCH, DEVELOPMENT, TEST AND EVALUATION IN THE AREAS OF PHYSICAL, ORGANIC, INORGANIC, NUCLEAR, AND BIOLOGICAL CHEMISTRY, DIRECTED TOWARDS PROBLEMS OF FUELS, LUBRICANTS, CORROSION, PROTECTIVE COATINGS, ELECTROCHEMISTRY, SUBMARINE ATMOSPHERE PURIFICATION, PROTECTION AGAINST BIOLOGICAL AND CHEMICAL WARFARE AGENTS, AND RELATED PROGRAMS.</t>
        </is>
      </c>
    </row>
    <row r="573">
      <c r="C573" s="143" t="inlineStr">
        <is>
          <t>310 15</t>
        </is>
      </c>
      <c r="D573" s="143" t="inlineStr">
        <is>
          <t>MATERIALS LABORATORY</t>
        </is>
      </c>
      <c r="E573" s="143" t="inlineStr">
        <is>
          <t>SF</t>
        </is>
      </c>
      <c r="F573" s="143" t="n"/>
      <c r="G573" s="143" t="n"/>
      <c r="H573" s="143" t="n"/>
      <c r="I573" s="143" t="inlineStr">
        <is>
          <t>THIS FACILITY IS USED FOR RESEARCH, DEVELOPMENT, TEST AND EVALUATION OF STATIC, PNEUMATIC NON-DESTRUCTIVE AS WELL AS DESTRUCTIVE TESTING OF COMPONENTS AND ASSEMBLIES FOR NAVY WEAPONS, VEHICLES, ENGINES, SHIPS AND AIRCRAFT.</t>
        </is>
      </c>
    </row>
    <row r="574">
      <c r="C574" s="143" t="inlineStr">
        <is>
          <t>310 17</t>
        </is>
      </c>
      <c r="D574" s="143" t="inlineStr">
        <is>
          <t>OPTICS LABORATORY</t>
        </is>
      </c>
      <c r="E574" s="143" t="inlineStr">
        <is>
          <t>SF</t>
        </is>
      </c>
      <c r="F574" s="143" t="n"/>
      <c r="G574" s="143" t="n"/>
      <c r="H574" s="143" t="n"/>
      <c r="I574" s="143" t="inlineStr">
        <is>
          <t>THIS FACILITY IS USED IN CONDUCTING RESEARCH, DEVELOPMENT, TEST AND EVALUATION PROGRAMS IN QUANTUM OPTICS, OPTICAL PROPAGATION, LASER PHYSICS, OPTICAL MATERIALS AND OPTICAL WARFARE.</t>
        </is>
      </c>
    </row>
    <row r="575">
      <c r="C575" s="143" t="inlineStr">
        <is>
          <t>310 19</t>
        </is>
      </c>
      <c r="D575" s="143" t="inlineStr">
        <is>
          <t>PHYSICS LABORATORY</t>
        </is>
      </c>
      <c r="E575" s="143" t="inlineStr">
        <is>
          <t>SF</t>
        </is>
      </c>
      <c r="F575" s="143" t="n"/>
      <c r="G575" s="143" t="n"/>
      <c r="H575" s="143" t="n"/>
      <c r="I575" s="143" t="inlineStr">
        <is>
          <t>THIS FACILITY IS USED IN RESEARCH, DEVELOPMENT, TEST AND EVALUATION STUDIES IN THE APPLIED SCIENCE OF MATTER AND ENERGY. IT INCLUDES RESEARCH IN SUCH AREAS AS ACOUSTICS, MECHANICS, LIGHT, THERMODYNAMICS, ELECTROMAGNETISM, ATOMIC AND NUCLEAR PHYSICS, CRYOGENICS, SOLID STATE PHYSICS, PARTICLE PHYSICS AND PLASMA PHYSICS, ETC.</t>
        </is>
      </c>
    </row>
    <row r="576">
      <c r="C576" s="143" t="inlineStr">
        <is>
          <t>310 21</t>
        </is>
      </c>
      <c r="D576" s="143" t="inlineStr">
        <is>
          <t>RADIATION EFFECTS LAB</t>
        </is>
      </c>
      <c r="E576" s="143" t="inlineStr">
        <is>
          <t>SF</t>
        </is>
      </c>
      <c r="F576" s="143" t="n"/>
      <c r="G576" s="143" t="n"/>
      <c r="H576" s="143" t="n"/>
      <c r="I576" s="143" t="inlineStr">
        <is>
          <t>THIS FACILITY IS USED IN CONDUCTING RESEARCH, DEVELOPMENT, TEST AND EVALUATION ON RADIATION CHARACTERISTICS OF VARIOUS DEVICES AND THEIR EFFECT ON PERFORMANCE OF VARIOUS SYSTEMS IN THE AIR AND IN THE OCEAN ENVIRONMENT. IT IS ALSO USED IN THE STUDY OF EFFECTS OF RADIATION ON PEOPLE AND MARINE LIFE AND THE ACCOMPLISHMENT OF STUDIES TO DETERMINE RELIABLE METHODS FOR DETECTING RADIATION SOURCES.</t>
        </is>
      </c>
    </row>
    <row r="577">
      <c r="C577" s="143" t="inlineStr">
        <is>
          <t>310 23</t>
        </is>
      </c>
      <c r="D577" s="143" t="inlineStr">
        <is>
          <t>COMBINED RESEARCH LAB</t>
        </is>
      </c>
      <c r="E577" s="143" t="inlineStr">
        <is>
          <t>SF</t>
        </is>
      </c>
      <c r="F577" s="143" t="n"/>
      <c r="G577" s="143" t="n"/>
      <c r="H577" s="143" t="n"/>
      <c r="I577" s="143" t="inlineStr">
        <is>
          <t>THIS FACILITY IS USED FOR RESEARCH, DEVELOPMENT, TEST AND EVALUATION OF NAVAL SYSTEMS WHICH UTILIZED SEVERAL OF THE SCIENCES IN A COMBINED SYSTEM APPLIED DIRECTLY TO A FLEET PROBLEM OR AREA OF RDAT&amp;E. IT IS ALSO USED TO SUPPORT RESEARCH, DEVELOPMENT, TEST AND EVALUATION OF NAVAL SYSTEMS WHICH DO NOT LOGICALLY FIT THE OTHER CATEGORIES OF RDAT&amp;E.</t>
        </is>
      </c>
    </row>
    <row r="578">
      <c r="C578" s="143" t="inlineStr">
        <is>
          <t>310 25</t>
        </is>
      </c>
      <c r="D578" s="143" t="inlineStr">
        <is>
          <t>BIOLOGICAL LABORATORY</t>
        </is>
      </c>
      <c r="E578" s="143" t="inlineStr">
        <is>
          <t>SF</t>
        </is>
      </c>
      <c r="F578" s="143" t="n"/>
      <c r="G578" s="143" t="n"/>
      <c r="H578" s="143" t="n"/>
      <c r="I578" s="143" t="inlineStr">
        <is>
          <t>THIS FACILITY IS USED IN RESEARCH, DEVELOPMENT, TEST AND EVALUATION IN TERRESTRIAL AND MARINE BIOLOGY AS RELATED TO STRUCTURE CAPABILITIES, FUNCTIONING HABITAT, HEALTH, GROWTH ENVIRONMENTAL INDICATORS, ECOLOGICAL RELATIONSHIPS OF LIVING ORGANISMS AND ASSOCIATION OF BIOLOGICAL PHENOMENON TO MAN'S EXISTENCE AND OPERATIONS IN THE LAND, OCEAN AND SPACE ENVIRONMENT.</t>
        </is>
      </c>
    </row>
    <row r="579">
      <c r="C579" s="143" t="inlineStr">
        <is>
          <t>310 27</t>
        </is>
      </c>
      <c r="D579" s="143" t="inlineStr">
        <is>
          <t>ENVIRONMENTAL LABORATORY</t>
        </is>
      </c>
      <c r="E579" s="143" t="inlineStr">
        <is>
          <t>SF</t>
        </is>
      </c>
      <c r="F579" s="143" t="n"/>
      <c r="G579" s="143" t="n"/>
      <c r="H579" s="143" t="n"/>
      <c r="I579" s="143" t="inlineStr">
        <is>
          <t>THIS FACILITY IS USED TO SUPPORT THE RESEARCH, DEVELOPMENT, TEST AND EVALUATION OF INSTRUMENTATION AND COMPUTER SYSTEMS FOR MEASUREMENT AND ANALYSIS OF THE EVALUATION OF ENVIRONMENTAL EFFECTS ON VARIOUS EQUIPMENT, WEAPONS SYSTEMS, FACILITIES, ETC.</t>
        </is>
      </c>
    </row>
    <row r="580">
      <c r="C580" s="143" t="inlineStr">
        <is>
          <t>310 29</t>
        </is>
      </c>
      <c r="D580" s="143" t="inlineStr">
        <is>
          <t>ANIMAL APPLICATIONS LAB</t>
        </is>
      </c>
      <c r="E580" s="143" t="inlineStr">
        <is>
          <t>SF</t>
        </is>
      </c>
      <c r="F580" s="143" t="n"/>
      <c r="G580" s="143" t="n"/>
      <c r="H580" s="143" t="n"/>
      <c r="I580" s="143" t="inlineStr">
        <is>
          <t>THIS FACILITY IS USED TO SUPPORT THE RDT+E ON NON-HUMAN ANIMALS IN PURE RESEARCH AND OCEAN SUPPORT APPLICATIONS. INCLUDING THE USE OF WHALES AND DOLPHINS AS TRAINED DEEP SEA DIVERS, SEALS FOR TOOL RECOVERY AND DOGS AS SENTRIES. IT ALSO INCLUDES R+D IN APPLICATION AND KNOWLEDGE OF ANIMAL CAPABILITIES IN SENSING, HOMING AND IDENTIFICATION TO IMPROVE THE OPERATION OF MAN-MADE OCEAN DEVICES.</t>
        </is>
      </c>
    </row>
    <row r="581">
      <c r="C581" s="143" t="inlineStr">
        <is>
          <t>310 31</t>
        </is>
      </c>
      <c r="D581" s="143" t="inlineStr">
        <is>
          <t>MEDICAL LABORATORY</t>
        </is>
      </c>
      <c r="E581" s="143" t="inlineStr">
        <is>
          <t>SF</t>
        </is>
      </c>
      <c r="F581" s="143" t="n"/>
      <c r="G581" s="143" t="n"/>
      <c r="H581" s="143" t="n"/>
      <c r="I581" s="143" t="inlineStr">
        <is>
          <t>THIS FACILITY IS USED IN CONDUCTING RESEARCH TOWARD METHODOLOGY FOR DIAGNOSIS, TREATMENT, OR PREVENTION OF DISEASE OR DAMAGE TO THE BODY OR MIND.</t>
        </is>
      </c>
    </row>
    <row r="582">
      <c r="C582" s="143" t="inlineStr">
        <is>
          <t>310 33</t>
        </is>
      </c>
      <c r="D582" s="143" t="inlineStr">
        <is>
          <t>COMPUTATION/ANAL YSIS LAB</t>
        </is>
      </c>
      <c r="E582" s="143" t="inlineStr">
        <is>
          <t>SF</t>
        </is>
      </c>
      <c r="F582" s="143" t="n"/>
      <c r="G582" s="143" t="n"/>
      <c r="H582" s="143" t="n"/>
      <c r="I582" s="143" t="inlineStr">
        <is>
          <t>THIS FACILITY SUPPORTS RESEARCH, DEVELOPMENT, TEST AND EVALUATION IN THE AREAS OF INFORMATION PROCESSING AND DATA HANDLING, ESPECIALLY WHEN CONCERNED WITH IDENTIFICATION OF CONDITIONS RESPONSIBLE FOR GIVEN DATA CONFIGURATIONS. MATHEMATICAL DATA ANALYSIS UTILIZING BOTH DIGITAL AND ANALOG COMPUTERS TO RESEARCH, DEVELOP, TEST AND EVALUATE NEW NAVAL SYSTEMS</t>
        </is>
      </c>
    </row>
    <row r="583">
      <c r="C583" s="143" t="inlineStr">
        <is>
          <t>310 37</t>
        </is>
      </c>
      <c r="D583" s="143" t="inlineStr">
        <is>
          <t>OCEAN SCIENCES LABORATORY</t>
        </is>
      </c>
      <c r="E583" s="143" t="inlineStr">
        <is>
          <t>SF</t>
        </is>
      </c>
      <c r="F583" s="143" t="n"/>
      <c r="G583" s="143" t="n"/>
      <c r="H583" s="143" t="n"/>
      <c r="I583" s="143" t="inlineStr">
        <is>
          <t>THIS FACILITY IS USED TO ACCOMPLISH RDT+E IN MARINE BIOSYSTEMS, ENVIRONMENTAL PROTECTION AND MANAGEMENT, DEVELOPMENT OF ANALYTICAL SYSTEMS FOR EVALUATION OF THE OCEAN ENVIRONMENT, STUDIES OF WAVE DYNAMICS, CURRENT FLOW, THERMOCLINES, CHEMICAL VARIANCES, AS WELL AS DEVELOPMENT OF NEW TECHNIQUES AND EQUIPMENT TO INCREASE MAN'S KNOWLEDGE AND UTILIZATION OF THE TOTAL OCEAN ENVIRONMENT.</t>
        </is>
      </c>
    </row>
    <row r="584">
      <c r="C584" s="143" t="inlineStr">
        <is>
          <t>310 39</t>
        </is>
      </c>
      <c r="D584" s="143" t="inlineStr">
        <is>
          <t>LEVEL III BIOSAFETY LAB</t>
        </is>
      </c>
      <c r="E584" s="143" t="inlineStr">
        <is>
          <t>SF</t>
        </is>
      </c>
      <c r="F584" s="143" t="n"/>
      <c r="G584" s="143" t="n"/>
      <c r="H584" s="143" t="n"/>
      <c r="I584" s="143" t="inlineStr">
        <is>
          <t>THIS TYPE OF LABORATORY APPLIES TO CLINICAL, DIAGNOSTIC, AND TEACHING, RESEARCH, OR PRODUCTION FACILITIES FOR WORK INVOLVING INDIGENOUS OR EXOTIC AGENTS THAT HAVE THE POTENTIAL TO TRANSMIT INFECTION THROUGH THE RESPIRATORY SYSTEM, WHICH MAY CAUSE SERIOUS AND POTENTIALLY LETHAL INFECTION.</t>
        </is>
      </c>
    </row>
    <row r="585">
      <c r="C585" s="143" t="inlineStr">
        <is>
          <t>310 40</t>
        </is>
      </c>
      <c r="D585" s="143" t="inlineStr">
        <is>
          <t>LEVEL IV BIOSAFETY LAB</t>
        </is>
      </c>
      <c r="E585" s="143" t="inlineStr">
        <is>
          <t>SF</t>
        </is>
      </c>
      <c r="F585" s="143" t="n"/>
      <c r="G585" s="143" t="n"/>
      <c r="H585" s="143" t="n"/>
      <c r="I585" s="143" t="inlineStr">
        <is>
          <t>THIS TYPE OF LABORATORY IS ASSOCIATED WITH WORK ON DANGEROUS AND EXOTIC AGENTS THAT POSE A HIGH INDIVIDUAL RISK OF LIFE- THREATENING DISEASE, AEROSOL TRANSMISSION, OR RELATED AGENT WITH UNKNOWN RISK OF TRANSMISSION.</t>
        </is>
      </c>
    </row>
    <row r="586">
      <c r="C586" s="143" t="inlineStr">
        <is>
          <t>311 05</t>
        </is>
      </c>
      <c r="D586" s="143" t="inlineStr">
        <is>
          <t>RDAT&amp;E MAINT HGR</t>
        </is>
      </c>
      <c r="E586" s="143" t="inlineStr">
        <is>
          <t>SF</t>
        </is>
      </c>
      <c r="F586" s="143" t="n"/>
      <c r="G586" s="143" t="n"/>
      <c r="H586" s="143" t="n"/>
      <c r="I586" s="143" t="inlineStr">
        <is>
          <t>A BUILDING USED FOR THE RESEARCH, DEVELOPMENT, AND TESTING OF AIR FRAMES, RELATED ASSEMBLIES, AND OTHER AIRCRAFT EQUIPMENT. THE FACILITY INCLUDES HIGH BAY/HANGER SPACES, CREW AND EQUIPMENT SPACES, AND ADMIN SUPPORT SPACES.</t>
        </is>
      </c>
    </row>
    <row r="587">
      <c r="C587" s="143" t="inlineStr">
        <is>
          <t>311 06</t>
        </is>
      </c>
      <c r="D587" s="143" t="inlineStr">
        <is>
          <t>RDAT&amp;E MAINT HGR-01 SPC</t>
        </is>
      </c>
      <c r="E587" s="143" t="inlineStr">
        <is>
          <t>SF</t>
        </is>
      </c>
      <c r="F587" s="143" t="n"/>
      <c r="G587" s="143" t="n"/>
      <c r="H587" s="143" t="n"/>
      <c r="I587" s="143" t="inlineStr">
        <is>
          <t>RDAT&amp;E MAINTENANCE HANGAR CREW AND EQUIPMENT AREA.</t>
        </is>
      </c>
    </row>
    <row r="588">
      <c r="C588" s="143" t="inlineStr">
        <is>
          <t>311 07</t>
        </is>
      </c>
      <c r="D588" s="143" t="inlineStr">
        <is>
          <t>RDAT&amp;E MAINT HGR-02 SPC</t>
        </is>
      </c>
      <c r="E588" s="143" t="inlineStr">
        <is>
          <t>SF</t>
        </is>
      </c>
      <c r="F588" s="143" t="n"/>
      <c r="G588" s="143" t="n"/>
      <c r="H588" s="143" t="n"/>
      <c r="I588" s="143" t="inlineStr">
        <is>
          <t>RDAT&amp;E MAINTENANCE HANGAR ADMINISTRATIVE AREA.</t>
        </is>
      </c>
    </row>
    <row r="589">
      <c r="C589" s="143" t="inlineStr">
        <is>
          <t>311 10</t>
        </is>
      </c>
      <c r="D589" s="143" t="inlineStr">
        <is>
          <t>AIRCRAFT/FLIGHT EQUIP LAB</t>
        </is>
      </c>
      <c r="E589" s="143" t="inlineStr">
        <is>
          <t>SF</t>
        </is>
      </c>
      <c r="F589" s="143" t="n"/>
      <c r="G589" s="143" t="n"/>
      <c r="H589" s="143" t="n"/>
      <c r="I589" s="143" t="inlineStr">
        <is>
          <t>THIS FACILITY IS UTILIZED IN CONDUCTING RESEARCH, DEVELOPMENT, TEST AND EVALUATION OF AERODYNAMIC DESIGN OF AIRCRAFT AND WEAPONS SYSTEMS AND NAVIGATIONAL SYSTEMS.</t>
        </is>
      </c>
    </row>
    <row r="590">
      <c r="C590" s="143" t="inlineStr">
        <is>
          <t>311 20</t>
        </is>
      </c>
      <c r="D590" s="143" t="inlineStr">
        <is>
          <t>AIRCRAFT GRD SUP EQUIP LAB</t>
        </is>
      </c>
      <c r="E590" s="143" t="inlineStr">
        <is>
          <t>SF</t>
        </is>
      </c>
      <c r="F590" s="143" t="n"/>
      <c r="G590" s="143" t="n"/>
      <c r="H590" s="143" t="n"/>
      <c r="I590" s="143" t="inlineStr">
        <is>
          <t>THIS FACILITY IS USED TO RESEARCH, DEVELOPMENT, TEST AND EVALUATION OF AIRCRAFT GROUND SUPPORT EQUIPMENT, SYSTEMS AND TECHNIQUES FOR THE TAKEOFF, RECOVERY, MAINTENANCE, AND TEST OF AIRCRAFT.</t>
        </is>
      </c>
    </row>
    <row r="591">
      <c r="C591" s="143" t="inlineStr">
        <is>
          <t>311 25</t>
        </is>
      </c>
      <c r="D591" s="143" t="inlineStr">
        <is>
          <t>AIRCRAFT SYS INTEGRAT LAB</t>
        </is>
      </c>
      <c r="E591" s="143" t="inlineStr">
        <is>
          <t>SF</t>
        </is>
      </c>
      <c r="F591" s="143" t="n"/>
      <c r="G591" s="143" t="n"/>
      <c r="H591" s="143" t="n"/>
      <c r="I591" s="143" t="inlineStr">
        <is>
          <t>THIS FACILITY IS USED FOR RESEARCH, DEVELOPMENT, TEST AND EVALUATION OF VARIOUS GROUPINGS AND COLLECTIONS OF INTERACTING AIRCRAFT SYSTEMS SUCH AS THE EFFECTS OF AIRFRAME, STRUCTURE, FLIGHT CONTROL, ELECTRICAL, ENVIRONMENTAL CONTROL, FUEL, HYDRAULIC, MECHANICAL, PNEUMATIC, PROPULSION, GUN, LIFE SUPPORT AND RELATED GROUND SUPPORT SYSTEMS ON ECM, AIR TO AIR MISSILE LAUNCH, ETC.</t>
        </is>
      </c>
    </row>
    <row r="592">
      <c r="C592" s="143" t="inlineStr">
        <is>
          <t>312 10</t>
        </is>
      </c>
      <c r="D592" s="143" t="inlineStr">
        <is>
          <t>GUIDED MISSILE LAB</t>
        </is>
      </c>
      <c r="E592" s="143" t="inlineStr">
        <is>
          <t>SF</t>
        </is>
      </c>
      <c r="F592" s="143" t="n"/>
      <c r="G592" s="143" t="n"/>
      <c r="H592" s="143" t="n"/>
      <c r="I592" s="143" t="inlineStr">
        <is>
          <t>THIS FACILITY IS USED IN SUPPORT OF RESEARCH, DEVELOPMENT, TEST AND EVALUATION OF ADVANCE SIMULATION, INSTRUMENTATION, ENVIRONMENTAL TEST TECHNIQUES AND IMPROVED SERVICEABILITY AND RELIABILITY CHARACTERISTICS OF GUIDED MISSILE WEAPON SYSTEMS. IT INCLUDES ASSEMBLY, DISASSEMBLY, TEST MODIFICATION AND ANALYSIS OF TEST FIRING RESULTS OF GUIDED MISSILES.</t>
        </is>
      </c>
    </row>
    <row r="593">
      <c r="C593" s="143" t="inlineStr">
        <is>
          <t>312 20</t>
        </is>
      </c>
      <c r="D593" s="143" t="inlineStr">
        <is>
          <t>MISSILE SUPPORT EQUIP LAB</t>
        </is>
      </c>
      <c r="E593" s="143" t="inlineStr">
        <is>
          <t>SF</t>
        </is>
      </c>
      <c r="F593" s="143" t="n"/>
      <c r="G593" s="143" t="n"/>
      <c r="H593" s="143" t="n"/>
      <c r="I593" s="143" t="inlineStr">
        <is>
          <t>THIS FACILITY IS USED FOR RESEARCH, DEVELOPMENT, TEST AND EVALUATION OF EQUIPMENT AND TECHNIQUES FOR THE LAUNCHING, RECOVERY, MAINTENANCE, TRANSPORT AND TESTING OF MISSILES AND GUIDED MISSILE SUPPORT EQUIPMENT.</t>
        </is>
      </c>
    </row>
    <row r="594">
      <c r="C594" s="143" t="inlineStr">
        <is>
          <t>312 25</t>
        </is>
      </c>
      <c r="D594" s="143" t="inlineStr">
        <is>
          <t>SPACECRAFT / SATELLITE LAB</t>
        </is>
      </c>
      <c r="E594" s="143" t="inlineStr">
        <is>
          <t>SF</t>
        </is>
      </c>
      <c r="F594" s="143" t="n"/>
      <c r="G594" s="143" t="n"/>
      <c r="H594" s="143" t="n"/>
      <c r="I594" s="143" t="inlineStr">
        <is>
          <t>THIS FACILITY SUPPORTS RESEARCH, DEVELOPMENT, TEST AND EVALUATION OF SPACECRAFT, SATELLITES OR COMPONENTS OF EACH NOT OTHERWISE CLASSIFIED AS A MISSILE WEAPON SYSTEM. THIS FACILITY WOULD INCLUDE RELATED GROUND SUPPORT/LAUNCHING EQUIPMENT.</t>
        </is>
      </c>
    </row>
    <row r="595">
      <c r="C595" s="143" t="inlineStr">
        <is>
          <t>312 30</t>
        </is>
      </c>
      <c r="D595" s="143" t="inlineStr">
        <is>
          <t>MISSILE SYS INTEGRAT LAB</t>
        </is>
      </c>
      <c r="E595" s="143" t="inlineStr">
        <is>
          <t>SF</t>
        </is>
      </c>
      <c r="F595" s="143" t="n"/>
      <c r="G595" s="143" t="n"/>
      <c r="H595" s="143" t="n"/>
      <c r="I595" s="143" t="inlineStr">
        <is>
          <t>THIS FACILITY IS USED FOR RESEARCH, DEVELOPMENT, TEST AND EVALUATION OF RELATED AND INTERCONNECTED SYSTEMS THAT ARE NECESSARY FOR LAUNCHING, AND IN DIRECT SUPPORT OF GUIDED MISSILE SYSTEMS.</t>
        </is>
      </c>
    </row>
    <row r="596">
      <c r="C596" s="143" t="inlineStr">
        <is>
          <t>313 10</t>
        </is>
      </c>
      <c r="D596" s="143" t="inlineStr">
        <is>
          <t>SHIP AND MARINE LAB</t>
        </is>
      </c>
      <c r="E596" s="143" t="inlineStr">
        <is>
          <t>SF</t>
        </is>
      </c>
      <c r="F596" s="143" t="n"/>
      <c r="G596" s="143" t="n"/>
      <c r="H596" s="143" t="n"/>
      <c r="I596" s="143" t="inlineStr">
        <is>
          <t>THIS FACILITY IS USED IN CONDUCTING RESEARCH, DEVELOPMENT, TEST AND EVALUATION ON SHIPS, BY USE OF MODELS IN HIGH AND LOW SPEED TOW TANKS, MANEUVERING AND SEAKEEPING BASINS, WATER TUNNELS, CIRCULATING WATER CHANNELS, FLUID PHENOMENON BASINS, ETC.</t>
        </is>
      </c>
    </row>
    <row r="597">
      <c r="C597" s="143" t="inlineStr">
        <is>
          <t>313 20</t>
        </is>
      </c>
      <c r="D597" s="143" t="inlineStr">
        <is>
          <t>SHIPS/MARINE EQUIPMENT LAB</t>
        </is>
      </c>
      <c r="E597" s="143" t="inlineStr">
        <is>
          <t>SF</t>
        </is>
      </c>
      <c r="F597" s="143" t="n"/>
      <c r="G597" s="143" t="n"/>
      <c r="H597" s="143" t="n"/>
      <c r="I597" s="143" t="inlineStr">
        <is>
          <t>THIS FACILITY IS USED TO CONDUCT RESEARCH, DEVELOPMENT, TEST AND EVALUATION OF SHIPS AND MARINE SUPPORT REQUIREMENT. THIS INCLUDES REPAIR AND MAINTENANCE EQUIPMENT AS WELL AS EQUIPMENT FOR DIRECT SUPPORT AND OPERATION OF SHIPS AND MARINE VESSELS SUCH AS PERISCOPES, TOWED ARRAYS, ETC.</t>
        </is>
      </c>
    </row>
    <row r="598">
      <c r="C598" s="143" t="inlineStr">
        <is>
          <t>313 25</t>
        </is>
      </c>
      <c r="D598" s="143" t="inlineStr">
        <is>
          <t>SHIPS/MAR SYS INTEGRAN LAB</t>
        </is>
      </c>
      <c r="E598" s="143" t="inlineStr">
        <is>
          <t>SF</t>
        </is>
      </c>
      <c r="F598" s="143" t="n"/>
      <c r="G598" s="143" t="n"/>
      <c r="H598" s="143" t="n"/>
      <c r="I598" s="143" t="inlineStr">
        <is>
          <t>THIS FACILITY IS USED FOR RESEARCH, DEVELOPMENT, TEST AND EVALUATION OF RELATED AND INTERCONNECTED SHIPS AND MARINE SYSTEMS SUCH AS THE SHIP PLATFORM INTEGRATED WITH THE WEAPONS SYSTEMS, COMMUNICATION SYSTEMS, COMMAND AND CONTROL SYSTEMS, SURVEILLANCE SYSTEMS, NAVIGATION SYSTEMS, ETC.</t>
        </is>
      </c>
    </row>
    <row r="599">
      <c r="C599" s="143" t="inlineStr">
        <is>
          <t>314 10</t>
        </is>
      </c>
      <c r="D599" s="143" t="inlineStr">
        <is>
          <t>GROUND TRANSPORT EQUIP LAB</t>
        </is>
      </c>
      <c r="E599" s="143" t="inlineStr">
        <is>
          <t>SF</t>
        </is>
      </c>
      <c r="F599" s="143" t="n"/>
      <c r="G599" s="143" t="n"/>
      <c r="H599" s="143" t="n"/>
      <c r="I599" s="143" t="inlineStr">
        <is>
          <t>THIS FACILITY IS USED IN CONDUCTING RESEARCH, DEVELOPMENT, TEST AND EVALUATION IN THE FIELD OF AUTOMOTIVE DESIGN AS APPLIED TO TANKS, APC'S, AND RELATED MILITARY AUTOMOTIVE EQUIPMENT.</t>
        </is>
      </c>
    </row>
    <row r="600">
      <c r="C600" s="143" t="inlineStr">
        <is>
          <t>315 10</t>
        </is>
      </c>
      <c r="D600" s="143" t="inlineStr">
        <is>
          <t>AIRCRAFT WEAPON SYS LAB</t>
        </is>
      </c>
      <c r="E600" s="143" t="inlineStr">
        <is>
          <t>SF</t>
        </is>
      </c>
      <c r="F600" s="143" t="n"/>
      <c r="G600" s="143" t="n"/>
      <c r="H600" s="143" t="n"/>
      <c r="I600" s="143" t="inlineStr">
        <is>
          <t>THIS FACILITY SUPPORTS THE RESEARCH, DEVELOPMENT, TEST AND EVALUATION OF AIRCRAFT WEAPON SYSTEMS INCLUDING PROJECTILES, MINES AND BOMBS, AND DEFENSIVE COUNTERMEASURES DEVICES/WEAPONS.</t>
        </is>
      </c>
    </row>
    <row r="601">
      <c r="C601" s="143" t="inlineStr">
        <is>
          <t>315 15</t>
        </is>
      </c>
      <c r="D601" s="143" t="inlineStr">
        <is>
          <t>SHIP WEAPON SYSTEM LAB</t>
        </is>
      </c>
      <c r="E601" s="143" t="inlineStr">
        <is>
          <t>SF</t>
        </is>
      </c>
      <c r="F601" s="143" t="n"/>
      <c r="G601" s="143" t="n"/>
      <c r="H601" s="143" t="n"/>
      <c r="I601" s="143" t="inlineStr">
        <is>
          <t>THIS FACILITY IS USED FOR RESEARCH, DEVELOPMENT, TEST AND EVALUATION OF WEAPONS AND WEAPON SYSTEMS DEPLOYED FROM A SURFACE SHIP. THIS WOULD INCLUDE GUNS, FIRE CONTROL, ETC. THIS DOES NOT INCLUDE AIRCRAFT OR MISSILE SYSTEMS.</t>
        </is>
      </c>
    </row>
    <row r="602">
      <c r="C602" s="143" t="inlineStr">
        <is>
          <t>315 20</t>
        </is>
      </c>
      <c r="D602" s="143" t="inlineStr">
        <is>
          <t>UNDERWATER WEAPON SYS LAB</t>
        </is>
      </c>
      <c r="E602" s="143" t="inlineStr">
        <is>
          <t>SF</t>
        </is>
      </c>
      <c r="F602" s="143" t="n"/>
      <c r="G602" s="143" t="n"/>
      <c r="H602" s="143" t="n"/>
      <c r="I602" s="143" t="inlineStr">
        <is>
          <t>THIS FACILITY IS USED FOR RESEARCH, DEVELOPMENT, TEST AND EVALUATION OF UNDERSEA WEAPONRY SUCH AS MINES AND TORPEDOES. THIS WOULD INCLUDE SUBMARINE MOUNTED GUNS BUT NOT SUBMARINE LAUNCHED MISSILES. KEY PLATFORM COMPONENTS INCLUDE SONAR, COMBAT CONTROL, UNDERWATER SUBMARINE WARFARE (USW) WEAPONS TARGETS, UNMANNED UNDERWATER VEHICLES (UUVS), AND FLEET TRAINING SYSTEMS.</t>
        </is>
      </c>
    </row>
    <row r="603">
      <c r="C603" s="143" t="inlineStr">
        <is>
          <t>315 25</t>
        </is>
      </c>
      <c r="D603" s="143" t="inlineStr">
        <is>
          <t>GROUND WEAPON SYSTEM LAB</t>
        </is>
      </c>
      <c r="E603" s="143" t="inlineStr">
        <is>
          <t>SF</t>
        </is>
      </c>
      <c r="F603" s="143" t="n"/>
      <c r="G603" s="143" t="n"/>
      <c r="H603" s="143" t="n"/>
      <c r="I603" s="143" t="inlineStr">
        <is>
          <t>THIS FACILITY IS USED FOR RESEARCH, DEVELOPMENT, TEST AND EVALUATION OF WEAPONRY IN USE ON OR DEPLOYED FROM A GROUND BASE PLATFORM AND WOULD INCLUDE SMALL ARMS, AUTOMATIC WEAPONS, MORTARS, ARTILLERY, FLAME THROWERS, ETC.</t>
        </is>
      </c>
    </row>
    <row r="604">
      <c r="C604" s="143" t="inlineStr">
        <is>
          <t>315 30</t>
        </is>
      </c>
      <c r="D604" s="143" t="inlineStr">
        <is>
          <t>WEPS SYS INTEGRTN LAB</t>
        </is>
      </c>
      <c r="E604" s="143" t="inlineStr">
        <is>
          <t>SF</t>
        </is>
      </c>
      <c r="F604" s="143" t="n"/>
      <c r="G604" s="143" t="n"/>
      <c r="H604" s="143" t="n"/>
      <c r="I604" s="143" t="inlineStr">
        <is>
          <t>THIS FACILITY IS USED TO ACCOMPLISH RESEARCH, DEVELOPMENT, TEST AND EVALUATION ASSOCIATED WITH THE INTEGRATION OF WEAPON SYSTEMS WITH THE WEAPONS PLATFORM AND WITH OTHER INTERFACES BETWEEN OTHER WEAPONS SYSTEMS, GUIDANCE SYSTEMS, SURVEILLANCE SYSTEMS, ETC.</t>
        </is>
      </c>
    </row>
    <row r="605">
      <c r="C605" s="143" t="inlineStr">
        <is>
          <t>316 10</t>
        </is>
      </c>
      <c r="D605" s="143" t="inlineStr">
        <is>
          <t>AMMO,EXPLOSIVE &amp; TOXIC LAB</t>
        </is>
      </c>
      <c r="E605" s="143" t="inlineStr">
        <is>
          <t>SF</t>
        </is>
      </c>
      <c r="F605" s="143" t="n"/>
      <c r="G605" s="143" t="n"/>
      <c r="H605" s="143" t="n"/>
      <c r="I605" s="143" t="inlineStr">
        <is>
          <t>THIS FACILITY IS USED TO SUPPORT THE RESEARCH, DEVELOPMENT, TEST AND EVALUATION OF AMMUNITION, ROCKETS, BOMBS, MINES, GRENADES, TORPEDOES, DEPTH CHARGES, DEMOLITION MATERIALS, PYROTECHNICS, AT0 UNITS, RELATED CHEMICALS, AND THEIR COMPONENTS AND MATERIALS. THIS CATEGORY CODE DOES NOT INCLUDE FACILITIES FOR GUIDED MISSILES, GUIDED BOMBS, OR COMMERCIAL TYPE PETROLEUM PRODUCTS.</t>
        </is>
      </c>
    </row>
    <row r="606">
      <c r="C606" s="143" t="inlineStr">
        <is>
          <t>317 10</t>
        </is>
      </c>
      <c r="D606" s="143" t="inlineStr">
        <is>
          <t>COMMUNICATIONS SYSTEM LAB</t>
        </is>
      </c>
      <c r="E606" s="143" t="inlineStr">
        <is>
          <t>SF</t>
        </is>
      </c>
      <c r="F606" s="143" t="n"/>
      <c r="G606" s="143" t="n"/>
      <c r="H606" s="143" t="n"/>
      <c r="I606" s="143" t="inlineStr">
        <is>
          <t>THIS FACILITY IS USED IN CONDUCTING RESEARCH, DEVELOPMENT, TEST AND EVALUATION IN THE AREAS OF RADIO COMMUNICATION, INSTRUMENTATION, SATELLITE COMMUNICATION, ELECTROMAGNETIC PROPAGATION, RADIO ANTENNAS, UNDERWATER SOUND SYSTEMS, OPTICAL SYSTEMS (INFRARED), ETC.</t>
        </is>
      </c>
    </row>
    <row r="607">
      <c r="C607" s="143" t="inlineStr">
        <is>
          <t>317 15</t>
        </is>
      </c>
      <c r="D607" s="143" t="inlineStr">
        <is>
          <t>DETECTION SYSTEMS LAB</t>
        </is>
      </c>
      <c r="E607" s="143" t="inlineStr">
        <is>
          <t>SF</t>
        </is>
      </c>
      <c r="F607" s="143" t="n"/>
      <c r="G607" s="143" t="n"/>
      <c r="H607" s="143" t="n"/>
      <c r="I607" s="143" t="inlineStr">
        <is>
          <t>THIS IS USED IN CONDUCTING RESEARCH, DEVELOPMENT, TEST AND EVALUATION IN BASIC PHYSICAL PHENOMENA OF IMPORTANCE TO RADAR, SONAR, AND RELATED SENSORS, ALSO THE DEVELOPMENT OF SYSTEMS ANALYSIS AND EVAL. OF THE SENSORS USED IN SATELLITES, SHIPS, SUBMARINES, AND AIRCRAFT, ETC. IT INCLUDES SURVEILLANCE FOR DETECTION, IDENTIFICATION AND CLASSIFICATION OF SURFACE, AEROSPACE AND SUB-SURFACE OBJECTS.</t>
        </is>
      </c>
    </row>
    <row r="608">
      <c r="C608" s="143" t="inlineStr">
        <is>
          <t>317 20</t>
        </is>
      </c>
      <c r="D608" s="143" t="inlineStr">
        <is>
          <t>ELEC &amp; ELECTRONICS SYS LAB</t>
        </is>
      </c>
      <c r="E608" s="143" t="inlineStr">
        <is>
          <t>SF</t>
        </is>
      </c>
      <c r="F608" s="143" t="n"/>
      <c r="G608" s="143" t="n"/>
      <c r="H608" s="143" t="n"/>
      <c r="I608" s="143" t="inlineStr">
        <is>
          <t>THIS FACILITY IS USED IN CONDUCTING RDT+E IN THE AREAS OF ELECTRICAL POWER AND ITS CONTROL, MAGNETIC FIELDS AND SHIP'S CONTROL SYSTEMS. RESEARCH IN THIS AREA INVOLVES DEVELOPMENT OF MOTORS AND GENERATORS, FREQUENCY CONVERTERS, VOLTAGE AND CURRENT CONTROL DEVICES, AND SHIPBOARD POWER DISTRIBUTION SYSTEMS.</t>
        </is>
      </c>
    </row>
    <row r="609">
      <c r="C609" s="143" t="inlineStr">
        <is>
          <t>317 25</t>
        </is>
      </c>
      <c r="D609" s="143" t="inlineStr">
        <is>
          <t>ELEC/COMM SYS INTEGRAT LAB</t>
        </is>
      </c>
      <c r="E609" s="143" t="inlineStr">
        <is>
          <t>SF</t>
        </is>
      </c>
      <c r="F609" s="143" t="n"/>
      <c r="G609" s="143" t="n"/>
      <c r="H609" s="143" t="n"/>
      <c r="I609" s="143" t="inlineStr">
        <is>
          <t>THIS FACILITY IS USED TO ACCOMPLISH RESEARCH, DEVELOPMENT, TEST AND EVALUATION ASSOCIATED WITH THE INTEGRATION OF RELATED SYSTEMS AND SUBSYSTEMS OF ELECTRICAL, ELECTRONICS AND COMMUNICATIONS SYSTEMS WITH THE PLATFORM (AIR, SEA, GROUND, ETC.) UPON WHICH THEY WILL OPERATE AND TO VERIFY INTERFACE CONSIDERATION WITH OTHER SYSTEMS OPERATING ON THE RESPECTIVE PLATFORM.</t>
        </is>
      </c>
    </row>
    <row r="610">
      <c r="C610" s="143" t="inlineStr">
        <is>
          <t>318 10</t>
        </is>
      </c>
      <c r="D610" s="143" t="inlineStr">
        <is>
          <t>PROPULSION SYS LAB</t>
        </is>
      </c>
      <c r="E610" s="143" t="inlineStr">
        <is>
          <t>SF</t>
        </is>
      </c>
      <c r="F610" s="143" t="n"/>
      <c r="G610" s="143" t="n"/>
      <c r="H610" s="143" t="n"/>
      <c r="I610" s="143" t="inlineStr">
        <is>
          <t>THIS FACILITY IS USED TO SUPPORT RESEARCH, DEVELOPMENT, TEST AND EVALUATION OF PROPULSION SYSTEMS IN ORDER TO DETERMINE OPERATIONAL CAPABILITIES AND IN STUDYING THE ACOUSTICS AND ELECTROMAGNETIC NOISE EFFECTS ON PERFORMANCE AND EFFICIENCY OF DRIVE UNITS.</t>
        </is>
      </c>
    </row>
    <row r="611">
      <c r="C611" s="143" t="inlineStr">
        <is>
          <t>318 15</t>
        </is>
      </c>
      <c r="D611" s="143" t="inlineStr">
        <is>
          <t>PROPULSION FUEL LAB</t>
        </is>
      </c>
      <c r="E611" s="143" t="inlineStr">
        <is>
          <t>SF</t>
        </is>
      </c>
      <c r="F611" s="143" t="n"/>
      <c r="G611" s="143" t="n"/>
      <c r="H611" s="143" t="n"/>
      <c r="I611" s="143" t="inlineStr">
        <is>
          <t>THIS FACILITY IS USED TO SUPPORT RESEARCH, DEVELOPMENT, TEST, AND EVALUATION OF PROPULSION FUELS IN ORDER TO MAXIMIZE A PROPULSION SYSTEM'S OPERATIONAL CHARACTERISTICS. THIS FACILITY WOULD ALSO SUPPORT INVESTIGATION INTO NEW FUELS AND PROPULSIVE ENERGY SYSTEMS INCLUDING CONTROLLED NUCLEAR ENERGY.</t>
        </is>
      </c>
    </row>
    <row r="612">
      <c r="C612" s="143" t="inlineStr">
        <is>
          <t>319 10</t>
        </is>
      </c>
      <c r="D612" s="143" t="inlineStr">
        <is>
          <t>MISC EQUIP &amp; ITEMS LAB</t>
        </is>
      </c>
      <c r="E612" s="143" t="inlineStr">
        <is>
          <t>SF</t>
        </is>
      </c>
      <c r="F612" s="143" t="n"/>
      <c r="G612" s="143" t="n"/>
      <c r="H612" s="143" t="n"/>
      <c r="I612" s="143" t="inlineStr">
        <is>
          <t>THIS FACILITY SUPPORTS RESEARCH, DEVELOPMENT, TEST, AND EVALUATION OF MISCELLANEOUS MILITARY EQUIPMENT SUCH AS LANDING MATS, VALVES (E.G. SAFETY, PRESSURE REDUCING, FUEL REGULATING), AND HYPERBARIC FACILITIES NOT APPROPRIATE IN ANOTHER CATEGORY CODE.</t>
        </is>
      </c>
    </row>
    <row r="613">
      <c r="C613" s="143" t="inlineStr">
        <is>
          <t>319 15</t>
        </is>
      </c>
      <c r="D613" s="143" t="inlineStr">
        <is>
          <t>RDT&amp;E STORAGE</t>
        </is>
      </c>
      <c r="E613" s="143" t="inlineStr">
        <is>
          <t>SF</t>
        </is>
      </c>
      <c r="F613" s="143" t="n"/>
      <c r="G613" s="143" t="n"/>
      <c r="H613" s="143" t="n"/>
      <c r="I613" s="143" t="inlineStr">
        <is>
          <t>THIS BUILDING IS A STORAGE FACILITY FOR RESEARCH, DEVELOPMENT, TEST, AND EVALUATION EQUIPMENT AND MATERIALS DIRECTLY RELATED TO RDAT&amp;E PROGRAMS.</t>
        </is>
      </c>
    </row>
    <row r="614">
      <c r="C614" s="143" t="inlineStr">
        <is>
          <t>319 20</t>
        </is>
      </c>
      <c r="D614" s="143" t="inlineStr">
        <is>
          <t>CIVIL ENGINEERING LAB</t>
        </is>
      </c>
      <c r="E614" s="143" t="inlineStr">
        <is>
          <t>SF</t>
        </is>
      </c>
      <c r="F614" s="143" t="n"/>
      <c r="G614" s="143" t="n"/>
      <c r="H614" s="143" t="n"/>
      <c r="I614" s="143" t="inlineStr">
        <is>
          <t>THIS FACILITY IS USED TO SUPPORT RESEARCH, DEVELOPMENT, TEST AND EVALUATION IN THE AREA OF CIVIL ENGINEERING. THIS WOULD INCLUDE MILITARY TYPE BRIDGING, HAND TOOLS, CONSTRUCTION EQUIPMENT, CONSTRUCTION TECHNIQUES, ON LAND, IN AND UNDER THE OCEAN.</t>
        </is>
      </c>
    </row>
    <row r="615">
      <c r="C615" s="143" t="inlineStr">
        <is>
          <t>319 25</t>
        </is>
      </c>
      <c r="D615" s="143" t="inlineStr">
        <is>
          <t>HUMAN FACTORS LAB</t>
        </is>
      </c>
      <c r="E615" s="143" t="inlineStr">
        <is>
          <t>SF</t>
        </is>
      </c>
      <c r="F615" s="143" t="n"/>
      <c r="G615" s="143" t="n"/>
      <c r="H615" s="143" t="n"/>
      <c r="I615" s="143" t="inlineStr">
        <is>
          <t>THIS FACILITY IS USED TO DETERMINE THE EFFECTS OF WARTIME ATMOSPHERE AND MATERIAL ON MILITARY PERSONNEL AND NON-COMBATANTS. THIS FACILITY WOULD ALSO DEAL WITH MAN-MAN INTERFACING (MORALE, COMMAND CONTROL, AND THE LIKE) AND MAN- MACHINE INTERFACING (CONSOLE DESIGN, PAYLOAD DESIGN, WORK AREA REQUIREMENTS, ETC.)</t>
        </is>
      </c>
    </row>
    <row r="616">
      <c r="C616" s="143" t="inlineStr">
        <is>
          <t>319 30</t>
        </is>
      </c>
      <c r="D616" s="143" t="inlineStr">
        <is>
          <t>SURVIVAL EQUP/CLOTHING LAB</t>
        </is>
      </c>
      <c r="E616" s="143" t="inlineStr">
        <is>
          <t>SF</t>
        </is>
      </c>
      <c r="F616" s="143" t="n"/>
      <c r="G616" s="143" t="n"/>
      <c r="H616" s="143" t="n"/>
      <c r="I616" s="143" t="inlineStr">
        <is>
          <t>THIS FACILITY SUPPORTS RESEARCH, DEVELOPMENT, TEST AND EVALUATION OF PILOT'S AND SAILOR'S NEED FOR SPECIAL EQUIPMENT, CLOTHING AND TECHNIQUES FOR SURVIVAL IN VARIOUS HOSTILE ENVIRONMENTS.</t>
        </is>
      </c>
    </row>
    <row r="617">
      <c r="C617" s="143" t="inlineStr">
        <is>
          <t>319 35</t>
        </is>
      </c>
      <c r="D617" s="143" t="inlineStr">
        <is>
          <t>METROLOGY &amp; CALIBRATON LAB</t>
        </is>
      </c>
      <c r="E617" s="143" t="inlineStr">
        <is>
          <t>SF</t>
        </is>
      </c>
      <c r="F617" s="143" t="n"/>
      <c r="G617" s="143" t="n"/>
      <c r="H617" s="143" t="n"/>
      <c r="I617" s="143" t="inlineStr">
        <is>
          <t>THIS FACILITY WILL BE USED IN DIRECT SUPPORT OF RESEARCH, DEVELOPMENT, TEST AND EVALUATION PROGRAMS WHERE PRECISE WEIGHTS AND MEASURES ARE REQUIRED IN CALIBRATING RDAT&amp;E EQUIPMENT. THIS FACILITY WOULD INCLUDE THE METROLOGY AND CALIBRATION EQUIPMENT AND SPACE FOR CALIBRATING APPLICABLE EQUIPMENT.</t>
        </is>
      </c>
    </row>
    <row r="618">
      <c r="C618" s="143" t="inlineStr">
        <is>
          <t>319 40</t>
        </is>
      </c>
      <c r="D618" s="143" t="inlineStr">
        <is>
          <t>RANGE OPERATON &amp; INSTR LAB</t>
        </is>
      </c>
      <c r="E618" s="143" t="inlineStr">
        <is>
          <t>SF</t>
        </is>
      </c>
      <c r="F618" s="143" t="n"/>
      <c r="G618" s="143" t="n"/>
      <c r="H618" s="143" t="n"/>
      <c r="I618" s="143" t="inlineStr">
        <is>
          <t>THIS FACILITY IS USED IN SUPPORT OF RESEARCH, DEVELOPMENT, TEST AND EVALUATION OF RANGE OPERATIONS TO INCLUDE COMMAND CENTER, COMMUNICATIONS, SURVEILLANCE, INSTRUMENTATION, DATA COLLECTION/REDUCTION/DISPLAY, ETC.</t>
        </is>
      </c>
    </row>
    <row r="619">
      <c r="C619" s="143" t="inlineStr">
        <is>
          <t>320 10</t>
        </is>
      </c>
      <c r="D619" s="143" t="inlineStr">
        <is>
          <t>UNDERWATER EQUIPMENT LAB</t>
        </is>
      </c>
      <c r="E619" s="143" t="inlineStr">
        <is>
          <t>SF</t>
        </is>
      </c>
      <c r="F619" s="143" t="n"/>
      <c r="G619" s="143" t="n"/>
      <c r="H619" s="143" t="n"/>
      <c r="I619" s="143" t="inlineStr">
        <is>
          <t>THIS FACILITY IS USED IN CONDUCTING RESEARCH DEVELOPMENT, TEST AND EVALUATION OF UNDERWATER ACOUSTICS, SHIP VIBRATIONS AND VARIOUS TYPES OF UNDERWATER DEVICES TO INCREASE MAN'S CAPABILITIES IN THE OCEAN.</t>
        </is>
      </c>
    </row>
    <row r="620">
      <c r="C620" s="143" t="inlineStr">
        <is>
          <t>320 20</t>
        </is>
      </c>
      <c r="D620" s="143" t="inlineStr">
        <is>
          <t>UNDERWATER SYS INTEGRA LAB</t>
        </is>
      </c>
      <c r="E620" s="143" t="inlineStr">
        <is>
          <t>SF</t>
        </is>
      </c>
      <c r="F620" s="143" t="n"/>
      <c r="G620" s="143" t="n"/>
      <c r="H620" s="143" t="n"/>
      <c r="I620" s="143" t="inlineStr">
        <is>
          <t>THIS FACILITY WILL BE USED FOR RESEARCH, DEVELOPMENT, TEST AND EVALUATION OF VARIOUS INTERACTING UNDERWATER SYSTEMS, EQUIPMENT, TOOLS, TECHNIQUES AND OPERATORS WORKING TOGETHER IN AN UNDERWATER ENVIRONMENT. THE INTEGRATION OF SEVERAL SYSTEMS TO ACCOMPLISH A GREATER TOTAL EFFORT WILL BE ACCOMPLISHED IN THIS FACILITY.</t>
        </is>
      </c>
    </row>
    <row r="621">
      <c r="C621" s="143" t="inlineStr">
        <is>
          <t>321 10</t>
        </is>
      </c>
      <c r="D621" s="143" t="inlineStr">
        <is>
          <t>TECHNICAL SERVICES LAB</t>
        </is>
      </c>
      <c r="E621" s="143" t="inlineStr">
        <is>
          <t>SF</t>
        </is>
      </c>
      <c r="F621" s="143" t="n"/>
      <c r="G621" s="143" t="n"/>
      <c r="H621" s="143" t="n"/>
      <c r="I621" s="143" t="inlineStr">
        <is>
          <t>BUILDINGS USED DIRECTLY IN RD&amp;T MANUFACTURING OR REVERSE ENGINEERING OF ONE-OF-A-KIND MODELS AND PARTS FOR SYSTEMS OR SUBSYSTEMS FROM WOOD, PLASTIC, FIBERGLASS AND OTHER MATERIALS BY MOLDING, CASTING, EXTRUDING AND MACHINING.</t>
        </is>
      </c>
    </row>
    <row r="622">
      <c r="C622" s="143" t="inlineStr">
        <is>
          <t>371 10</t>
        </is>
      </c>
      <c r="D622" s="143" t="inlineStr">
        <is>
          <t>SCIENCE SYS RANGE FACILITY</t>
        </is>
      </c>
      <c r="E622" s="143" t="inlineStr">
        <is>
          <t>EA</t>
        </is>
      </c>
      <c r="F622" s="143" t="n"/>
      <c r="G622" s="143" t="n"/>
      <c r="H622" s="143" t="n"/>
      <c r="I622" s="143" t="inlineStr">
        <is>
          <t>FACILITIES USED IN THE CONDUCT OF TESTS AND EVALUATIONS OF ITEMS IDENTIFIED UNDER CATEGORY CODE SERIES 310.</t>
        </is>
      </c>
    </row>
    <row r="623">
      <c r="C623" s="143" t="inlineStr">
        <is>
          <t>371 11</t>
        </is>
      </c>
      <c r="D623" s="143" t="inlineStr">
        <is>
          <t>AIRCRAFT SYS RANGE FACILTY</t>
        </is>
      </c>
      <c r="E623" s="143" t="inlineStr">
        <is>
          <t>EA</t>
        </is>
      </c>
      <c r="F623" s="143" t="n"/>
      <c r="G623" s="143" t="n"/>
      <c r="H623" s="143" t="n"/>
      <c r="I623" s="143" t="inlineStr">
        <is>
          <t>FACILITIES USED IN THE CONDUCT OF TESTS AND EVALUATIONS OF ITEMS IDENTIFIED UNDER CATEGORY CODE SERIES 311.</t>
        </is>
      </c>
    </row>
    <row r="624">
      <c r="C624" s="143" t="inlineStr">
        <is>
          <t>371 12</t>
        </is>
      </c>
      <c r="D624" s="143" t="inlineStr">
        <is>
          <t>MISILE &amp; SPACE SYS RGE FAC</t>
        </is>
      </c>
      <c r="E624" s="143" t="inlineStr">
        <is>
          <t>EA</t>
        </is>
      </c>
      <c r="F624" s="143" t="n"/>
      <c r="G624" s="143" t="n"/>
      <c r="H624" s="143" t="n"/>
      <c r="I624" s="143" t="inlineStr">
        <is>
          <t>FACILITIES USED IN THE CONDUCT OF TESTS AND EVALUATIONS OF ITEMS IDENTIFIED UNDER CATEGORY CODE SERIES 312.</t>
        </is>
      </c>
    </row>
    <row r="625">
      <c r="C625" s="143" t="inlineStr">
        <is>
          <t>371 13</t>
        </is>
      </c>
      <c r="D625" s="143" t="inlineStr">
        <is>
          <t>SHIPS/MARINE SYS RANGE FAC</t>
        </is>
      </c>
      <c r="E625" s="143" t="inlineStr">
        <is>
          <t>EA</t>
        </is>
      </c>
      <c r="F625" s="143" t="n"/>
      <c r="G625" s="143" t="n"/>
      <c r="H625" s="143" t="n"/>
      <c r="I625" s="143" t="inlineStr">
        <is>
          <t>FACILITIES USED IN THE CONDUCT OF TESTS AND EVALUATIONS OF ITEMS IDENTIFIED UNDER CATEGORY CODE SERIES 313.</t>
        </is>
      </c>
    </row>
    <row r="626">
      <c r="C626" s="143" t="inlineStr">
        <is>
          <t>371 14</t>
        </is>
      </c>
      <c r="D626" s="143" t="inlineStr">
        <is>
          <t>TANK &amp; AUTO SYS RANGE FAC</t>
        </is>
      </c>
      <c r="E626" s="143" t="inlineStr">
        <is>
          <t>EA</t>
        </is>
      </c>
      <c r="F626" s="143" t="n"/>
      <c r="G626" s="143" t="n"/>
      <c r="H626" s="143" t="n"/>
      <c r="I626" s="143" t="inlineStr">
        <is>
          <t>FACILITIES USED IN THE CONDUCT OF TESTS AND EVALUATIONS OF ITEMS IDENTIFIED UNDER CATEGORY CODE SERIES 314.</t>
        </is>
      </c>
    </row>
    <row r="627">
      <c r="C627" s="143" t="inlineStr">
        <is>
          <t>371 15</t>
        </is>
      </c>
      <c r="D627" s="143" t="inlineStr">
        <is>
          <t>WEAPONS/WEAP SYS RANGE FAC</t>
        </is>
      </c>
      <c r="E627" s="143" t="inlineStr">
        <is>
          <t>EA</t>
        </is>
      </c>
      <c r="F627" s="143" t="n"/>
      <c r="G627" s="143" t="n"/>
      <c r="H627" s="143" t="n"/>
      <c r="I627" s="143" t="inlineStr">
        <is>
          <t>FACILITIES USED IN THE CONDUCT OF TESTS AND EVALUATIONS OF ITEMS IDENTIFIED UNDER CATEGORY CODE SERIES 315.</t>
        </is>
      </c>
    </row>
    <row r="628">
      <c r="C628" s="143" t="inlineStr">
        <is>
          <t>371 16</t>
        </is>
      </c>
      <c r="D628" s="143" t="inlineStr">
        <is>
          <t>AMMO,EXPLOSIVE &amp; TOXIC FAC</t>
        </is>
      </c>
      <c r="E628" s="143" t="inlineStr">
        <is>
          <t>EA</t>
        </is>
      </c>
      <c r="F628" s="143" t="n"/>
      <c r="G628" s="143" t="n"/>
      <c r="H628" s="143" t="n"/>
      <c r="I628" s="143" t="inlineStr">
        <is>
          <t>FACILITIES USED IN THE CONDUCT OF TESTS AND EVALUATIONS OF ITEMS IDENTIFIED UNDER CATEGORY CODE SERIES 316.</t>
        </is>
      </c>
    </row>
    <row r="629">
      <c r="C629" s="143" t="inlineStr">
        <is>
          <t>371 17</t>
        </is>
      </c>
      <c r="D629" s="143" t="inlineStr">
        <is>
          <t>ELEC,COMM/ELE SYS RNGE FAC</t>
        </is>
      </c>
      <c r="E629" s="143" t="inlineStr">
        <is>
          <t>EA</t>
        </is>
      </c>
      <c r="F629" s="143" t="n"/>
      <c r="G629" s="143" t="n"/>
      <c r="H629" s="143" t="n"/>
      <c r="I629" s="143" t="inlineStr">
        <is>
          <t>FACILITIES USED IN THE CONDUCT OF TESTS AND EVALUATIONS OF ITEMS IDENTIFIED UNDER CATEGORY CODE SERIES 317.</t>
        </is>
      </c>
    </row>
    <row r="630">
      <c r="C630" s="143" t="inlineStr">
        <is>
          <t>371 18</t>
        </is>
      </c>
      <c r="D630" s="143" t="inlineStr">
        <is>
          <t>PROPULSION SYS RANGE FAC</t>
        </is>
      </c>
      <c r="E630" s="143" t="inlineStr">
        <is>
          <t>EA</t>
        </is>
      </c>
      <c r="F630" s="143" t="n"/>
      <c r="G630" s="143" t="n"/>
      <c r="H630" s="143" t="n"/>
      <c r="I630" s="143" t="inlineStr">
        <is>
          <t>FACILITIES USED IN THE CONDUCT OF TESTS AND EVALUATIONS OF ITEMS IDENTIFIED UNDER CATEGORY CODE SERIES 318.</t>
        </is>
      </c>
    </row>
    <row r="631">
      <c r="C631" s="143" t="inlineStr">
        <is>
          <t>371 19</t>
        </is>
      </c>
      <c r="D631" s="143" t="inlineStr">
        <is>
          <t>MISC ITEM &amp; EQUIP RNGE FAC</t>
        </is>
      </c>
      <c r="E631" s="143" t="inlineStr">
        <is>
          <t>EA</t>
        </is>
      </c>
      <c r="F631" s="143" t="n"/>
      <c r="G631" s="143" t="n"/>
      <c r="H631" s="143" t="n"/>
      <c r="I631" s="143" t="inlineStr">
        <is>
          <t>FACILITIES USED IN THE CONDUCT OF TESTS AND EVALUATIONS OF ITEMS IDENTIFIED UNDER CATEGORY CODE SERIES 319.</t>
        </is>
      </c>
    </row>
    <row r="632">
      <c r="C632" s="143" t="inlineStr">
        <is>
          <t>371 20</t>
        </is>
      </c>
      <c r="D632" s="143" t="inlineStr">
        <is>
          <t>UNDERWATER SYS RANGE FAC</t>
        </is>
      </c>
      <c r="E632" s="143" t="inlineStr">
        <is>
          <t>EA</t>
        </is>
      </c>
      <c r="F632" s="143" t="n"/>
      <c r="G632" s="143" t="n"/>
      <c r="H632" s="143" t="n"/>
      <c r="I632" s="143" t="inlineStr">
        <is>
          <t>FACILITIES USED IN THE CONDUCT OF TESTS AND EVALUATIONS OF ITEMS IDENTIFIED UNDER CATEGORY CODE SERIES 320.</t>
        </is>
      </c>
    </row>
    <row r="633">
      <c r="C633" s="143" t="inlineStr">
        <is>
          <t>390 10</t>
        </is>
      </c>
      <c r="D633" s="143" t="inlineStr">
        <is>
          <t>SCIENCE SYSTEMS FACILITY</t>
        </is>
      </c>
      <c r="E633" s="143" t="inlineStr">
        <is>
          <t>EA</t>
        </is>
      </c>
      <c r="F633" s="143" t="n"/>
      <c r="G633" s="143" t="n"/>
      <c r="H633" s="143" t="n"/>
      <c r="I633" s="143" t="inlineStr">
        <is>
          <t>FACILITIES USED IN THE CONDUCT OF RESEARCH, DEVELOPMENT, TEST AND EVALUATION OF ITEMS IDENTIFIED UNDER CATEGORY CODE SERIES 310.</t>
        </is>
      </c>
    </row>
    <row r="634">
      <c r="C634" s="143" t="inlineStr">
        <is>
          <t>390 11</t>
        </is>
      </c>
      <c r="D634" s="143" t="inlineStr">
        <is>
          <t>AIRCRAFT SYSTEMS FACILITY</t>
        </is>
      </c>
      <c r="E634" s="143" t="inlineStr">
        <is>
          <t>EA</t>
        </is>
      </c>
      <c r="F634" s="143" t="n"/>
      <c r="G634" s="143" t="n"/>
      <c r="H634" s="143" t="n"/>
      <c r="I634" s="143" t="inlineStr">
        <is>
          <t>FACILITIES USED IN THE CONDUCT OF RESEARCH, DEVELOPMENT, TEST AND EVALUATION OF ITEMS IDENTIFIED UNDER CATEGORY CODE SERIES 311.</t>
        </is>
      </c>
    </row>
    <row r="635">
      <c r="C635" s="143" t="inlineStr">
        <is>
          <t>390 12</t>
        </is>
      </c>
      <c r="D635" s="143" t="inlineStr">
        <is>
          <t>MISSILE &amp; SPACE SYSTEM FAC</t>
        </is>
      </c>
      <c r="E635" s="143" t="inlineStr">
        <is>
          <t>EA</t>
        </is>
      </c>
      <c r="F635" s="143" t="n"/>
      <c r="G635" s="143" t="n"/>
      <c r="H635" s="143" t="n"/>
      <c r="I635" s="143" t="inlineStr">
        <is>
          <t>FACILITIES USED IN THE CONDUCT OF RESEARCH, DEVELOPMENT, TEST AND EVALUATION OF ITEMS IDENTIFIED UNDER CATEGORY CODE SERIES 312.</t>
        </is>
      </c>
    </row>
    <row r="636">
      <c r="C636" s="143" t="inlineStr">
        <is>
          <t>390 13</t>
        </is>
      </c>
      <c r="D636" s="143" t="inlineStr">
        <is>
          <t>SHIPS &amp; MARINE SYSTEMS FAC</t>
        </is>
      </c>
      <c r="E636" s="143" t="inlineStr">
        <is>
          <t>EA</t>
        </is>
      </c>
      <c r="F636" s="143" t="n"/>
      <c r="G636" s="143" t="n"/>
      <c r="H636" s="143" t="n"/>
      <c r="I636" s="143" t="inlineStr">
        <is>
          <t>FACILITIES USED IN THE CONDUCT OF RESEARCH, DEVELOPMENT, TEST AND EVALUATION OF ITEMS IDENTIFIED UNDER CATEGORY CODE SERIES 313.</t>
        </is>
      </c>
    </row>
    <row r="637">
      <c r="C637" s="143" t="inlineStr">
        <is>
          <t>390 14</t>
        </is>
      </c>
      <c r="D637" s="143" t="inlineStr">
        <is>
          <t>TANK @ AUTOMOTIVE SYS FAC</t>
        </is>
      </c>
      <c r="E637" s="143" t="inlineStr">
        <is>
          <t>EA</t>
        </is>
      </c>
      <c r="F637" s="143" t="n"/>
      <c r="G637" s="143" t="n"/>
      <c r="H637" s="143" t="n"/>
      <c r="I637" s="143" t="inlineStr">
        <is>
          <t>FACILITIES USED IN THE CONDUCT OF RESEARCH, DEVELOPMENT, TEST AND EVALUATION OF ITEMS IDENTIFIED UNDER CATEGORY CODE SERIES 314.</t>
        </is>
      </c>
    </row>
    <row r="638">
      <c r="C638" s="143" t="inlineStr">
        <is>
          <t>390 15</t>
        </is>
      </c>
      <c r="D638" s="143" t="inlineStr">
        <is>
          <t>WEAPONS &amp; WEAPONS SYS FAC</t>
        </is>
      </c>
      <c r="E638" s="143" t="inlineStr">
        <is>
          <t>EA</t>
        </is>
      </c>
      <c r="F638" s="143" t="n"/>
      <c r="G638" s="143" t="n"/>
      <c r="H638" s="143" t="n"/>
      <c r="I638" s="143" t="inlineStr">
        <is>
          <t>FACILITIES USED IN THE CONDUCT OF RESEARCH, DEVELOPMENT, TEST AND EVALUATION OF ITEMS IDENTIFIED UNDER CATEGORY CODE SERIES 315.</t>
        </is>
      </c>
    </row>
    <row r="639">
      <c r="C639" s="143" t="inlineStr">
        <is>
          <t>390 16</t>
        </is>
      </c>
      <c r="D639" s="143" t="inlineStr">
        <is>
          <t>AMMO,EXPLOSVES &amp; TOXIC FAC</t>
        </is>
      </c>
      <c r="E639" s="143" t="inlineStr">
        <is>
          <t>EA</t>
        </is>
      </c>
      <c r="F639" s="143" t="n"/>
      <c r="G639" s="143" t="n"/>
      <c r="H639" s="143" t="n"/>
      <c r="I639" s="143" t="inlineStr">
        <is>
          <t>FACILITIES USED IN THE CONDUCT OF RESEARCH, DEVELOPMENT, TEST AND EVALUATION OF ITEMS IDENTIFIED UNDER CATEGORY CODE SERIES 316.</t>
        </is>
      </c>
    </row>
    <row r="640">
      <c r="C640" s="143" t="inlineStr">
        <is>
          <t>390 17</t>
        </is>
      </c>
      <c r="D640" s="143" t="inlineStr">
        <is>
          <t>ELEC,COMM/ELE SYS RNGE FAC</t>
        </is>
      </c>
      <c r="E640" s="143" t="inlineStr">
        <is>
          <t>EA</t>
        </is>
      </c>
      <c r="F640" s="143" t="n"/>
      <c r="G640" s="143" t="n"/>
      <c r="H640" s="143" t="n"/>
      <c r="I640" s="143" t="inlineStr">
        <is>
          <t>FACILITIES USED IN THE CONDUCT OF RESEARCH, DEVELOPMENT, TEST AND EVALUATION OF ITEMS IDENTIFIED UNDER CATEGORY CODE SERIES 317.</t>
        </is>
      </c>
    </row>
    <row r="641">
      <c r="C641" s="143" t="inlineStr">
        <is>
          <t>390 18</t>
        </is>
      </c>
      <c r="D641" s="143" t="inlineStr">
        <is>
          <t>PROPULSION SYSTEMS FAC</t>
        </is>
      </c>
      <c r="E641" s="143" t="inlineStr">
        <is>
          <t>EA</t>
        </is>
      </c>
      <c r="F641" s="143" t="n"/>
      <c r="G641" s="143" t="n"/>
      <c r="H641" s="143" t="n"/>
      <c r="I641" s="143" t="inlineStr">
        <is>
          <t>FACILITIES USED IN THE CONDUCT OF RESEARCH, DEVELOPMENT, TEST AND EVALUATION OF ITEMS IDENTIFIED UNDER THE CATEGORY CODE SERIES 318.</t>
        </is>
      </c>
    </row>
    <row r="642">
      <c r="C642" s="143" t="inlineStr">
        <is>
          <t>390 19</t>
        </is>
      </c>
      <c r="D642" s="143" t="inlineStr">
        <is>
          <t>MISC ITEMS &amp; EQUIP FAC</t>
        </is>
      </c>
      <c r="E642" s="143" t="inlineStr">
        <is>
          <t>EA</t>
        </is>
      </c>
      <c r="F642" s="143" t="n"/>
      <c r="G642" s="143" t="n"/>
      <c r="H642" s="143" t="n"/>
      <c r="I642" s="143" t="inlineStr">
        <is>
          <t>FACILITIES USED IN THE CONDUCT OF RESEARCH, DEVELOPMENT, TEST AND EVALUATION OF ITEMS IDENTIFIED UNDER THE CATEGORY CODE SERIES 319.</t>
        </is>
      </c>
    </row>
    <row r="643">
      <c r="C643" s="143" t="inlineStr">
        <is>
          <t>390 20</t>
        </is>
      </c>
      <c r="D643" s="143" t="inlineStr">
        <is>
          <t>UNDERWATER SYSTEM FACILITY</t>
        </is>
      </c>
      <c r="E643" s="143" t="inlineStr">
        <is>
          <t>EA</t>
        </is>
      </c>
      <c r="F643" s="143" t="n"/>
      <c r="G643" s="143" t="n"/>
      <c r="H643" s="143" t="n"/>
      <c r="I643" s="143" t="inlineStr">
        <is>
          <t>FACILITIES USED IN THE CONDUCT OF RESEARCH, DEVELOPMENT, TEST AND EVALUATION OF ITEMS IDENTIFIED UNDER THE CATEGORY CODE SERIES 320.</t>
        </is>
      </c>
    </row>
    <row r="644">
      <c r="C644" s="143" t="inlineStr">
        <is>
          <t>411 10</t>
        </is>
      </c>
      <c r="D644" s="143" t="inlineStr">
        <is>
          <t>SHIP FUEL STR 10K-100K BL</t>
        </is>
      </c>
      <c r="E644" s="143" t="inlineStr">
        <is>
          <t>BL</t>
        </is>
      </c>
      <c r="F644" s="143" t="n"/>
      <c r="G644" s="143" t="n"/>
      <c r="H644" s="143" t="n"/>
      <c r="I644" s="143" t="inlineStr">
        <is>
          <t>OPERATIONAL SHIP FUEL STORAGE TANKS WITH CAPACITIES BETWEEN 10K AND 100K BARRELS.</t>
        </is>
      </c>
    </row>
    <row r="645">
      <c r="C645" s="143" t="inlineStr">
        <is>
          <t>411 11</t>
        </is>
      </c>
      <c r="D645" s="143" t="inlineStr">
        <is>
          <t>SHIP FUEL STRG &gt; 100K BL</t>
        </is>
      </c>
      <c r="E645" s="143" t="inlineStr">
        <is>
          <t>BL</t>
        </is>
      </c>
      <c r="F645" s="143" t="n"/>
      <c r="G645" s="143" t="n"/>
      <c r="H645" s="143" t="n"/>
      <c r="I645" s="143" t="inlineStr">
        <is>
          <t>BULK SHIP FUEL STORAGE TANKS ABOVE 100K BARREL CAPACITY.</t>
        </is>
      </c>
    </row>
    <row r="646">
      <c r="C646" s="143" t="inlineStr">
        <is>
          <t>411 12</t>
        </is>
      </c>
      <c r="D646" s="143" t="inlineStr">
        <is>
          <t>CUT &amp; COVER SHIP FUEL STRG</t>
        </is>
      </c>
      <c r="E646" s="143" t="inlineStr">
        <is>
          <t>BL</t>
        </is>
      </c>
      <c r="F646" s="143" t="n"/>
      <c r="G646" s="143" t="n"/>
      <c r="H646" s="143" t="n"/>
      <c r="I646" s="143" t="inlineStr">
        <is>
          <t>SHIP FUEL STORAGE WITH EARTH COVER FOR USE IN POTENTIALLY HOSTILE ENVIRONMENTS.</t>
        </is>
      </c>
    </row>
    <row r="647">
      <c r="C647" s="143" t="inlineStr">
        <is>
          <t>411 20</t>
        </is>
      </c>
      <c r="D647" s="143" t="inlineStr">
        <is>
          <t>AVTN FUEL STR 10K-100K BL</t>
        </is>
      </c>
      <c r="E647" s="143" t="inlineStr">
        <is>
          <t>BL</t>
        </is>
      </c>
      <c r="F647" s="143" t="n"/>
      <c r="G647" s="143" t="n"/>
      <c r="H647" s="143" t="n"/>
      <c r="I647" s="143" t="inlineStr">
        <is>
          <t>OPERATIONAL AVIATION FUEL STORAGE TANKS WITH CAPACITIES BETWEEN 10K AND 100K BARRELS.</t>
        </is>
      </c>
    </row>
    <row r="648">
      <c r="C648" s="143" t="inlineStr">
        <is>
          <t>411 21</t>
        </is>
      </c>
      <c r="D648" s="143" t="inlineStr">
        <is>
          <t>AVTN FUEL STRG &gt; 100K BL</t>
        </is>
      </c>
      <c r="E648" s="143" t="inlineStr">
        <is>
          <t>BL</t>
        </is>
      </c>
      <c r="F648" s="143" t="n"/>
      <c r="G648" s="143" t="n"/>
      <c r="H648" s="143" t="n"/>
      <c r="I648" s="143" t="inlineStr">
        <is>
          <t>BULK AVIATION FUEL STORAGE TANKS ABOVE 100K BARREL CAPACITY.</t>
        </is>
      </c>
    </row>
    <row r="649">
      <c r="C649" s="143" t="inlineStr">
        <is>
          <t>411 22</t>
        </is>
      </c>
      <c r="D649" s="143" t="inlineStr">
        <is>
          <t>CUT &amp; COVER AVTN FUEL STRG</t>
        </is>
      </c>
      <c r="E649" s="143" t="inlineStr">
        <is>
          <t>BL</t>
        </is>
      </c>
      <c r="F649" s="143" t="n"/>
      <c r="G649" s="143" t="n"/>
      <c r="H649" s="143" t="n"/>
      <c r="I649" s="143" t="inlineStr">
        <is>
          <t>AVIATION FUEL STORAGE WITH EARTH COVER FOR USE IN POTENTIALLY HOSTILE ENVIRONMENTS.</t>
        </is>
      </c>
    </row>
    <row r="650">
      <c r="C650" s="143" t="inlineStr">
        <is>
          <t>411 30</t>
        </is>
      </c>
      <c r="D650" s="143" t="inlineStr">
        <is>
          <t>DSL FUEL STR 10K-100K BL</t>
        </is>
      </c>
      <c r="E650" s="143" t="inlineStr">
        <is>
          <t>BL</t>
        </is>
      </c>
      <c r="F650" s="143" t="n"/>
      <c r="G650" s="143" t="n"/>
      <c r="H650" s="143" t="n"/>
      <c r="I650" s="143" t="inlineStr">
        <is>
          <t>OPERATIONAL DIESEL FUEL STORAGE TANKS WITH CAPACITIES BETWEEN 10K AND 100K BARRELS.</t>
        </is>
      </c>
    </row>
    <row r="651">
      <c r="C651" s="143" t="inlineStr">
        <is>
          <t>411 31</t>
        </is>
      </c>
      <c r="D651" s="143" t="inlineStr">
        <is>
          <t>DIESEL FUEL STRG &gt; 100K BL</t>
        </is>
      </c>
      <c r="E651" s="143" t="inlineStr">
        <is>
          <t>BL</t>
        </is>
      </c>
      <c r="F651" s="143" t="n"/>
      <c r="G651" s="143" t="n"/>
      <c r="H651" s="143" t="n"/>
      <c r="I651" s="143" t="inlineStr">
        <is>
          <t>BULK DIESEL FUEL STORAGE TANKS ABOVE 100K BARREL CAPACITY.</t>
        </is>
      </c>
    </row>
    <row r="652">
      <c r="C652" s="143" t="inlineStr">
        <is>
          <t>411 32</t>
        </is>
      </c>
      <c r="D652" s="143" t="inlineStr">
        <is>
          <t>CUT&amp; COVER DIESEL FUEL STR</t>
        </is>
      </c>
      <c r="E652" s="143" t="inlineStr">
        <is>
          <t>BL</t>
        </is>
      </c>
      <c r="F652" s="143" t="n"/>
      <c r="G652" s="143" t="n"/>
      <c r="H652" s="143" t="n"/>
      <c r="I652" s="143" t="inlineStr">
        <is>
          <t>DIESEL FUEL STORAGE WITH EARTH COVER FOR USE IN POTENTIALLY HOSTILE ENVIRONMENTS.</t>
        </is>
      </c>
    </row>
    <row r="653">
      <c r="C653" s="143" t="inlineStr">
        <is>
          <t>411 40</t>
        </is>
      </c>
      <c r="D653" s="143" t="inlineStr">
        <is>
          <t>MTR GAS STRG 10K-100K BL</t>
        </is>
      </c>
      <c r="E653" s="143" t="inlineStr">
        <is>
          <t>BL</t>
        </is>
      </c>
      <c r="F653" s="143" t="n"/>
      <c r="G653" s="143" t="n"/>
      <c r="H653" s="143" t="n"/>
      <c r="I653" s="143" t="inlineStr">
        <is>
          <t>OPERATIONAL MOTOR GASOLINE STORAGE TANKS WITH CAPACITIES BETWEEN 10K AND 100K BARRELS.</t>
        </is>
      </c>
    </row>
    <row r="654">
      <c r="C654" s="143" t="inlineStr">
        <is>
          <t>411 41</t>
        </is>
      </c>
      <c r="D654" s="143" t="inlineStr">
        <is>
          <t>MOTOR GAS STRG &gt; 100K BL</t>
        </is>
      </c>
      <c r="E654" s="143" t="inlineStr">
        <is>
          <t>BL</t>
        </is>
      </c>
      <c r="F654" s="143" t="n"/>
      <c r="G654" s="143" t="n"/>
      <c r="H654" s="143" t="n"/>
      <c r="I654" s="143" t="inlineStr">
        <is>
          <t>MOTOR GASOLINE FUEL STORAGE TANKS ABOVE 100K BARREL CAPACITY.</t>
        </is>
      </c>
    </row>
    <row r="655">
      <c r="C655" s="143" t="inlineStr">
        <is>
          <t>411 42</t>
        </is>
      </c>
      <c r="D655" s="143" t="inlineStr">
        <is>
          <t>CUT &amp; COVER MOTOR GAS STRG</t>
        </is>
      </c>
      <c r="E655" s="143" t="inlineStr">
        <is>
          <t>BL</t>
        </is>
      </c>
      <c r="F655" s="143" t="n"/>
      <c r="G655" s="143" t="n"/>
      <c r="H655" s="143" t="n"/>
      <c r="I655" s="143" t="inlineStr">
        <is>
          <t>MOTOR GASOLINE STORAGE WITH EARTH COVER FOR USE IN POTENTIALLY HOSTILE ENVIRONMENTS.</t>
        </is>
      </c>
    </row>
    <row r="656">
      <c r="C656" s="143" t="inlineStr">
        <is>
          <t>411 50</t>
        </is>
      </c>
      <c r="D656" s="143" t="inlineStr">
        <is>
          <t>JET FUEL STRG 10K-100K BL</t>
        </is>
      </c>
      <c r="E656" s="143" t="inlineStr">
        <is>
          <t>BL</t>
        </is>
      </c>
      <c r="F656" s="143" t="n"/>
      <c r="G656" s="143" t="n"/>
      <c r="H656" s="143" t="n"/>
      <c r="I656" s="143" t="inlineStr">
        <is>
          <t>OPERATIONAL JET FUEL STORAGE TANKS WITH CAPACITIES BETWEEN 10K AND 100K BARRELS.</t>
        </is>
      </c>
    </row>
    <row r="657">
      <c r="C657" s="143" t="inlineStr">
        <is>
          <t>411 51</t>
        </is>
      </c>
      <c r="D657" s="143" t="inlineStr">
        <is>
          <t>JET ENGNE FL STR &gt; 100K BL</t>
        </is>
      </c>
      <c r="E657" s="143" t="inlineStr">
        <is>
          <t>BL</t>
        </is>
      </c>
      <c r="F657" s="143" t="n"/>
      <c r="G657" s="143" t="n"/>
      <c r="H657" s="143" t="n"/>
      <c r="I657" s="143" t="inlineStr">
        <is>
          <t>JET FUEL STORAGE TANKS ABOVE 100K BARREL CAPACITY.</t>
        </is>
      </c>
    </row>
    <row r="658">
      <c r="C658" s="143" t="inlineStr">
        <is>
          <t>411 52</t>
        </is>
      </c>
      <c r="D658" s="143" t="inlineStr">
        <is>
          <t>CUT&amp;CVER JET ENGN FUEL STR</t>
        </is>
      </c>
      <c r="E658" s="143" t="inlineStr">
        <is>
          <t>BL</t>
        </is>
      </c>
      <c r="F658" s="143" t="n"/>
      <c r="G658" s="143" t="n"/>
      <c r="H658" s="143" t="n"/>
      <c r="I658" s="143" t="inlineStr">
        <is>
          <t>JET FUEL STORAGE WITH EARTH COVER FOR USE IN POTENTIALLY HOSTILE ENVIRONMENTS.</t>
        </is>
      </c>
    </row>
    <row r="659">
      <c r="C659" s="143" t="inlineStr">
        <is>
          <t>411 55</t>
        </is>
      </c>
      <c r="D659" s="143" t="inlineStr">
        <is>
          <t>BULK/READY FUEL ADDTV STRG</t>
        </is>
      </c>
      <c r="E659" s="143" t="inlineStr">
        <is>
          <t>GA</t>
        </is>
      </c>
      <c r="F659" s="143" t="n"/>
      <c r="G659" s="143" t="n"/>
      <c r="H659" s="143" t="n"/>
      <c r="I659" s="143" t="inlineStr">
        <is>
          <t>STORAGE TANKS FOR FUEL ADDITIVES SUCH AS DEICING CHEMICALS.</t>
        </is>
      </c>
    </row>
    <row r="660">
      <c r="C660" s="143" t="inlineStr">
        <is>
          <t>411 60</t>
        </is>
      </c>
      <c r="D660" s="143" t="inlineStr">
        <is>
          <t>LIQ PETROLM FUEL GAS STRG</t>
        </is>
      </c>
      <c r="E660" s="143" t="inlineStr">
        <is>
          <t>BL</t>
        </is>
      </c>
      <c r="F660" s="143" t="n"/>
      <c r="G660" s="143" t="n"/>
      <c r="H660" s="143" t="n"/>
      <c r="I660" s="143" t="inlineStr">
        <is>
          <t>THIS CATCODE IS FOR THE STORAGE OF LIQUEFIED PETROLEUM GAS, COMMONLY KNOWN AS LPG, FOR HEATING, METAL CUTTING, BRAZING, IN DENTAL LABORATORIES, ABOARD SHIPS, AND IN SIMILAR INSTALLATIONS. LPG CONSISTS PREDOMINANTLY OF PROPANE, PROPYLENE, WITH MINOR AMOUNTS OF BUTANE, ISOBUTENE, AND BUTYLENES.</t>
        </is>
      </c>
    </row>
    <row r="661">
      <c r="C661" s="143" t="inlineStr">
        <is>
          <t>411 82</t>
        </is>
      </c>
      <c r="D661" s="143" t="inlineStr">
        <is>
          <t>CONTAMINATED FUEL STORAGE</t>
        </is>
      </c>
      <c r="E661" s="143" t="inlineStr">
        <is>
          <t>BL</t>
        </is>
      </c>
      <c r="F661" s="143" t="n"/>
      <c r="G661" s="143" t="n"/>
      <c r="H661" s="143" t="n"/>
      <c r="I661" s="143" t="inlineStr">
        <is>
          <t>THIS CATCODE IS FOR FUEL STORAGE FACILITY TEMPORARY STORAGE FOR OFF-SPECIFICATION (CONTAMINATED) FUEL.</t>
        </is>
      </c>
    </row>
    <row r="662">
      <c r="C662" s="143" t="inlineStr">
        <is>
          <t>411 84</t>
        </is>
      </c>
      <c r="D662" s="143" t="inlineStr">
        <is>
          <t>BULK HEATING FUEL STRG</t>
        </is>
      </c>
      <c r="E662" s="143" t="inlineStr">
        <is>
          <t>BL</t>
        </is>
      </c>
      <c r="F662" s="143" t="n"/>
      <c r="G662" s="143" t="n"/>
      <c r="H662" s="143" t="n"/>
      <c r="I662" s="143" t="inlineStr">
        <is>
          <t>THIS CATCODE IS FOR HEATING FUEL OIL STORAGE FACILITIES AND IT MAY INCLUDE STORAGE TANKS FOR KEROSENE AND SEVERAL DIFFERENT GRADES OF DIESEL OIL.</t>
        </is>
      </c>
    </row>
    <row r="663">
      <c r="C663" s="143" t="inlineStr">
        <is>
          <t>412 15</t>
        </is>
      </c>
      <c r="D663" s="143" t="inlineStr">
        <is>
          <t>ROAD OIL STORAGE</t>
        </is>
      </c>
      <c r="E663" s="143" t="inlineStr">
        <is>
          <t>GA</t>
        </is>
      </c>
      <c r="F663" s="143" t="n"/>
      <c r="G663" s="143" t="n"/>
      <c r="H663" s="143" t="n"/>
      <c r="I663" s="143" t="inlineStr">
        <is>
          <t>STORAGE FACILITIES FOR ROAD OIL. ROAD OIL IS OIL USED TO CONTROL DUST IN CERTAIN UNPAVED ROADWAY SITUATIONS.</t>
        </is>
      </c>
    </row>
    <row r="664">
      <c r="C664" s="143" t="inlineStr">
        <is>
          <t>412 25</t>
        </is>
      </c>
      <c r="D664" s="143" t="inlineStr">
        <is>
          <t>LUBRICANT STORAGE</t>
        </is>
      </c>
      <c r="E664" s="143" t="inlineStr">
        <is>
          <t>GA</t>
        </is>
      </c>
      <c r="F664" s="143" t="n"/>
      <c r="G664" s="143" t="n"/>
      <c r="H664" s="143" t="n"/>
      <c r="I664" s="143" t="inlineStr">
        <is>
          <t>THIS CATCODE IS FOR THE STORAGE OF LUBRICATING OIL.</t>
        </is>
      </c>
    </row>
    <row r="665">
      <c r="C665" s="143" t="inlineStr">
        <is>
          <t>412 35</t>
        </is>
      </c>
      <c r="D665" s="143" t="inlineStr">
        <is>
          <t>BALLAST AND SLUDGE STORAGE</t>
        </is>
      </c>
      <c r="E665" s="143" t="inlineStr">
        <is>
          <t>GA</t>
        </is>
      </c>
      <c r="F665" s="143" t="n"/>
      <c r="G665" s="143" t="n"/>
      <c r="H665" s="143" t="n"/>
      <c r="I665" s="143" t="inlineStr">
        <is>
          <t>THIS CATCODE IS FOR THE STORAGE OF BALLAST AND SLUDGE LIQUIDS.</t>
        </is>
      </c>
    </row>
    <row r="666">
      <c r="C666" s="143" t="inlineStr">
        <is>
          <t>412 40</t>
        </is>
      </c>
      <c r="D666" s="143" t="inlineStr">
        <is>
          <t>ORGANIC OIL STORAGE</t>
        </is>
      </c>
      <c r="E666" s="143" t="inlineStr">
        <is>
          <t>GA</t>
        </is>
      </c>
      <c r="F666" s="143" t="n"/>
      <c r="G666" s="143" t="n"/>
      <c r="H666" s="143" t="n"/>
      <c r="I666" s="143" t="inlineStr">
        <is>
          <t>THIS CATCODE IS FOR THE STORAGE OF ORGANIC OILS.</t>
        </is>
      </c>
    </row>
    <row r="667">
      <c r="C667" s="143" t="inlineStr">
        <is>
          <t>412 45</t>
        </is>
      </c>
      <c r="D667" s="143" t="inlineStr">
        <is>
          <t>MISC LIQUID STORAGE</t>
        </is>
      </c>
      <c r="E667" s="143" t="inlineStr">
        <is>
          <t>EA</t>
        </is>
      </c>
      <c r="F667" s="143" t="n"/>
      <c r="G667" s="143" t="n"/>
      <c r="H667" s="143" t="n"/>
      <c r="I667" s="143" t="inlineStr">
        <is>
          <t>THIS CATCODE IS FOR THE STORAGE OF MISCELLANEOUS LIQUIDS.</t>
        </is>
      </c>
    </row>
    <row r="668">
      <c r="C668" s="143" t="inlineStr">
        <is>
          <t>412 50</t>
        </is>
      </c>
      <c r="D668" s="143" t="inlineStr">
        <is>
          <t>INDUS/POL WASTE STORGE FAC</t>
        </is>
      </c>
      <c r="E668" s="143" t="inlineStr">
        <is>
          <t>GA</t>
        </is>
      </c>
      <c r="F668" s="143" t="n"/>
      <c r="G668" s="143" t="n"/>
      <c r="H668" s="143" t="n"/>
      <c r="I668" s="143" t="inlineStr">
        <is>
          <t>THIS CATCODE IS FOR THE STORAGE OF INDUSTRIAL WASTE/POL LIQUIDS.</t>
        </is>
      </c>
    </row>
    <row r="669">
      <c r="C669" s="143" t="inlineStr">
        <is>
          <t>421 22</t>
        </is>
      </c>
      <c r="D669" s="143" t="inlineStr">
        <is>
          <t>HIGH EXPLOSIVE MAGAZINE</t>
        </is>
      </c>
      <c r="E669" s="143" t="inlineStr">
        <is>
          <t>SF</t>
        </is>
      </c>
      <c r="F669" s="143" t="n"/>
      <c r="G669" s="143" t="n"/>
      <c r="H669" s="143" t="n"/>
      <c r="I669" s="143" t="inlineStr">
        <is>
          <t>A HIGH-EXPLOSIVE MAGAZINE IS USED FOR THE STORAGE OF HAZARD CLASS 1 DIVISION 1 (CH/D 1.1) ENERGETIC MATERIALS. EXAMPLES OF CH/D 1.1 MATERIALS ARE: BOMBS, MISSILES, WARHEADS, NAVAL MINES, DEMOLITION CHARGES. HC/D 1.3 AND 1.4 ENERGETICS MAY ALSO BE STORED IN A HIGH EXPLOSIVE MAGAZINE WHEN THE UTILIZATION REQUIRES IT AND COMPATIBILITY ALLOWS IT.</t>
        </is>
      </c>
    </row>
    <row r="670">
      <c r="C670" s="143" t="inlineStr">
        <is>
          <t>421 32</t>
        </is>
      </c>
      <c r="D670" s="143" t="inlineStr">
        <is>
          <t>INERT STOREHOUSE</t>
        </is>
      </c>
      <c r="E670" s="143" t="inlineStr">
        <is>
          <t>SF</t>
        </is>
      </c>
      <c r="F670" s="143" t="n"/>
      <c r="G670" s="143" t="n"/>
      <c r="H670" s="143" t="n"/>
      <c r="I670" s="143" t="inlineStr">
        <is>
          <t>THESE STOREHOUSES ARE USED FOR THE STORAGE OF SUCH NON-EXPLOSIVE ITEMS AS BOMB TAILS, MACHINE GUN LINKS, EMPTY CARTRIDGE CASES, AND PACKING MATERIALS.</t>
        </is>
      </c>
    </row>
    <row r="671">
      <c r="C671" s="143" t="inlineStr">
        <is>
          <t>421 35</t>
        </is>
      </c>
      <c r="D671" s="143" t="inlineStr">
        <is>
          <t>READY MAGAZINE</t>
        </is>
      </c>
      <c r="E671" s="143" t="inlineStr">
        <is>
          <t>SF</t>
        </is>
      </c>
      <c r="F671" s="143" t="n"/>
      <c r="G671" s="143" t="n"/>
      <c r="H671" s="143" t="n"/>
      <c r="I671" s="143" t="inlineStr">
        <is>
          <t>THIS CATEGORY CODE IS USED SPECIFICALLY FOR ORDNANCE REQUIRED TO BE STORED IN A READY SERVICE CAPACITY AND IS USED TO CAPTURE READY SERVICE MAGAZINES. THIS DOES NOT INCLUDE READY SERVICE LOCKERS AND SIMILAR ITEMS OF EQUIPMENT, WHICH ARE NOT CAPTURED IN INFADS.</t>
        </is>
      </c>
    </row>
    <row r="672">
      <c r="C672" s="143" t="inlineStr">
        <is>
          <t>421 42</t>
        </is>
      </c>
      <c r="D672" s="143" t="inlineStr">
        <is>
          <t>SMOKEDRUM STOREHOUSE</t>
        </is>
      </c>
      <c r="E672" s="143" t="inlineStr">
        <is>
          <t>SF</t>
        </is>
      </c>
      <c r="F672" s="143" t="n"/>
      <c r="G672" s="143" t="n"/>
      <c r="H672" s="143" t="n"/>
      <c r="I672" s="143" t="inlineStr">
        <is>
          <t>THIS CATCODE IS FOR THE STORAGE OF CHEMICAL AND SMOKE PRODUCING MIXTURES.</t>
        </is>
      </c>
    </row>
    <row r="673">
      <c r="C673" s="143" t="inlineStr">
        <is>
          <t>421 48</t>
        </is>
      </c>
      <c r="D673" s="143" t="inlineStr">
        <is>
          <t>SMALL ARMS/PYROTECHNIC MAG</t>
        </is>
      </c>
      <c r="E673" s="143" t="inlineStr">
        <is>
          <t>SF</t>
        </is>
      </c>
      <c r="F673" s="143" t="n"/>
      <c r="G673" s="143" t="n"/>
      <c r="H673" s="143" t="n"/>
      <c r="I673" s="143" t="inlineStr">
        <is>
          <t>THIS MAGAZINE MAY BE USED TO STORE CLASS 1 DIVISION 3 AND 4 AMMUNITION. PREDOMINANTLY SMALL ARMS AMMUNITION AND PYROTECHNICS.</t>
        </is>
      </c>
    </row>
    <row r="674">
      <c r="C674" s="143" t="inlineStr">
        <is>
          <t>421 62</t>
        </is>
      </c>
      <c r="D674" s="143" t="inlineStr">
        <is>
          <t>SPECIAL WEAPONS MAGAZINE</t>
        </is>
      </c>
      <c r="E674" s="143" t="inlineStr">
        <is>
          <t>SF</t>
        </is>
      </c>
      <c r="F674" s="143" t="n"/>
      <c r="G674" s="143" t="n"/>
      <c r="H674" s="143" t="n"/>
      <c r="I674" s="143" t="inlineStr">
        <is>
          <t>THE SPECIAL WEAPONS MAGAZINE IS SIMILAR TO THE HIGH EXPLOSIVE MAGAZINE BUT IS USED FOR THE STORAGE OF DIFFERENT TYPES OF ORDNANCE. FOR MORE DETAILS, REFER TO UFC 2-000-05N.</t>
        </is>
      </c>
    </row>
    <row r="675">
      <c r="C675" s="143" t="inlineStr">
        <is>
          <t>421 82</t>
        </is>
      </c>
      <c r="D675" s="143" t="inlineStr">
        <is>
          <t>SUB BALLISTIC MSL STO FAC</t>
        </is>
      </c>
      <c r="E675" s="143" t="inlineStr">
        <is>
          <t>SF</t>
        </is>
      </c>
      <c r="F675" s="143" t="n"/>
      <c r="G675" s="143" t="n"/>
      <c r="H675" s="143" t="n"/>
      <c r="I675" s="143" t="inlineStr">
        <is>
          <t>THIS CATCODE IS PRIMARILY FOR THE STORAGE OF SUBMARINE LAUNCHED BALLISTIC MISSILES</t>
        </is>
      </c>
    </row>
    <row r="676">
      <c r="C676" s="143" t="inlineStr">
        <is>
          <t>423 10</t>
        </is>
      </c>
      <c r="D676" s="143" t="inlineStr">
        <is>
          <t>LIQUID PROPELLANT STORAGE</t>
        </is>
      </c>
      <c r="E676" s="143" t="inlineStr">
        <is>
          <t>GA</t>
        </is>
      </c>
      <c r="F676" s="143" t="n"/>
      <c r="G676" s="143" t="n"/>
      <c r="H676" s="143" t="n"/>
      <c r="I676" s="143" t="inlineStr">
        <is>
          <t>THIS CATCODE IS FOR THE STORAGE OF LIQUID PROPELLANTS</t>
        </is>
      </c>
    </row>
    <row r="677">
      <c r="C677" s="143" t="inlineStr">
        <is>
          <t>423 20</t>
        </is>
      </c>
      <c r="D677" s="143" t="inlineStr">
        <is>
          <t>LIQ PROPELLANT DISPENS FAC</t>
        </is>
      </c>
      <c r="E677" s="143" t="inlineStr">
        <is>
          <t>OL</t>
        </is>
      </c>
      <c r="F677" s="143" t="n"/>
      <c r="G677" s="143" t="n"/>
      <c r="H677" s="143" t="n"/>
      <c r="I677" s="143" t="inlineStr">
        <is>
          <t>THIS CATCODE IS FOR LIQUID PROPELLANT STORAGE AND DISPENSING FACILITIES</t>
        </is>
      </c>
    </row>
    <row r="678">
      <c r="C678" s="143" t="inlineStr">
        <is>
          <t>424 10</t>
        </is>
      </c>
      <c r="D678" s="143" t="inlineStr">
        <is>
          <t>WPN-RELATED BATTERY STRG</t>
        </is>
      </c>
      <c r="E678" s="143" t="inlineStr">
        <is>
          <t>SF</t>
        </is>
      </c>
      <c r="F678" s="143" t="n"/>
      <c r="G678" s="143" t="n"/>
      <c r="H678" s="143" t="n"/>
      <c r="I678" s="143" t="inlineStr">
        <is>
          <t>THIS CATCODE IS FOR FACILITIES RELATED TO THE STORAGE OF WEAPONS RELATED BATTERIES.</t>
        </is>
      </c>
    </row>
    <row r="679">
      <c r="C679" s="143" t="inlineStr">
        <is>
          <t>425 10</t>
        </is>
      </c>
      <c r="D679" s="143" t="inlineStr">
        <is>
          <t>OPEN AMMUNITION STRG PAD</t>
        </is>
      </c>
      <c r="E679" s="143" t="inlineStr">
        <is>
          <t>SY</t>
        </is>
      </c>
      <c r="F679" s="143" t="n"/>
      <c r="G679" s="143" t="n"/>
      <c r="H679" s="143" t="n"/>
      <c r="I679" s="143" t="inlineStr">
        <is>
          <t>THIS CATCODE IS FOR FACILITIES RELATED TO AN OPEN AMMUNITION STORAGE PAD</t>
        </is>
      </c>
    </row>
    <row r="680">
      <c r="C680" s="143" t="inlineStr">
        <is>
          <t>425 11</t>
        </is>
      </c>
      <c r="D680" s="143" t="inlineStr">
        <is>
          <t>EXPLOSIVE STORAGE SITE PAD</t>
        </is>
      </c>
      <c r="E680" s="143" t="inlineStr">
        <is>
          <t>SY</t>
        </is>
      </c>
      <c r="F680" s="143" t="n"/>
      <c r="G680" s="143" t="n"/>
      <c r="H680" s="143" t="n"/>
      <c r="I680" s="143" t="inlineStr">
        <is>
          <t>A CONCRETE OR ASPHALT PAD, CONSTRUCTED AS A BASE ON WHICH TO PLACE NON-PERMANENT ORDNANCE STORAGE CONTAINERS SUCH AS READY SERVICE LOCKERS (RSLS) AND GOLANS. THE PADS CAN BE NEW OR A PORTION OF AN EXISTING PAVEMENT SUCH AS AN AIRCRAFT APRON OR SIMILAR.</t>
        </is>
      </c>
    </row>
    <row r="681">
      <c r="C681" s="143" t="inlineStr">
        <is>
          <t>425 20</t>
        </is>
      </c>
      <c r="D681" s="143" t="inlineStr">
        <is>
          <t>CONTAINR HOLDG YARD (EMPT)</t>
        </is>
      </c>
      <c r="E681" s="143" t="inlineStr">
        <is>
          <t>SY</t>
        </is>
      </c>
      <c r="F681" s="143" t="n"/>
      <c r="G681" s="143" t="n"/>
      <c r="H681" s="143" t="n"/>
      <c r="I681" s="143" t="inlineStr">
        <is>
          <t>THIS CATCODE IS FOR FACILITIES RELATED TO AN EMPTY ISO CONTAINER- HOLDING YARD.</t>
        </is>
      </c>
    </row>
    <row r="682">
      <c r="C682" s="143" t="inlineStr">
        <is>
          <t>425 30</t>
        </is>
      </c>
      <c r="D682" s="143" t="inlineStr">
        <is>
          <t>BARRICADED MODULE</t>
        </is>
      </c>
      <c r="E682" s="143" t="inlineStr">
        <is>
          <t>SY</t>
        </is>
      </c>
      <c r="F682" s="143" t="n"/>
      <c r="G682" s="143" t="n"/>
      <c r="H682" s="143" t="n"/>
      <c r="I682" s="143" t="inlineStr">
        <is>
          <t>A BARRICADED MODULE IS A BARRICADED AREA COMPRISING OF A SERIES OF CONNECTED CELLS WITH HARD SURFACE STORAGE PADS SEPARATED FROM EACH OTHER BY BARRICADES.</t>
        </is>
      </c>
    </row>
    <row r="683">
      <c r="C683" s="143" t="inlineStr">
        <is>
          <t>431 10</t>
        </is>
      </c>
      <c r="D683" s="143" t="inlineStr">
        <is>
          <t>COLD STORAGE WAREHOUSE</t>
        </is>
      </c>
      <c r="E683" s="143" t="inlineStr">
        <is>
          <t>SF</t>
        </is>
      </c>
      <c r="F683" s="143" t="n"/>
      <c r="G683" s="143" t="n"/>
      <c r="H683" s="143" t="n"/>
      <c r="I683" s="143" t="inlineStr">
        <is>
          <t>A COLD STORAGE WAREHOUSE IS PLANNED TO PRESERVE THE QUALITY OF PERISHABLE FOODS AND GENERAL SUPPLY MATERIALS THAT REQUIRE REFRIGERATION. THE WAREHOUSE WILL INCLUDE FREEZE AND CHILL SPACE AND NORMAL PROCESSING FACILITIES AND MECHANICAL AREAS.</t>
        </is>
      </c>
    </row>
    <row r="684">
      <c r="C684" s="143" t="inlineStr">
        <is>
          <t>441 10</t>
        </is>
      </c>
      <c r="D684" s="143" t="inlineStr">
        <is>
          <t>GENERAL PURP WAREHOUSE</t>
        </is>
      </c>
      <c r="E684" s="143" t="inlineStr">
        <is>
          <t>SF</t>
        </is>
      </c>
      <c r="F684" s="143" t="n"/>
      <c r="G684" s="143" t="n"/>
      <c r="H684" s="143" t="n"/>
      <c r="I684" s="143" t="inlineStr">
        <is>
          <t>THIS CODE INCLUDES GENERAL WAREHOUSES WITH THE FOLLOWING CHARACTERISTICS: HEATED OR UNHEATED AND WITH/WITHOUT HEAVY- DUTY (OVERHEAD CRANE) CAPABILITY, SPRINKLER SYSTEMS AND/OR ALARM SYSTEMS.</t>
        </is>
      </c>
    </row>
    <row r="685">
      <c r="C685" s="143" t="inlineStr">
        <is>
          <t>441 11</t>
        </is>
      </c>
      <c r="D685" s="143" t="inlineStr">
        <is>
          <t>GENERAL WAREHOUSE MARCORPS</t>
        </is>
      </c>
      <c r="E685" s="143" t="inlineStr">
        <is>
          <t>SF</t>
        </is>
      </c>
      <c r="F685" s="143" t="n"/>
      <c r="G685" s="143" t="n"/>
      <c r="H685" s="143" t="n"/>
      <c r="I685" s="143" t="inlineStr">
        <is>
          <t>THIS CATEGORY CODE INCLUDES REQUIREMENTS FOR MARINE CORPS GROUND ACTIVITIES WHICH HAVE BEEN DESIGNATED BY MARINE CORPS ORDERS AS DIRECT SUPPORT STOCK CONTROL ACTIVITIES OR WHICH HAVE SPECIALIZED DSSC FUNCTIONS.</t>
        </is>
      </c>
    </row>
    <row r="686">
      <c r="C686" s="143" t="inlineStr">
        <is>
          <t>441 12</t>
        </is>
      </c>
      <c r="D686" s="143" t="inlineStr">
        <is>
          <t>STG AIR/GRD ORG UTS MARCOR</t>
        </is>
      </c>
      <c r="E686" s="143" t="inlineStr">
        <is>
          <t>SF</t>
        </is>
      </c>
      <c r="F686" s="143" t="n"/>
      <c r="G686" s="143" t="n"/>
      <c r="H686" s="143" t="n"/>
      <c r="I686" s="143" t="inlineStr">
        <is>
          <t>THIS CATEGORY CODE INCLUDES GENERAL PURPOSE STORAGE FACILITIES ASSIGNED TO MARINE CORPS BASES, AIR INSTALLATIONS AND FLEET MARINE FORCE (FMF) UNITS FOR ORGANIC REQUIREMENTS TO INCLUDE DIVISION/WING, BATTALION/GROUP AND COMPANY/SQUADRON STORAGE AREAS, SPECIAL SERVICE STOREROOMS, BASE SHIPPING AND RECEIVING FUNCTIONS AND ANY OTHER ORGANIC STORAGE REQUIREMENTS.</t>
        </is>
      </c>
    </row>
    <row r="687">
      <c r="C687" s="143" t="inlineStr">
        <is>
          <t>441 13</t>
        </is>
      </c>
      <c r="D687" s="143" t="inlineStr">
        <is>
          <t>MARCOR LOGSUPBASE WRHSE</t>
        </is>
      </c>
      <c r="E687" s="143" t="inlineStr">
        <is>
          <t>SF</t>
        </is>
      </c>
      <c r="F687" s="143" t="n"/>
      <c r="G687" s="143" t="n"/>
      <c r="H687" s="143" t="n"/>
      <c r="I687" s="143" t="inlineStr">
        <is>
          <t>THIS FACILITY INCLUDES GENERAL- PURPOSE WAREHOUSES DESIGNATED AS STORAGE AREAS FOR MARINE CORPS OWNED MATERIAL IN SUPPORT OF LOGISTIC SUPPORT BASE MISSION AS INTEGRATED MATERIAL MANAGERS. ALSO INCLUDED IS THE SPACE UTILIZED IN SUPPORT OF PRE-POSITIONED WAR RESERVE STOCKS.</t>
        </is>
      </c>
    </row>
    <row r="688">
      <c r="C688" s="143" t="inlineStr">
        <is>
          <t>441 14</t>
        </is>
      </c>
      <c r="D688" s="143" t="inlineStr">
        <is>
          <t>MARCOR SASSY WAREHOUSE</t>
        </is>
      </c>
      <c r="E688" s="143" t="inlineStr">
        <is>
          <t>SF</t>
        </is>
      </c>
      <c r="F688" s="143" t="n"/>
      <c r="G688" s="143" t="n"/>
      <c r="H688" s="143" t="n"/>
      <c r="I688" s="143" t="inlineStr">
        <is>
          <t>THIS FACILITY INCLUDES GENERAL- PURPOSE WAREHOUSES DESIGNATED FOR SUPPORT OF THE SUPPORTED ACTIVITY SUPPLY SYSTEM (SASSY) MANAGEMENT UNITS TO INCLUDE GENERAL AND MOUNT OUT ACCOUNTS AND CONSOLIDATED ISSUE POINT ASSETS.</t>
        </is>
      </c>
    </row>
    <row r="689">
      <c r="C689" s="143" t="inlineStr">
        <is>
          <t>441 20</t>
        </is>
      </c>
      <c r="D689" s="143" t="inlineStr">
        <is>
          <t>CONTROLLED HUMIDITY WRHSE</t>
        </is>
      </c>
      <c r="E689" s="143" t="inlineStr">
        <is>
          <t>SF</t>
        </is>
      </c>
      <c r="F689" s="143" t="n"/>
      <c r="G689" s="143" t="n"/>
      <c r="H689" s="143" t="n"/>
      <c r="I689" s="143" t="inlineStr">
        <is>
          <t>A CONTROLLED HUMIDITY WAREHOUSE IS SIMILAR TO A GENERAL WAREHOUSE (441 10) IN EVERY RESPECT EXCEPT THAT IT IS CONSTRUCTED WITH APPROPRIATE VAPOR BARRIERS AND CONTAINS HUMIDITY CONTROL EQUIPMENT TO MAINTAIN HUMIDITY AT DESIRED LEVELS.</t>
        </is>
      </c>
    </row>
    <row r="690">
      <c r="C690" s="143" t="inlineStr">
        <is>
          <t>441 30</t>
        </is>
      </c>
      <c r="D690" s="143" t="inlineStr">
        <is>
          <t>HAZARDOUS/FLAMMA BL STRHSE</t>
        </is>
      </c>
      <c r="E690" s="143" t="inlineStr">
        <is>
          <t>SF</t>
        </is>
      </c>
      <c r="F690" s="143" t="n"/>
      <c r="G690" s="143" t="n"/>
      <c r="H690" s="143" t="n"/>
      <c r="I690" s="143" t="inlineStr">
        <is>
          <t>A HAZARDOUS MATERIALS WAREHOUSE IS REQUIRED FOR THE STORAGE AND HANDLING OF MATERIALS SUCH AS FLAMMABLE AND COMBUSTIBLE LIQUIDS, ACIDS, ETC. AS SAFE STORAGE OF SUCH MATERIALS LIES IN THEIR SEPARATION FROM INCOMPATIBLE MATERIALS, A HAZARDOUS AND FLAMMABLES STOREHOUSE IS REQUIRED AS MUCH FOR ADEQUATE MATERIAL SEPARATION AS FOR THEIR STORAGE AND HANDLING.</t>
        </is>
      </c>
    </row>
    <row r="691">
      <c r="C691" s="143" t="inlineStr">
        <is>
          <t>441 35</t>
        </is>
      </c>
      <c r="D691" s="143" t="inlineStr">
        <is>
          <t>GENERAL STORAGE SHED</t>
        </is>
      </c>
      <c r="E691" s="143" t="inlineStr">
        <is>
          <t>SF</t>
        </is>
      </c>
      <c r="F691" s="143" t="n"/>
      <c r="G691" s="143" t="n"/>
      <c r="H691" s="143" t="n"/>
      <c r="I691" s="143" t="inlineStr">
        <is>
          <t>THE GENERAL SHED IS A ROOFED STRUCTURE WITHOUT COMPLETE SIDE AND/OR END WALLS AND WITH OR WITHOUT SPRINKLER AND/OR ALARM SYSTEMS.</t>
        </is>
      </c>
    </row>
    <row r="692">
      <c r="C692" s="143" t="inlineStr">
        <is>
          <t>441 40</t>
        </is>
      </c>
      <c r="D692" s="143" t="inlineStr">
        <is>
          <t>UNDERGROUND STORAGE</t>
        </is>
      </c>
      <c r="E692" s="143" t="inlineStr">
        <is>
          <t>SF</t>
        </is>
      </c>
      <c r="F692" s="143" t="n"/>
      <c r="G692" s="143" t="n"/>
      <c r="H692" s="143" t="n"/>
      <c r="I692" s="143" t="inlineStr">
        <is>
          <t>THIS CATEGORY CODE PERTAINS TO UNDERGROUND STORAGE; WHERE IT IS NECESSARY, BECAUSE OF POTENTIAL SABOTAGE OR ENEMY ACTION TO PROTECT SUPPLIES EITHER BY DISPERSAL OR PROTECTIVE CONSTRUCTION, INSTEAD OF PROGRAMMING NEW PROTECTIVE CONSTRUCTION, EXISTING MINES MAY BE USED.</t>
        </is>
      </c>
    </row>
    <row r="693">
      <c r="C693" s="143" t="inlineStr">
        <is>
          <t>441 70</t>
        </is>
      </c>
      <c r="D693" s="143" t="inlineStr">
        <is>
          <t>DISPOSL/SALVAGE/ SCRAP BLDG</t>
        </is>
      </c>
      <c r="E693" s="143" t="inlineStr">
        <is>
          <t>SF</t>
        </is>
      </c>
      <c r="F693" s="143" t="n"/>
      <c r="G693" s="143" t="n"/>
      <c r="H693" s="143" t="n"/>
      <c r="I693" s="143" t="inlineStr">
        <is>
          <t>THIS FACILITY IS PRIMARILY TO PROVIDE COVERED SPACE FOR THE RECEIPT, PROCESSING, STAGING AND ISSUE OF MATERIAL THAT HAS BEEN DEEMED EXCESS TO NAVY NEEDS AND IS AWAITING SOME RESALE OR FINAL DISPOSAL.</t>
        </is>
      </c>
    </row>
    <row r="694">
      <c r="C694" s="143" t="inlineStr">
        <is>
          <t>441 71</t>
        </is>
      </c>
      <c r="D694" s="143" t="inlineStr">
        <is>
          <t>INTEGRATE LOG OH &amp; OUTFIT</t>
        </is>
      </c>
      <c r="E694" s="143" t="inlineStr">
        <is>
          <t>SF</t>
        </is>
      </c>
      <c r="F694" s="143" t="n"/>
      <c r="G694" s="143" t="n"/>
      <c r="H694" s="143" t="n"/>
      <c r="I694" s="143" t="inlineStr">
        <is>
          <t>THIS FACILITY PROVIDES COVERED SUPPLY SPACE USED FOR PROCESSING MATERIALS OFFLOADED FROM OR ASSEMBLED FOR LOADING ABOARD SHIPS. IT INCLUDES SPACE REQUIRED FOR RECEIVING, SORTING, IDENTIFYING AND PROCESSING MATERIALS OFF-LOADED AS WELL AS PROCESSING AND ASSEMBLY OF OUTFITTING MATERIALS TO BE LOADED ABOARD FLEET UNITS.</t>
        </is>
      </c>
    </row>
    <row r="695">
      <c r="C695" s="143" t="inlineStr">
        <is>
          <t>441 72</t>
        </is>
      </c>
      <c r="D695" s="143" t="inlineStr">
        <is>
          <t>SERVMART</t>
        </is>
      </c>
      <c r="E695" s="143" t="inlineStr">
        <is>
          <t>SF</t>
        </is>
      </c>
      <c r="F695" s="143" t="n"/>
      <c r="G695" s="143" t="n"/>
      <c r="H695" s="143" t="n"/>
      <c r="I695" s="143" t="inlineStr">
        <is>
          <t>A SERVMART PROVIDES COVERED SUPPLY FACILITIES USED FOR DISPLAY AND SALE OF SUPPLY SYSTEMS MATERIALS FOR SELF-SERVICE REQUISITIONING BY END USERS. IT INCLUDES AREAS USED TO DISPLAY ITEMS ON SHELVES OR GONDOLAS, CHECKOUT COUNTERS AND ADMINISTRATIVE FUNCTIONS.</t>
        </is>
      </c>
    </row>
    <row r="696">
      <c r="C696" s="143" t="inlineStr">
        <is>
          <t>441 73</t>
        </is>
      </c>
      <c r="D696" s="143" t="inlineStr">
        <is>
          <t>MTIS BUILDING</t>
        </is>
      </c>
      <c r="E696" s="143" t="inlineStr">
        <is>
          <t>SF</t>
        </is>
      </c>
      <c r="F696" s="143" t="n"/>
      <c r="G696" s="143" t="n"/>
      <c r="H696" s="143" t="n"/>
      <c r="I696" s="143" t="inlineStr">
        <is>
          <t>A MATERIAL TURNED INTO STORE (MTIS) FACILITY PROVIDES COVERED SUPPLY SPACE USED FOR PROCESSING MATERIALS TURNED INTO SUPPLY FOR REDISTRIBUTION OR DISPOSAL. IT INCLUDES SPACE USED FOR RECEIPT, SCREENING, IDENTIFICATION, ASSEMBLY AND STAGING FOR RETURN TO STORAGE AREAS.</t>
        </is>
      </c>
    </row>
    <row r="697">
      <c r="C697" s="143" t="inlineStr">
        <is>
          <t>451 10</t>
        </is>
      </c>
      <c r="D697" s="143" t="inlineStr">
        <is>
          <t>OPEN STORAGE AREA</t>
        </is>
      </c>
      <c r="E697" s="143" t="inlineStr">
        <is>
          <t>SY</t>
        </is>
      </c>
      <c r="F697" s="143" t="n"/>
      <c r="G697" s="143" t="n"/>
      <c r="H697" s="143" t="n"/>
      <c r="I697" s="143" t="inlineStr">
        <is>
          <t>THIS CATEGORY GROUP CONSISTS OF NON-COVERED STORAGE AREAS, PAVED OR OTHERWISE ESTABLISHED, FOR STORAGE OF GENERAL SUPPLY MATERIALS.</t>
        </is>
      </c>
    </row>
    <row r="698">
      <c r="C698" s="143" t="inlineStr">
        <is>
          <t>451 70</t>
        </is>
      </c>
      <c r="D698" s="143" t="inlineStr">
        <is>
          <t>EXTRAORDY SUP DISPL STG AR</t>
        </is>
      </c>
      <c r="E698" s="143" t="inlineStr">
        <is>
          <t>SY</t>
        </is>
      </c>
      <c r="F698" s="143" t="n"/>
      <c r="G698" s="143" t="n"/>
      <c r="H698" s="143" t="n"/>
      <c r="I698" s="143" t="inlineStr">
        <is>
          <t>THIS CODE REFERS TO OPEN AREAS PRIMARILY TO PROVIDE SPACE FOR THE RECEIPT, PROCESSING, STAGING AND ISSUE OF MATERIAL THAT HAS BEEN DEEMED EXCESS TO NAVY NEEDS AND IS AWAITING SOME RESALE OR FINAL DISPOSAL AND WHOSE VALUE IS NOT SIGNIFICANTLY IMPACTED BY UNCOVERED EXPOSURE TO THE ENVIRONMENT.</t>
        </is>
      </c>
    </row>
    <row r="699">
      <c r="C699" s="143" t="inlineStr">
        <is>
          <t>510 10</t>
        </is>
      </c>
      <c r="D699" s="143" t="inlineStr">
        <is>
          <t>HOSPITAL</t>
        </is>
      </c>
      <c r="E699" s="143" t="inlineStr">
        <is>
          <t>SF</t>
        </is>
      </c>
      <c r="F699" s="143" t="n"/>
      <c r="G699" s="143" t="n"/>
      <c r="H699" s="143" t="n"/>
      <c r="I699" s="143" t="inlineStr">
        <is>
          <t>A HEALTHCARE FACILITY THAT PROVIDES GENERAL AND SPECIALIZED MEDICAL CARE FOR AUTHORIZED PERSONNEL, WITH BOTH INPATIENT AND OUTPATIENT SERVICES. THIS FACILITY WILL ALSO NORMALLY CONTAIN CLINICS, SUCH AS MEDICAL, SURGICAL, PEDIATRICS, OBSTETRICAL, ICU AND CCU.</t>
        </is>
      </c>
    </row>
    <row r="700">
      <c r="C700" s="143" t="inlineStr">
        <is>
          <t>510 11</t>
        </is>
      </c>
      <c r="D700" s="143" t="inlineStr">
        <is>
          <t>MEDICAL CENTER</t>
        </is>
      </c>
      <c r="E700" s="143" t="inlineStr">
        <is>
          <t>SF</t>
        </is>
      </c>
      <c r="F700" s="143" t="n"/>
      <c r="G700" s="143" t="n"/>
      <c r="H700" s="143" t="n"/>
      <c r="I700" s="143" t="inlineStr">
        <is>
          <t>A REGIONAL MEDICAL CENTER. THESE FACILITIES SUPPORT BOTH INCREASED SURGICAL CAPABILITIES AND A SURGICAL GRADUATE EDUCATION PROGRAM, NOT REQUIRED IN SMALLER HOSPITALS. APPLIES TO BETHESDA, PORTSMOUTH AND SAN DIEGO (BALBOA).</t>
        </is>
      </c>
    </row>
    <row r="701">
      <c r="C701" s="143" t="inlineStr">
        <is>
          <t>510 12</t>
        </is>
      </c>
      <c r="D701" s="143" t="inlineStr">
        <is>
          <t>PREPOS FLT HOSP WAREHOUSE</t>
        </is>
      </c>
      <c r="E701" s="143" t="inlineStr">
        <is>
          <t>SF</t>
        </is>
      </c>
      <c r="F701" s="143" t="n"/>
      <c r="G701" s="143" t="n"/>
      <c r="H701" s="143" t="n"/>
      <c r="I701" s="143" t="inlineStr">
        <is>
          <t>FLEET (DEPLOYABLE) HOSPITAL STORAGE FACILITY.</t>
        </is>
      </c>
    </row>
    <row r="702">
      <c r="C702" s="143" t="inlineStr">
        <is>
          <t>510 15</t>
        </is>
      </c>
      <c r="D702" s="143" t="inlineStr">
        <is>
          <t>HOSPITAL BR/ANEX</t>
        </is>
      </c>
      <c r="E702" s="143" t="inlineStr">
        <is>
          <t>SF</t>
        </is>
      </c>
      <c r="F702" s="143" t="n"/>
      <c r="G702" s="143" t="n"/>
      <c r="H702" s="143" t="n"/>
      <c r="I702" s="143" t="inlineStr">
        <is>
          <t>HOSPITAL FACILITY ASSOCIATED WITH A MAIN HOSPITAL BUT IN A SEPARATE LOCATION.</t>
        </is>
      </c>
    </row>
    <row r="703">
      <c r="C703" s="143" t="inlineStr">
        <is>
          <t>510 16</t>
        </is>
      </c>
      <c r="D703" s="143" t="inlineStr">
        <is>
          <t>MEDICAL ADMIN</t>
        </is>
      </c>
      <c r="E703" s="143" t="inlineStr">
        <is>
          <t>SF</t>
        </is>
      </c>
      <c r="F703" s="143" t="n"/>
      <c r="G703" s="143" t="n"/>
      <c r="H703" s="143" t="n"/>
      <c r="I703" s="143" t="inlineStr">
        <is>
          <t>ADMINISTRATIVE FUNCTIONS ASSOCIATED WITH A HOSPITAL OR MEDICAL CENTER. CAN BE WITHIN A MEDICAL FACILITY ITSELF, OR IN A STANDALONE ADMIN FACILITY ASSOCIATED WITH A HOSPITAL OR MEDICAL CENTER.</t>
        </is>
      </c>
    </row>
    <row r="704">
      <c r="C704" s="143" t="inlineStr">
        <is>
          <t>510 20</t>
        </is>
      </c>
      <c r="D704" s="143" t="inlineStr">
        <is>
          <t>HOSPITAL LAUNDRY</t>
        </is>
      </c>
      <c r="E704" s="143" t="inlineStr">
        <is>
          <t>SF</t>
        </is>
      </c>
      <c r="F704" s="143" t="n"/>
      <c r="G704" s="143" t="n"/>
      <c r="H704" s="143" t="n"/>
      <c r="I704" s="143" t="inlineStr">
        <is>
          <t>LAUNDRY FACILITIES LOCATED WITHIN A HOSPITAL (CATCODE 510 10), USED FOR LAUNDERING OF HOSPITAL LINENS AND OTHER NECESSARY ITEMS.</t>
        </is>
      </c>
    </row>
    <row r="705">
      <c r="C705" s="143" t="inlineStr">
        <is>
          <t>510 77</t>
        </is>
      </c>
      <c r="D705" s="143" t="inlineStr">
        <is>
          <t>HOSPITAL/MED STRG(MISC)</t>
        </is>
      </c>
      <c r="E705" s="143" t="inlineStr">
        <is>
          <t>SF</t>
        </is>
      </c>
      <c r="F705" s="143" t="n"/>
      <c r="G705" s="143" t="n"/>
      <c r="H705" s="143" t="n"/>
      <c r="I705" s="143" t="inlineStr">
        <is>
          <t>SPACE USED FOR STORAGE OF MEDICAL SUPPLIES WITHIN THE HOSPITAL FACILITY.</t>
        </is>
      </c>
    </row>
    <row r="706">
      <c r="C706" s="143" t="inlineStr">
        <is>
          <t>530 10</t>
        </is>
      </c>
      <c r="D706" s="143" t="inlineStr">
        <is>
          <t>DISP &amp; OUT PATIENT CLINIC</t>
        </is>
      </c>
      <c r="E706" s="143" t="inlineStr">
        <is>
          <t>SF</t>
        </is>
      </c>
      <c r="F706" s="143" t="n"/>
      <c r="G706" s="143" t="n"/>
      <c r="H706" s="143" t="n"/>
      <c r="I706" s="143" t="inlineStr">
        <is>
          <t>FREE STANDING CLINIC, OUTPATIENT CLINIC, WHICH OCCUPIES A BUILDING OR PART OF A BUILDING, BUT IS NOT PHYSICALLY LOCATED WITH A HOSPITAL OR MEDICAL CENTER THAT PROVIDES ROUTINE AND EMERGENCY CARE TO AUTHORIZED PERSONNEL.</t>
        </is>
      </c>
    </row>
    <row r="707">
      <c r="C707" s="143" t="inlineStr">
        <is>
          <t>530 20</t>
        </is>
      </c>
      <c r="D707" s="143" t="inlineStr">
        <is>
          <t>MEDICAL LABORATORY</t>
        </is>
      </c>
      <c r="E707" s="143" t="inlineStr">
        <is>
          <t>SF</t>
        </is>
      </c>
      <c r="F707" s="143" t="n"/>
      <c r="G707" s="143" t="n"/>
      <c r="H707" s="143" t="n"/>
      <c r="I707" s="143" t="inlineStr">
        <is>
          <t>A FACILITY, DETACHED FROM A HOSPITAL THAT PROVIDES LABORATORY SUPPORT TO THE HOSPITAL AND/OR OTHER MEDICAL ACTIVITIES. THE ANALYSIS AND DIAGNOSTIC LABORATORY INCLUDES CHEMISTRY, DIAGNOSTICS AND MICROBIOLOGY TESTING SECTIONS AND A QUALITY ASSURANCE AND TECHNICAL SUPPORT SECTION.</t>
        </is>
      </c>
    </row>
    <row r="708">
      <c r="C708" s="143" t="inlineStr">
        <is>
          <t>530 25</t>
        </is>
      </c>
      <c r="D708" s="143" t="inlineStr">
        <is>
          <t>NAVY MEDICAL PHARMACY</t>
        </is>
      </c>
      <c r="E708" s="143" t="inlineStr">
        <is>
          <t>SF</t>
        </is>
      </c>
      <c r="F708" s="143" t="n"/>
      <c r="G708" s="143" t="n"/>
      <c r="H708" s="143" t="n"/>
      <c r="I708" s="143" t="inlineStr">
        <is>
          <t>A DETACHED FACILITY THAT PROVIDES ROUTINE AND EMERGENCY HEALTH CARE TO AUTHORIZED PERSONNEL.</t>
        </is>
      </c>
    </row>
    <row r="709">
      <c r="C709" s="143" t="inlineStr">
        <is>
          <t>530 30</t>
        </is>
      </c>
      <c r="D709" s="143" t="inlineStr">
        <is>
          <t>MORGUE</t>
        </is>
      </c>
      <c r="E709" s="143" t="inlineStr">
        <is>
          <t>SF</t>
        </is>
      </c>
      <c r="F709" s="143" t="n"/>
      <c r="G709" s="143" t="n"/>
      <c r="H709" s="143" t="n"/>
      <c r="I709" s="143" t="inlineStr">
        <is>
          <t>A FACILITY, EITHER DETACHED OR WITHIN A HOSPITAL, FOR THE IDENTIFICATION, PREPARATION, AND HOLDING OF HUMAN REMAINS.</t>
        </is>
      </c>
    </row>
    <row r="710">
      <c r="C710" s="143" t="inlineStr">
        <is>
          <t>530 40</t>
        </is>
      </c>
      <c r="D710" s="143" t="inlineStr">
        <is>
          <t>VIVARIUM CLINIC</t>
        </is>
      </c>
      <c r="E710" s="143" t="inlineStr">
        <is>
          <t>SF</t>
        </is>
      </c>
      <c r="F710" s="143" t="n"/>
      <c r="G710" s="143" t="n"/>
      <c r="H710" s="143" t="n"/>
      <c r="I710" s="143" t="inlineStr">
        <is>
          <t>THE VIVARIUM CLINIC IS A MEDICAL RESEARCH LABORATORY FOR KEEPING AND RAISING ANIMALS AND PLANTS UNDER NATURAL CONDITIONS FOR OBSERVATION AND RESEARCH.</t>
        </is>
      </c>
    </row>
    <row r="711">
      <c r="C711" s="143" t="inlineStr">
        <is>
          <t>530 45</t>
        </is>
      </c>
      <c r="D711" s="143" t="inlineStr">
        <is>
          <t>VET TREATMENT FAC</t>
        </is>
      </c>
      <c r="E711" s="143" t="inlineStr">
        <is>
          <t>SF</t>
        </is>
      </c>
      <c r="F711" s="143" t="n"/>
      <c r="G711" s="143" t="n"/>
      <c r="H711" s="143" t="n"/>
      <c r="I711" s="143" t="inlineStr">
        <is>
          <t>THIS FACILITY IS USED TO PROVIDE FOOD SAFETY AND QUALITY ASSURANCE, CARE FOR GOVERNMENT OWNED ANIMALS (WORKING DOGS AND HORSES), AND ANIMAL DISEASE PREVENTION AND CONTROL. VETERINARY SERVICES ARE TO EXAMINE, IMMUNIZE AND TREAT FOR THE PREVENTION AND CONTROL OF DISEASES OR CONDITIONS THAT ARE TRANSMISSIBLE TO HUMANS OR ANIMALS, OR MAY CONSTITUTE A MILITARY COMMUNITY HEALTH PROBLEM.</t>
        </is>
      </c>
    </row>
    <row r="712">
      <c r="C712" s="143" t="inlineStr">
        <is>
          <t>530 50</t>
        </is>
      </c>
      <c r="D712" s="143" t="inlineStr">
        <is>
          <t>ENVIRONMNTL PREVNTV MED LB</t>
        </is>
      </c>
      <c r="E712" s="143" t="inlineStr">
        <is>
          <t>SF</t>
        </is>
      </c>
      <c r="F712" s="143" t="n"/>
      <c r="G712" s="143" t="n"/>
      <c r="H712" s="143" t="n"/>
      <c r="I712" s="143" t="inlineStr">
        <is>
          <t>MEDICAL LABORATORY OPERATING IN SUPPORT OF A HOSPITAL OR MEDICAL CENTER.</t>
        </is>
      </c>
    </row>
    <row r="713">
      <c r="C713" s="143" t="inlineStr">
        <is>
          <t>530 60</t>
        </is>
      </c>
      <c r="D713" s="143" t="inlineStr">
        <is>
          <t>MEDICAL WAREHOUSE</t>
        </is>
      </c>
      <c r="E713" s="143" t="inlineStr">
        <is>
          <t>SF</t>
        </is>
      </c>
      <c r="F713" s="143" t="n"/>
      <c r="G713" s="143" t="n"/>
      <c r="H713" s="143" t="n"/>
      <c r="I713" s="143" t="inlineStr">
        <is>
          <t>A STORAGE FACILITY FOR MEDICAL EQUIPMENT AND SUPPLIES THAT IS CONTINUOUSLY WITHDRAWN AND REPLENISHED. STORAGE OF WAR RESERVE MEDICAL SUPPLIES IS INCLUDED IN DEPOT STORAGE FACILITIES.</t>
        </is>
      </c>
    </row>
    <row r="714">
      <c r="C714" s="143" t="inlineStr">
        <is>
          <t>530 70</t>
        </is>
      </c>
      <c r="D714" s="143" t="inlineStr">
        <is>
          <t>AMBUL SHELTER</t>
        </is>
      </c>
      <c r="E714" s="143" t="inlineStr">
        <is>
          <t>SF</t>
        </is>
      </c>
      <c r="F714" s="143" t="n"/>
      <c r="G714" s="143" t="n"/>
      <c r="H714" s="143" t="n"/>
      <c r="I714" s="143" t="inlineStr">
        <is>
          <t>A COVERED SPACE USED TO SHIELD THE AMBULANCE, ITS DRIVER AND ITS PATIENTS FROM EXPOSURE TO THE ELEMENTS.</t>
        </is>
      </c>
    </row>
    <row r="715">
      <c r="C715" s="143" t="inlineStr">
        <is>
          <t>540 10</t>
        </is>
      </c>
      <c r="D715" s="143" t="inlineStr">
        <is>
          <t>DENTAL CLINIC</t>
        </is>
      </c>
      <c r="E715" s="143" t="inlineStr">
        <is>
          <t>SF</t>
        </is>
      </c>
      <c r="F715" s="143" t="n"/>
      <c r="G715" s="143" t="n"/>
      <c r="H715" s="143" t="n"/>
      <c r="I715" s="143" t="inlineStr">
        <is>
          <t>A DENTAL CLINIC IS AN ORAL HEALTH CARE SERVICE FACILITY EQUIPPED AND STAFFED TO PERFORM DENTAL PROCEDURES FOR GENERAL PRACTICES, A SPECIALTY, OR A GROUPING OF SPECIALTIES.</t>
        </is>
      </c>
    </row>
    <row r="716">
      <c r="C716" s="143" t="inlineStr">
        <is>
          <t>550 10</t>
        </is>
      </c>
      <c r="D716" s="143" t="inlineStr">
        <is>
          <t>PRIM CARE CLINIC</t>
        </is>
      </c>
      <c r="E716" s="143" t="inlineStr">
        <is>
          <t>SF</t>
        </is>
      </c>
      <c r="F716" s="143" t="n"/>
      <c r="G716" s="143" t="n"/>
      <c r="H716" s="143" t="n"/>
      <c r="I716" s="143" t="inlineStr">
        <is>
          <t>A PRIMARY CARE CLINIC MAY BE REFERRED BY VARIOUS NAMES (TROOP MEDICAL CLINIC, ADULT CLINIC, FAMILY PRACTICE CLINIC, OCC HEALTH, OUTPATIENT, AND OTHERS). A PRIMARY CARE CLINIC PROVIDES THE OFFICE, EXAMINATION AND TREATMENT SPACE FOR ¿PRIMARY CARE MANAGERS¿.</t>
        </is>
      </c>
    </row>
    <row r="717">
      <c r="C717" s="143" t="inlineStr">
        <is>
          <t>550 20</t>
        </is>
      </c>
      <c r="D717" s="143" t="inlineStr">
        <is>
          <t>AMBULATORY CARE CENTER</t>
        </is>
      </c>
      <c r="E717" s="143" t="inlineStr">
        <is>
          <t>SF</t>
        </is>
      </c>
      <c r="F717" s="143" t="n"/>
      <c r="G717" s="143" t="n"/>
      <c r="H717" s="143" t="n"/>
      <c r="I717" s="143" t="inlineStr">
        <is>
          <t>A HEALTH CARE FACILITY CAPABLE OF PERFORMING OUTPATIENT SURGICAL PROCEDURES AND OTHER MEDICAL TREATMENT, NOT REQUIRING EXTENSIVE PATIENT CONVALESCENCE OR OVERNIGHT OBSERVATION.</t>
        </is>
      </c>
    </row>
    <row r="718">
      <c r="C718" s="143" t="inlineStr">
        <is>
          <t>550 30</t>
        </is>
      </c>
      <c r="D718" s="143" t="inlineStr">
        <is>
          <t>SUBSTANCE ABUSE REHAB PRGM</t>
        </is>
      </c>
      <c r="E718" s="143" t="inlineStr">
        <is>
          <t>SF</t>
        </is>
      </c>
      <c r="F718" s="143" t="n"/>
      <c r="G718" s="143" t="n"/>
      <c r="H718" s="143" t="n"/>
      <c r="I718" s="143" t="inlineStr">
        <is>
          <t>THIS FACILITY WILL PROVIDE THE NECESSARY ADMINISTRATION, COUNSELING, TRAINING, BERTHING, AND RECREATION FOR REHABILITATION OF ELIGIBLE NAVY, MARINE CORPS AND OTHER PERSONNEL SUFFERING FROM ALCOHOLISM, DRUG DEPENDENCY AND/OR COMPULSIVE OVEREATING.</t>
        </is>
      </c>
    </row>
    <row r="719">
      <c r="C719" s="143" t="inlineStr">
        <is>
          <t>610 10</t>
        </is>
      </c>
      <c r="D719" s="143" t="inlineStr">
        <is>
          <t>ADMINISTRATIVE OFFICE</t>
        </is>
      </c>
      <c r="E719" s="143" t="inlineStr">
        <is>
          <t>SF</t>
        </is>
      </c>
      <c r="F719" s="143" t="n"/>
      <c r="G719" s="143" t="n"/>
      <c r="H719" s="143" t="n"/>
      <c r="I719" s="143" t="inlineStr">
        <is>
          <t>THIS FACILITY ACCOMMODATES THE EXECUTIVE AND STAFF FUNCTIONS OF THE STATION OR OF A PARTICULAR DEPARTMENT. THE FUNCTIONS PERFORMED IN AN ADMINISTRATIVE OFFICE ARE PRIMARILY LOGISTICAL AND PERSONNEL MANAGEMENT AS DISTINGUISHED FROM TACTICAL AND STRATEGIC ACTIVITIES.</t>
        </is>
      </c>
    </row>
    <row r="720">
      <c r="C720" s="143" t="inlineStr">
        <is>
          <t>610 30</t>
        </is>
      </c>
      <c r="D720" s="143" t="inlineStr">
        <is>
          <t>CLASSMATTER INCINERTR BLD</t>
        </is>
      </c>
      <c r="E720" s="143" t="inlineStr">
        <is>
          <t>SF</t>
        </is>
      </c>
      <c r="F720" s="143" t="n"/>
      <c r="G720" s="143" t="n"/>
      <c r="H720" s="143" t="n"/>
      <c r="I720" s="143" t="inlineStr">
        <is>
          <t>A STAND ALONE FACILITY SOLELY FOR THE PURPOSE OF DESTRUCTION OF CLASSIFIED MATERIALS EITHER THROUGH INCINERATION OR SHREDDING.</t>
        </is>
      </c>
    </row>
    <row r="721">
      <c r="C721" s="143" t="inlineStr">
        <is>
          <t>610 40</t>
        </is>
      </c>
      <c r="D721" s="143" t="inlineStr">
        <is>
          <t>LEGAL SERVICES FACILITY</t>
        </is>
      </c>
      <c r="E721" s="143" t="inlineStr">
        <is>
          <t>SF</t>
        </is>
      </c>
      <c r="F721" s="143" t="n"/>
      <c r="G721" s="143" t="n"/>
      <c r="H721" s="143" t="n"/>
      <c r="I721" s="143" t="inlineStr">
        <is>
          <t>NAVAL LEGAL SERVICE OFFICES (NLSO), REGIONAL LEGAL SERVICE OFFICES (RLSO), JUDICIARY OFFICES, AND CLAIMS CENTERS PROVIDE COMPREHENSIVE LEGAL SERVICES TO COMMAND AND INDIVIDUAL CLIENTS. THESE SERVICES INCLUDE SAFE AND SECURE TRIALS BY COURT-MARTIAL, ADMINISTRATIVE DISCHARGE PROCEEDINGS AND OTHER PERSONNEL ACTIONS, ADJUDICATION OF CLAIMS, LEGAL ASSISTANCE, AND COMMAND ADVICE.</t>
        </is>
      </c>
    </row>
    <row r="722">
      <c r="C722" s="143" t="inlineStr">
        <is>
          <t>610 50</t>
        </is>
      </c>
      <c r="D722" s="143" t="inlineStr">
        <is>
          <t>AUSTERE ADMIN FACILITY</t>
        </is>
      </c>
      <c r="E722" s="143" t="inlineStr">
        <is>
          <t>SF</t>
        </is>
      </c>
      <c r="F722" s="143" t="n"/>
      <c r="G722" s="143" t="n"/>
      <c r="H722" s="143" t="n"/>
      <c r="I722" s="143" t="inlineStr">
        <is>
          <t>AUSTERE ADMIN. FACILITIES ACCOMMODATE THE EXECUTIVE AND STAFF FUNCTIONS AT DESIGNATED AUSTERE NAVAL INSTALLATIONS. THE FUNCTIONS PERFORMED IN AN ADMIN. OFFICE ARE PRIMARILY LOGISTICAL AND PERSONNEL MANAGEMENT. THEY ARE INTENDED TO PROVIDE THE MINIMUM FOOTPRINT AREA AND FINISH SUPPORTING ADMIN. FUNCTIONS WHILE PROVIDING MINIMAL UP FRONT AND TOTAL COSTS IN COMPARISON TO NON- AUSTERE FACILITIES.</t>
        </is>
      </c>
    </row>
    <row r="723">
      <c r="C723" s="143" t="inlineStr">
        <is>
          <t>610 70</t>
        </is>
      </c>
      <c r="D723" s="143" t="inlineStr">
        <is>
          <t>DIVISION/WING HQ (MARCOR)</t>
        </is>
      </c>
      <c r="E723" s="143" t="inlineStr">
        <is>
          <t>SF</t>
        </is>
      </c>
      <c r="F723" s="143" t="n"/>
      <c r="G723" s="143" t="n"/>
      <c r="H723" s="143" t="n"/>
      <c r="I723" s="143" t="inlineStr">
        <is>
          <t>THIS CATEGORY CODE IS FOR A FLEET MARINE FORCE (FMF) FACILITY AND PROVIDES THE NECESSARY ADMINISTRATIVE SPACE TO CONDUCT THE DAY-TO-DAY OPERATIONS OF A MARINE DIVISION HEADQUARTERS OR A MARINE AIRCRAFT WING HEADQUARTERS.</t>
        </is>
      </c>
    </row>
    <row r="724">
      <c r="C724" s="143" t="inlineStr">
        <is>
          <t>610 71</t>
        </is>
      </c>
      <c r="D724" s="143" t="inlineStr">
        <is>
          <t>REGMT/GROUP HQ (MARCOR)</t>
        </is>
      </c>
      <c r="E724" s="143" t="inlineStr">
        <is>
          <t>SF</t>
        </is>
      </c>
      <c r="F724" s="143" t="n"/>
      <c r="G724" s="143" t="n"/>
      <c r="H724" s="143" t="n"/>
      <c r="I724" s="143" t="inlineStr">
        <is>
          <t>THIS CATEGORY CODE IS FOR A FLEET MARINE FORCE (FMF) FACILITY AND PROVIDES THE NECESSARY ADMINISTRATIVE SPACE TO CONDUCT THE DAY-TO-DAY OPERATIONS OF A MARINE REGIMENTAL HEADQUARTERS OR A MARINE AIRCRAFT GROUP HEADQUARTERS.</t>
        </is>
      </c>
    </row>
    <row r="725">
      <c r="C725" s="143" t="inlineStr">
        <is>
          <t>610 72</t>
        </is>
      </c>
      <c r="D725" s="143" t="inlineStr">
        <is>
          <t>BATTLN SQUADRN HQ (MARCOR)</t>
        </is>
      </c>
      <c r="E725" s="143" t="inlineStr">
        <is>
          <t>SF</t>
        </is>
      </c>
      <c r="F725" s="143" t="n"/>
      <c r="G725" s="143" t="n"/>
      <c r="H725" s="143" t="n"/>
      <c r="I725" s="143" t="inlineStr">
        <is>
          <t>THIS CATEGORY CODE IS FOR A FLEET MARINE FORCE (FMF) FACILITY AND PROVIDES THE NECESSARY ADMINISTRATIVE SPACE TO CONDUCT THE DAY-TO-DAY OPERATIONS OF A MARINE BATTALION OR A SQUADRON HEADQUARTERS.</t>
        </is>
      </c>
    </row>
    <row r="726">
      <c r="C726" s="143" t="inlineStr">
        <is>
          <t>610 73</t>
        </is>
      </c>
      <c r="D726" s="143" t="inlineStr">
        <is>
          <t>COMPANY/BATTERY HQ(MARCOR)</t>
        </is>
      </c>
      <c r="E726" s="143" t="inlineStr">
        <is>
          <t>SF</t>
        </is>
      </c>
      <c r="F726" s="143" t="n"/>
      <c r="G726" s="143" t="n"/>
      <c r="H726" s="143" t="n"/>
      <c r="I726" s="143" t="inlineStr">
        <is>
          <t>THE CATEGORY CODE IS FOR A FLEET MARINE FORCE (FMF) FACILITY AND IS INTENDED FOR THOSE FMF UNITS OF COMPANY OR BATTERY SIZE WHICH REQUIRE SEPARATE ADMINISTRATIVE FACILITIES.</t>
        </is>
      </c>
    </row>
    <row r="727">
      <c r="C727" s="143" t="inlineStr">
        <is>
          <t>610 74</t>
        </is>
      </c>
      <c r="D727" s="143" t="inlineStr">
        <is>
          <t>GARRISON AID STA, MARCOR</t>
        </is>
      </c>
      <c r="E727" s="143" t="inlineStr">
        <is>
          <t>SF</t>
        </is>
      </c>
      <c r="F727" s="143" t="n"/>
      <c r="G727" s="143" t="n"/>
      <c r="H727" s="143" t="n"/>
      <c r="I727" s="143" t="inlineStr">
        <is>
          <t>A GARRISON AID STATION PROVIDES MEDICAL CARE AT THE LOCAL LEVEL FOR THE MARINE CORPS AND GENERALLY WILL BE COLLOCATED WITH THE BATTALION AND REGIMENTAL HQ FACILITIES. THE FUNCTIONS PERFORMED IN THIS FACILITY ARE BOTH ADMIN AND CLINICAL IN NATURE WHICH REQUIRES SPACE FOR THE MEDICAL PERSONNEL ASSIGNED AT THE BATTALION, SQUADRON, AND REGIMENTAL LEVELS TO WORK AND SPACE FOR MEDICAL FILE STORAGE.</t>
        </is>
      </c>
    </row>
    <row r="728">
      <c r="C728" s="143" t="inlineStr">
        <is>
          <t>610 77</t>
        </is>
      </c>
      <c r="D728" s="143" t="inlineStr">
        <is>
          <t>ADMIN STORAGE (MISC)</t>
        </is>
      </c>
      <c r="E728" s="143" t="inlineStr">
        <is>
          <t>SF</t>
        </is>
      </c>
      <c r="F728" s="143" t="n"/>
      <c r="G728" s="143" t="n"/>
      <c r="H728" s="143" t="n"/>
      <c r="I728" s="143" t="inlineStr">
        <is>
          <t>STORAGE FACILITIES FOR MISCELLANEOUS EQUIPMENT OR GOODS RELATED TO ADMINISTRATIVE FACILITY SUPPORT.</t>
        </is>
      </c>
    </row>
    <row r="729">
      <c r="C729" s="143" t="inlineStr">
        <is>
          <t>620 10</t>
        </is>
      </c>
      <c r="D729" s="143" t="inlineStr">
        <is>
          <t>ADMIN FACILITY UNDERGROUND</t>
        </is>
      </c>
      <c r="E729" s="143" t="inlineStr">
        <is>
          <t>SF</t>
        </is>
      </c>
      <c r="F729" s="143" t="n"/>
      <c r="G729" s="143" t="n"/>
      <c r="H729" s="143" t="n"/>
      <c r="I729" s="143" t="inlineStr">
        <is>
          <t>UNDERGROUND ADMINISTRATIVE FACILITY, UTILIZED WHERE SECURITY PROVIDED BY UNDERGROUND LOCATION IS WARRANTED AND APPROVED BY HIGHER HEADQUARTERS.</t>
        </is>
      </c>
    </row>
    <row r="730">
      <c r="C730" s="143" t="inlineStr">
        <is>
          <t>620 77</t>
        </is>
      </c>
      <c r="D730" s="143" t="inlineStr">
        <is>
          <t>UNDERGRND ADMIN STRG(MISC)</t>
        </is>
      </c>
      <c r="E730" s="143" t="inlineStr">
        <is>
          <t>SF</t>
        </is>
      </c>
      <c r="F730" s="143" t="n"/>
      <c r="G730" s="143" t="n"/>
      <c r="H730" s="143" t="n"/>
      <c r="I730" s="143" t="inlineStr">
        <is>
          <t>UNDERGROUND ADMINISTRATIVE STORAGE FACILITY, UTILIZED WHERE SECURITY PROVIDED BY UNDERGROUND LOCATION IS WARRANTED AND APPROVED BY HIGHER HEADQUARTERS.</t>
        </is>
      </c>
    </row>
    <row r="731">
      <c r="C731" s="143" t="inlineStr">
        <is>
          <t>690 10</t>
        </is>
      </c>
      <c r="D731" s="143" t="inlineStr">
        <is>
          <t>FLAGPOLE/BILLBD/ MARKER</t>
        </is>
      </c>
      <c r="E731" s="143" t="inlineStr">
        <is>
          <t>EA</t>
        </is>
      </c>
      <c r="F731" s="143" t="n"/>
      <c r="G731" s="143" t="n"/>
      <c r="H731" s="143" t="n"/>
      <c r="I731" s="143" t="inlineStr">
        <is>
          <t>NO PLANNING FACTORS ARE AVAILABLE. PROVIDE FACILITIES AS REQUIRED.</t>
        </is>
      </c>
    </row>
    <row r="732">
      <c r="C732" s="143" t="inlineStr">
        <is>
          <t>690 15</t>
        </is>
      </c>
      <c r="D732" s="143" t="inlineStr">
        <is>
          <t>SALUTING BATTERY GUN MOUNT</t>
        </is>
      </c>
      <c r="E732" s="143" t="inlineStr">
        <is>
          <t>EA</t>
        </is>
      </c>
      <c r="F732" s="143" t="n"/>
      <c r="G732" s="143" t="n"/>
      <c r="H732" s="143" t="n"/>
      <c r="I732" s="143" t="inlineStr">
        <is>
          <t>NO PLANNING FACTORS ARE AVAILABLE. PROVIDE FACILITIES AS REQUIRED.</t>
        </is>
      </c>
    </row>
    <row r="733">
      <c r="C733" s="143" t="inlineStr">
        <is>
          <t>690 25</t>
        </is>
      </c>
      <c r="D733" s="143" t="inlineStr">
        <is>
          <t>REVIEWING STAND</t>
        </is>
      </c>
      <c r="E733" s="143" t="inlineStr">
        <is>
          <t>EA</t>
        </is>
      </c>
      <c r="F733" s="143" t="n"/>
      <c r="G733" s="143" t="n"/>
      <c r="H733" s="143" t="n"/>
      <c r="I733" s="143" t="inlineStr">
        <is>
          <t>NO PLANNING FACTORS ARE AVAILABLE. PROVIDE FACILITIES AS REQUIRED.</t>
        </is>
      </c>
    </row>
    <row r="734">
      <c r="C734" s="143" t="inlineStr">
        <is>
          <t>690 30</t>
        </is>
      </c>
      <c r="D734" s="143" t="inlineStr">
        <is>
          <t>CLAS MATERIAL INCIN/NO BLD</t>
        </is>
      </c>
      <c r="E734" s="143" t="inlineStr">
        <is>
          <t>EA</t>
        </is>
      </c>
      <c r="F734" s="143" t="n"/>
      <c r="G734" s="143" t="n"/>
      <c r="H734" s="143" t="n"/>
      <c r="I734" s="143" t="inlineStr">
        <is>
          <t>A FACILITY SIMILAR TO 610 30, THAT IS LOCATED INSIDE ANOTHER BUILDING INSTEAD OF A STAND ALONE STRUCTURE.</t>
        </is>
      </c>
    </row>
    <row r="735">
      <c r="C735" s="143" t="inlineStr">
        <is>
          <t>711 20</t>
        </is>
      </c>
      <c r="D735" s="143" t="inlineStr">
        <is>
          <t>WHERRY HSG</t>
        </is>
      </c>
      <c r="E735" s="143" t="inlineStr">
        <is>
          <t>SF</t>
        </is>
      </c>
      <c r="F735" s="143" t="n"/>
      <c r="G735" s="143" t="n"/>
      <c r="H735" s="143" t="n"/>
      <c r="I735" s="143" t="inlineStr">
        <is>
          <t>WHERRY HOUSING, ALL RANKS</t>
        </is>
      </c>
    </row>
    <row r="736">
      <c r="C736" s="143" t="inlineStr">
        <is>
          <t>711 25</t>
        </is>
      </c>
      <c r="D736" s="143" t="inlineStr">
        <is>
          <t>CAPEHT HSG</t>
        </is>
      </c>
      <c r="E736" s="143" t="inlineStr">
        <is>
          <t>SF</t>
        </is>
      </c>
      <c r="F736" s="143" t="n"/>
      <c r="G736" s="143" t="n"/>
      <c r="H736" s="143" t="n"/>
      <c r="I736" s="143" t="inlineStr">
        <is>
          <t>CAPEHART HOUSING, THRU O6.</t>
        </is>
      </c>
    </row>
    <row r="737">
      <c r="C737" s="143" t="inlineStr">
        <is>
          <t>711 29</t>
        </is>
      </c>
      <c r="D737" s="143" t="inlineStr">
        <is>
          <t>CAPEHT HSG,O- 7/O-10</t>
        </is>
      </c>
      <c r="E737" s="143" t="inlineStr">
        <is>
          <t>SF</t>
        </is>
      </c>
      <c r="F737" s="143" t="n"/>
      <c r="G737" s="143" t="n"/>
      <c r="H737" s="143" t="n"/>
      <c r="I737" s="143" t="inlineStr">
        <is>
          <t>CAPEHART HOUSING, O7-O10.</t>
        </is>
      </c>
    </row>
    <row r="738">
      <c r="C738" s="143" t="inlineStr">
        <is>
          <t>711 30</t>
        </is>
      </c>
      <c r="D738" s="143" t="inlineStr">
        <is>
          <t>FAM HSG THRU O6</t>
        </is>
      </c>
      <c r="E738" s="143" t="inlineStr">
        <is>
          <t>SF</t>
        </is>
      </c>
      <c r="F738" s="143" t="n"/>
      <c r="G738" s="143" t="n"/>
      <c r="H738" s="143" t="n"/>
      <c r="I738" s="143" t="inlineStr">
        <is>
          <t>FAMILY HOUSING THRU O6</t>
        </is>
      </c>
    </row>
    <row r="739">
      <c r="C739" s="143" t="inlineStr">
        <is>
          <t>711 34</t>
        </is>
      </c>
      <c r="D739" s="143" t="inlineStr">
        <is>
          <t>FAM HSG O7 - O10</t>
        </is>
      </c>
      <c r="E739" s="143" t="inlineStr">
        <is>
          <t>SF</t>
        </is>
      </c>
      <c r="F739" s="143" t="n"/>
      <c r="G739" s="143" t="n"/>
      <c r="H739" s="143" t="n"/>
      <c r="I739" s="143" t="inlineStr">
        <is>
          <t>FAMILY HOUSING O7 - O10</t>
        </is>
      </c>
    </row>
    <row r="740">
      <c r="C740" s="143" t="inlineStr">
        <is>
          <t>711 35</t>
        </is>
      </c>
      <c r="D740" s="143" t="inlineStr">
        <is>
          <t>LEASED HSG</t>
        </is>
      </c>
      <c r="E740" s="143" t="inlineStr">
        <is>
          <t>SF</t>
        </is>
      </c>
      <c r="F740" s="143" t="n"/>
      <c r="G740" s="143" t="n"/>
      <c r="H740" s="143" t="n"/>
      <c r="I740" s="143" t="inlineStr">
        <is>
          <t>LEASED HOUSING THRU O6</t>
        </is>
      </c>
    </row>
    <row r="741">
      <c r="C741" s="143" t="inlineStr">
        <is>
          <t>711 39</t>
        </is>
      </c>
      <c r="D741" s="143" t="inlineStr">
        <is>
          <t>LEASED HSG,O- 7/O-10</t>
        </is>
      </c>
      <c r="E741" s="143" t="inlineStr">
        <is>
          <t>SF</t>
        </is>
      </c>
      <c r="F741" s="143" t="n"/>
      <c r="G741" s="143" t="n"/>
      <c r="H741" s="143" t="n"/>
      <c r="I741" s="143" t="inlineStr">
        <is>
          <t>LEASED HOUSING, O7-O10.</t>
        </is>
      </c>
    </row>
    <row r="742">
      <c r="C742" s="143" t="inlineStr">
        <is>
          <t>711 45</t>
        </is>
      </c>
      <c r="D742" s="143" t="inlineStr">
        <is>
          <t>RELOCATABLE HSG</t>
        </is>
      </c>
      <c r="E742" s="143" t="inlineStr">
        <is>
          <t>SF</t>
        </is>
      </c>
      <c r="F742" s="143" t="n"/>
      <c r="G742" s="143" t="n"/>
      <c r="H742" s="143" t="n"/>
      <c r="I742" s="143" t="inlineStr">
        <is>
          <t>RELOCATABLE HOUSING, ALL RANKS.</t>
        </is>
      </c>
    </row>
    <row r="743">
      <c r="C743" s="143" t="inlineStr">
        <is>
          <t>711 50</t>
        </is>
      </c>
      <c r="D743" s="143" t="inlineStr">
        <is>
          <t>SURP COMMDTY HSG</t>
        </is>
      </c>
      <c r="E743" s="143" t="inlineStr">
        <is>
          <t>SF</t>
        </is>
      </c>
      <c r="F743" s="143" t="n"/>
      <c r="G743" s="143" t="n"/>
      <c r="H743" s="143" t="n"/>
      <c r="I743" s="143" t="inlineStr">
        <is>
          <t>SURPLUS COMMODITY HOUSING, ALL RANKS.</t>
        </is>
      </c>
    </row>
    <row r="744">
      <c r="C744" s="143" t="inlineStr">
        <is>
          <t>711 55</t>
        </is>
      </c>
      <c r="D744" s="143" t="inlineStr">
        <is>
          <t>FOREIGN SOURCE HSG THRU 06</t>
        </is>
      </c>
      <c r="E744" s="143" t="inlineStr">
        <is>
          <t>SF</t>
        </is>
      </c>
      <c r="F744" s="143" t="n"/>
      <c r="G744" s="143" t="n"/>
      <c r="H744" s="143" t="n"/>
      <c r="I744" s="143" t="inlineStr">
        <is>
          <t>FOREIGN SOURCE HOUSING THRU O6</t>
        </is>
      </c>
    </row>
    <row r="745">
      <c r="C745" s="143" t="inlineStr">
        <is>
          <t>711 59</t>
        </is>
      </c>
      <c r="D745" s="143" t="inlineStr">
        <is>
          <t>FOR'N SOURCE HSG,O-7/O-10</t>
        </is>
      </c>
      <c r="E745" s="143" t="inlineStr">
        <is>
          <t>SF</t>
        </is>
      </c>
      <c r="F745" s="143" t="n"/>
      <c r="G745" s="143" t="n"/>
      <c r="H745" s="143" t="n"/>
      <c r="I745" s="143" t="inlineStr">
        <is>
          <t>FOREIGN SOURCE HOUSING, O7-O10.</t>
        </is>
      </c>
    </row>
    <row r="746">
      <c r="C746" s="143" t="inlineStr">
        <is>
          <t>713 11</t>
        </is>
      </c>
      <c r="D746" s="143" t="inlineStr">
        <is>
          <t>TRAILER SITE,PRVT TRAILERS</t>
        </is>
      </c>
      <c r="E746" s="143" t="inlineStr">
        <is>
          <t>SY</t>
        </is>
      </c>
      <c r="F746" s="143" t="n"/>
      <c r="G746" s="143" t="n"/>
      <c r="H746" s="143" t="n"/>
      <c r="I746" s="143" t="inlineStr">
        <is>
          <t>THIS GROUP INCLUDES SINGLE AND/OR DOUBLE WIDE MANUFACTURED HOUSING PARKING SITES WITH APPURTENANT UTILITY CONNECTIONS; ROADS; WALKS; STORAGE SHEDS; LAUNDRY AND RECREATIONAL FACILITIES.</t>
        </is>
      </c>
    </row>
    <row r="747">
      <c r="C747" s="143" t="inlineStr">
        <is>
          <t>714 10</t>
        </is>
      </c>
      <c r="D747" s="143" t="inlineStr">
        <is>
          <t>DETACHED GARAGES</t>
        </is>
      </c>
      <c r="E747" s="143" t="inlineStr">
        <is>
          <t>SF</t>
        </is>
      </c>
      <c r="F747" s="143" t="n"/>
      <c r="G747" s="143" t="n"/>
      <c r="H747" s="143" t="n"/>
      <c r="I747" s="143" t="inlineStr">
        <is>
          <t>DETACHED GARAGES ARE BUILDINGS SEPARATED FROM FAMILY QUARTERS, BUT AVAILABLE TO THE OCCUPANTS.</t>
        </is>
      </c>
    </row>
    <row r="748">
      <c r="C748" s="143" t="inlineStr">
        <is>
          <t>714 20</t>
        </is>
      </c>
      <c r="D748" s="143" t="inlineStr">
        <is>
          <t>DETACHED CARPORTS</t>
        </is>
      </c>
      <c r="E748" s="143" t="inlineStr">
        <is>
          <t>SF</t>
        </is>
      </c>
      <c r="F748" s="143" t="n"/>
      <c r="G748" s="143" t="n"/>
      <c r="H748" s="143" t="n"/>
      <c r="I748" s="143" t="inlineStr">
        <is>
          <t>DETACHED CARPORTS ARE ALSO PROVIDED ON THE BASIS OF ONE PER LIVING UNIT AND A SPACE ALLOWANCE OF ONE VEHICLE PER CARPORT.</t>
        </is>
      </c>
    </row>
    <row r="749">
      <c r="C749" s="143" t="inlineStr">
        <is>
          <t>714 30</t>
        </is>
      </c>
      <c r="D749" s="143" t="inlineStr">
        <is>
          <t>FAMILY HSG OTHER DET BLDG</t>
        </is>
      </c>
      <c r="E749" s="143" t="inlineStr">
        <is>
          <t>SF</t>
        </is>
      </c>
      <c r="F749" s="143" t="n"/>
      <c r="G749" s="143" t="n"/>
      <c r="H749" s="143" t="n"/>
      <c r="I749" s="143" t="inlineStr">
        <is>
          <t>THESE CODES ARE FOR INVENTORY PURPOSES ONLY AND ARE TO BE USED FOR MINOR DETACHED BUILDINGS DIRECTLY RELATING TO A PARTICULAR FAMILY DWELLING.</t>
        </is>
      </c>
    </row>
    <row r="750">
      <c r="C750" s="143" t="inlineStr">
        <is>
          <t>714 31</t>
        </is>
      </c>
      <c r="D750" s="143" t="inlineStr">
        <is>
          <t>FAMILY HSG OTHER DET FAC</t>
        </is>
      </c>
      <c r="E750" s="143" t="inlineStr">
        <is>
          <t>SF</t>
        </is>
      </c>
      <c r="F750" s="143" t="n"/>
      <c r="G750" s="143" t="n"/>
      <c r="H750" s="143" t="n"/>
      <c r="I750" s="143" t="inlineStr">
        <is>
          <t>THESE CODES ARE FOR INVENTORY PURPOSES ONLY AND ARE TO BE USED FOR MINOR DETACHED FACILITIES DIRECTLY RELATING TO A PARTICULAR FAMILY DWELLING.</t>
        </is>
      </c>
    </row>
    <row r="751">
      <c r="C751" s="143" t="inlineStr">
        <is>
          <t>714 32</t>
        </is>
      </c>
      <c r="D751" s="143" t="inlineStr">
        <is>
          <t>COMMUNITY CENTER</t>
        </is>
      </c>
      <c r="E751" s="143" t="inlineStr">
        <is>
          <t>SF</t>
        </is>
      </c>
      <c r="F751" s="143" t="n"/>
      <c r="G751" s="143" t="n"/>
      <c r="H751" s="143" t="n"/>
      <c r="I751" s="143" t="inlineStr">
        <is>
          <t>A FAMILY HOUSING COMMUNITY CENTER (FHCC) PROVIDES SPACE FOR SOCIAL AND RECREATIONAL PROGRAMS AT FAMILY HOUSING PROJECTS WHERE COMPARABLE NAVY OR NON-NAVY FACILITIES ARE NOT REASONABLY ACCESSIBLE.</t>
        </is>
      </c>
    </row>
    <row r="752">
      <c r="C752" s="143" t="inlineStr">
        <is>
          <t>714 33</t>
        </is>
      </c>
      <c r="D752" s="143" t="inlineStr">
        <is>
          <t>HOUSING WELCOME CTR (HWC)</t>
        </is>
      </c>
      <c r="E752" s="143" t="inlineStr">
        <is>
          <t>SF</t>
        </is>
      </c>
      <c r="F752" s="143" t="n"/>
      <c r="G752" s="143" t="n"/>
      <c r="H752" s="143" t="n"/>
      <c r="I752" s="143" t="inlineStr">
        <is>
          <t>A FAMILY HOUSING WELCOME CENTER (HWC) PROVIDES SPACE FOR ADMINISTRATIVE AND SERVICE FUNCTIONS ASSOCIATED WITH THE PROVISIONS OF GOVERNMENT AND PRIVATE SECTOR HOUSING. THE ESTABLISHMENT OF A HWC MUST BE AUTHORIZED BY DIRECTOR, SHORE READINESS DIVISION (OPNAV N46) OR COMMANDANT OF THE MARINE CORPS (LFF-3).</t>
        </is>
      </c>
    </row>
    <row r="753">
      <c r="C753" s="143" t="inlineStr">
        <is>
          <t>714 77</t>
        </is>
      </c>
      <c r="D753" s="143" t="inlineStr">
        <is>
          <t>HOUSING,MISC STRG</t>
        </is>
      </c>
      <c r="E753" s="143" t="inlineStr">
        <is>
          <t>SF</t>
        </is>
      </c>
      <c r="F753" s="143" t="n"/>
      <c r="G753" s="143" t="n"/>
      <c r="H753" s="143" t="n"/>
      <c r="I753" s="143" t="inlineStr">
        <is>
          <t>STORAGE FACILITIES IN SUPPORT OF FAMILY HOUSING.</t>
        </is>
      </c>
    </row>
    <row r="754">
      <c r="C754" s="143" t="inlineStr">
        <is>
          <t>721 11</t>
        </is>
      </c>
      <c r="D754" s="143" t="inlineStr">
        <is>
          <t>UNACC ENL HSG</t>
        </is>
      </c>
      <c r="E754" s="143" t="inlineStr">
        <is>
          <t>SF</t>
        </is>
      </c>
      <c r="F754" s="143" t="n"/>
      <c r="G754" s="143" t="n"/>
      <c r="H754" s="143" t="n"/>
      <c r="I754" s="143" t="inlineStr">
        <is>
          <t>UNACCOMPANIED ENLISTED HOUSING</t>
        </is>
      </c>
    </row>
    <row r="755">
      <c r="C755" s="143" t="inlineStr">
        <is>
          <t>721 14</t>
        </is>
      </c>
      <c r="D755" s="143" t="inlineStr">
        <is>
          <t>STUDENT BARRACKS</t>
        </is>
      </c>
      <c r="E755" s="143" t="inlineStr">
        <is>
          <t>SF</t>
        </is>
      </c>
      <c r="F755" s="143" t="n"/>
      <c r="G755" s="143" t="n"/>
      <c r="H755" s="143" t="n"/>
      <c r="I755" s="143" t="inlineStr">
        <is>
          <t>UNACCOMPANIED QUARTERS FOR 'A' SCHOOL STUDENTS.</t>
        </is>
      </c>
    </row>
    <row r="756">
      <c r="C756" s="143" t="inlineStr">
        <is>
          <t>721 15</t>
        </is>
      </c>
      <c r="D756" s="143" t="inlineStr">
        <is>
          <t>RECRUIT BARRACKS</t>
        </is>
      </c>
      <c r="E756" s="143" t="inlineStr">
        <is>
          <t>SF</t>
        </is>
      </c>
      <c r="F756" s="143" t="n"/>
      <c r="G756" s="143" t="n"/>
      <c r="H756" s="143" t="n"/>
      <c r="I756" s="143" t="inlineStr">
        <is>
          <t>OPEN BAY DESIGN BARRACKS. THESE WILL BE CONSTRUCTED ONLY FOR RECRUITS, RECEIVING BARRACKS, AND USMC SCHOOL OF INFANTRY. RECRUIT QUARTERS ARE OPEN BAY, CENTRAL HEAD FACILITIES WITH NET LIVING AREA SIZED AS ONE EQUAL SHARE OF THE OPEN BAY SLEEPING AREA.</t>
        </is>
      </c>
    </row>
    <row r="757">
      <c r="C757" s="143" t="inlineStr">
        <is>
          <t>721 27</t>
        </is>
      </c>
      <c r="D757" s="143" t="inlineStr">
        <is>
          <t>AUSTERE QTRS MISSION ESSN</t>
        </is>
      </c>
      <c r="E757" s="143" t="inlineStr">
        <is>
          <t>SF</t>
        </is>
      </c>
      <c r="F757" s="143" t="n"/>
      <c r="G757" s="143" t="n"/>
      <c r="H757" s="143" t="n"/>
      <c r="I757" s="143" t="inlineStr">
        <is>
          <t>AUSTERE QUARTERS ARE LODGING FACILITIES LOCATED AT DESIGNATED ENDURING NAVAL INSTALLATIONS. THE CURRENT AUSTERE FACILITY GUIDANCE PROVIDES FOR STANDARDIZED ROOM MODULES WITH CENTRALIZED SHOWER/TOILET FACILITIES FOR ACTIVE DUTY PERSONNEL AND RESERVISTS.</t>
        </is>
      </c>
    </row>
    <row r="758">
      <c r="C758" s="143" t="inlineStr">
        <is>
          <t>721 40</t>
        </is>
      </c>
      <c r="D758" s="143" t="inlineStr">
        <is>
          <t>DISCIPLINARY HOUSING</t>
        </is>
      </c>
      <c r="E758" s="143" t="inlineStr">
        <is>
          <t>SF</t>
        </is>
      </c>
      <c r="F758" s="143" t="n"/>
      <c r="G758" s="143" t="n"/>
      <c r="H758" s="143" t="n"/>
      <c r="I758" s="143" t="inlineStr">
        <is>
          <t>THIS FACILITY IS TO BE USED FOR BERTHING PERSONNEL IN DISCIPLINARY HOLDING OF RESTRICTED STATUS.</t>
        </is>
      </c>
    </row>
    <row r="759">
      <c r="C759" s="143" t="inlineStr">
        <is>
          <t>721 41</t>
        </is>
      </c>
      <c r="D759" s="143" t="inlineStr">
        <is>
          <t>UDP HOUSING M.E.(ENLISTED)</t>
        </is>
      </c>
      <c r="E759" s="143" t="inlineStr">
        <is>
          <t>SF</t>
        </is>
      </c>
      <c r="F759" s="143" t="n"/>
      <c r="G759" s="143" t="n"/>
      <c r="H759" s="143" t="n"/>
      <c r="I759" s="143" t="inlineStr">
        <is>
          <t>UNIT DEPLOYMENT PROGRAM (UDP) PERSONNEL HOUSING FOR MISSION ESSENTIAL (ENLISTED)</t>
        </is>
      </c>
    </row>
    <row r="760">
      <c r="C760" s="143" t="inlineStr">
        <is>
          <t>721 45</t>
        </is>
      </c>
      <c r="D760" s="143" t="inlineStr">
        <is>
          <t>GALLEY/MESS BUILT-IN/ATTD</t>
        </is>
      </c>
      <c r="E760" s="143" t="inlineStr">
        <is>
          <t>SF</t>
        </is>
      </c>
      <c r="F760" s="143" t="n"/>
      <c r="G760" s="143" t="n"/>
      <c r="H760" s="143" t="n"/>
      <c r="I760" s="143" t="inlineStr">
        <is>
          <t>A FACILITY, WITH CAFETERIA STYLE DINING OPERATIONS, FOR UNACCOMPANIED PERSONNEL AND OTHER AUTHORIZED PERSONS THAT IS BUILT INTO OR ATTACHED TO THE UH.</t>
        </is>
      </c>
    </row>
    <row r="761">
      <c r="C761" s="143" t="inlineStr">
        <is>
          <t>721 46</t>
        </is>
      </c>
      <c r="D761" s="143" t="inlineStr">
        <is>
          <t>RESIDENTIAL CARE FACILITY</t>
        </is>
      </c>
      <c r="E761" s="143" t="inlineStr">
        <is>
          <t>SF</t>
        </is>
      </c>
      <c r="F761" s="143" t="n"/>
      <c r="G761" s="143" t="n"/>
      <c r="H761" s="143" t="n"/>
      <c r="I761" s="143" t="inlineStr">
        <is>
          <t>BERTHING FOR RETIRED NAVY PERSONNEL ON A LONG TERM BASIS.</t>
        </is>
      </c>
    </row>
    <row r="762">
      <c r="C762" s="143" t="inlineStr">
        <is>
          <t>721 47</t>
        </is>
      </c>
      <c r="D762" s="143" t="inlineStr">
        <is>
          <t>WNDED WRS HSG</t>
        </is>
      </c>
      <c r="E762" s="143" t="inlineStr">
        <is>
          <t>SF</t>
        </is>
      </c>
      <c r="F762" s="143" t="n"/>
      <c r="G762" s="143" t="n"/>
      <c r="H762" s="143" t="n"/>
      <c r="I762" s="143" t="inlineStr">
        <is>
          <t>A FACILITY DESIGNED TO PROVIDE TEMPORARY AND PERMANENT HOUSING FOR UNACCOMPANIED PERSONNEL IN A WOUNDED WARRIOR/WARRIOR IN TRANSITION STATUS.</t>
        </is>
      </c>
    </row>
    <row r="763">
      <c r="C763" s="143" t="inlineStr">
        <is>
          <t>722 10</t>
        </is>
      </c>
      <c r="D763" s="143" t="inlineStr">
        <is>
          <t>GALLEY/MESS HALL</t>
        </is>
      </c>
      <c r="E763" s="143" t="inlineStr">
        <is>
          <t>SF</t>
        </is>
      </c>
      <c r="F763" s="143" t="n"/>
      <c r="G763" s="143" t="n"/>
      <c r="H763" s="143" t="n"/>
      <c r="I763" s="143" t="inlineStr">
        <is>
          <t>THIS GROUP INCLUDES DINING FACILITIES FOR UNACCOMPANIED PERSONNEL.</t>
        </is>
      </c>
    </row>
    <row r="764">
      <c r="C764" s="143" t="inlineStr">
        <is>
          <t>722 35</t>
        </is>
      </c>
      <c r="D764" s="143" t="inlineStr">
        <is>
          <t>AUSTERE GALLEY</t>
        </is>
      </c>
      <c r="E764" s="143" t="inlineStr">
        <is>
          <t>SF</t>
        </is>
      </c>
      <c r="F764" s="143" t="n"/>
      <c r="G764" s="143" t="n"/>
      <c r="H764" s="143" t="n"/>
      <c r="I764" s="143" t="inlineStr">
        <is>
          <t>AUSTERE GALLIES PROVIDE CORE DINING, FOOD PREPARATION, AND SUPPORT AREAS FOR LOCATIONS DETERMINED AUSTERE BY CNIC. THESE FACILITIES ARE INTENDED TO PROVIDE THE MINIMUM FOOTPRINT AREA AND FINISHES TO SUPPORT GALLEY FUNCTIONS WHILE PROVIDING MINIMAL UP FRONT AND TOTAL OWNERSHIP COSTS IN COMPARISON TO NON-AUSTERE LOCATIONS.</t>
        </is>
      </c>
    </row>
    <row r="765">
      <c r="C765" s="143" t="inlineStr">
        <is>
          <t>722 50</t>
        </is>
      </c>
      <c r="D765" s="143" t="inlineStr">
        <is>
          <t>COLD STOR DET GALLEY/MESS</t>
        </is>
      </c>
      <c r="E765" s="143" t="inlineStr">
        <is>
          <t>SF</t>
        </is>
      </c>
      <c r="F765" s="143" t="n"/>
      <c r="G765" s="143" t="n"/>
      <c r="H765" s="143" t="n"/>
      <c r="I765" s="143" t="inlineStr">
        <is>
          <t>THIS CODE IS FOR INVENTORY PURPOSES ONLY IN CASES WHERE COLD STORAGE FACILITIES ARE DETACHED FROM THE GALLEY PROPER.</t>
        </is>
      </c>
    </row>
    <row r="766">
      <c r="C766" s="143" t="inlineStr">
        <is>
          <t>722 60</t>
        </is>
      </c>
      <c r="D766" s="143" t="inlineStr">
        <is>
          <t>CONFERENCE CENTER</t>
        </is>
      </c>
      <c r="E766" s="143" t="inlineStr">
        <is>
          <t>SF</t>
        </is>
      </c>
      <c r="F766" s="143" t="n"/>
      <c r="G766" s="143" t="n"/>
      <c r="H766" s="143" t="n"/>
      <c r="I766" s="143" t="inlineStr">
        <is>
          <t>THIS CATEGORY CODE IS FOR INVENTORY PURPOSES ONLY, AND INCLUDES ONLY THOSE CONFERENCE ROOMS LOCATED IN UNACCOMPANIED HOUSING.</t>
        </is>
      </c>
    </row>
    <row r="767">
      <c r="C767" s="143" t="inlineStr">
        <is>
          <t>723 20</t>
        </is>
      </c>
      <c r="D767" s="143" t="inlineStr">
        <is>
          <t>LATRINE, DETACHED</t>
        </is>
      </c>
      <c r="E767" s="143" t="inlineStr">
        <is>
          <t>SF</t>
        </is>
      </c>
      <c r="F767" s="143" t="n"/>
      <c r="G767" s="143" t="n"/>
      <c r="H767" s="143" t="n"/>
      <c r="I767" s="143" t="inlineStr">
        <is>
          <t>LATRINE FACILITIES ARE PLANNED AS PART OF THE UNACCOMPANIED HOUSING. CODES ARE LISTED FOR INVENTORY PURPOSES ONLY.</t>
        </is>
      </c>
    </row>
    <row r="768">
      <c r="C768" s="143" t="inlineStr">
        <is>
          <t>723 30</t>
        </is>
      </c>
      <c r="D768" s="143" t="inlineStr">
        <is>
          <t>LAUNDRY, DETACHED</t>
        </is>
      </c>
      <c r="E768" s="143" t="inlineStr">
        <is>
          <t>SF</t>
        </is>
      </c>
      <c r="F768" s="143" t="n"/>
      <c r="G768" s="143" t="n"/>
      <c r="H768" s="143" t="n"/>
      <c r="I768" s="143" t="inlineStr">
        <is>
          <t>LATRINE AND LAUNDRY FACILITIES ARE PLANNED AS PART OF THE UNACCOMPANIED QUARTERS. CODES ARE LISTED FOR INVENTORY PURPOSES ONLY.</t>
        </is>
      </c>
    </row>
    <row r="769">
      <c r="C769" s="143" t="inlineStr">
        <is>
          <t>723 40</t>
        </is>
      </c>
      <c r="D769" s="143" t="inlineStr">
        <is>
          <t>GARAGE, DETACHED UH</t>
        </is>
      </c>
      <c r="E769" s="143" t="inlineStr">
        <is>
          <t>SF</t>
        </is>
      </c>
      <c r="F769" s="143" t="n"/>
      <c r="G769" s="143" t="n"/>
      <c r="H769" s="143" t="n"/>
      <c r="I769" s="143" t="inlineStr">
        <is>
          <t>INDIVIDUAL GARAGES WILL NOT BE PLANNED IN CONJUNCTION WITH TROOP HOUSING. THIS CATEGORY CODE SHOULD BE USED FOR INVENTORY PURPOSES ONLY.</t>
        </is>
      </c>
    </row>
    <row r="770">
      <c r="C770" s="143" t="inlineStr">
        <is>
          <t>723 50</t>
        </is>
      </c>
      <c r="D770" s="143" t="inlineStr">
        <is>
          <t>WASH RACK, DETACHED</t>
        </is>
      </c>
      <c r="E770" s="143" t="inlineStr">
        <is>
          <t>EA</t>
        </is>
      </c>
      <c r="F770" s="143" t="n"/>
      <c r="G770" s="143" t="n"/>
      <c r="H770" s="143" t="n"/>
      <c r="I770" s="143" t="inlineStr">
        <is>
          <t>WASH RACKS FOR GALLEY GARBAGE CONTAINERS, AND WASH RACKS FOR UNACCOMPANIED RESIDENT'S VEHICLES ARE PLANNED AS PART OF GALLEYS AND UNACCOMPANIED HOUSING. THIS CATEGORY CODE SHOULD BE USED FOR INVENTORY PURPOSES ONLY.</t>
        </is>
      </c>
    </row>
    <row r="771">
      <c r="C771" s="143" t="inlineStr">
        <is>
          <t>723 60</t>
        </is>
      </c>
      <c r="D771" s="143" t="inlineStr">
        <is>
          <t>TROOP HSG OTHER DET BLDG</t>
        </is>
      </c>
      <c r="E771" s="143" t="inlineStr">
        <is>
          <t>SF</t>
        </is>
      </c>
      <c r="F771" s="143" t="n"/>
      <c r="G771" s="143" t="n"/>
      <c r="H771" s="143" t="n"/>
      <c r="I771" s="143" t="inlineStr">
        <is>
          <t>THESE CODES ARE FOR INVENTORY PURPOSES ONLY AND ARE TO BE USED FOR MINOR DETACHED BUILDINGS DIRECTLY RELATING TO UNACCOMPANIED HOUSING FUNCTIONS.</t>
        </is>
      </c>
    </row>
    <row r="772">
      <c r="C772" s="143" t="inlineStr">
        <is>
          <t>723 61</t>
        </is>
      </c>
      <c r="D772" s="143" t="inlineStr">
        <is>
          <t>TROOP HSG OTHER DET FAC</t>
        </is>
      </c>
      <c r="E772" s="143" t="inlineStr">
        <is>
          <t>EA</t>
        </is>
      </c>
      <c r="F772" s="143" t="n"/>
      <c r="G772" s="143" t="n"/>
      <c r="H772" s="143" t="n"/>
      <c r="I772" s="143" t="inlineStr">
        <is>
          <t>THESE CODES ARE FOR INVENTORY PURPOSES ONLY AND ARE TO BE USED FOR MINOR DETACHED FACILITIES DIRECTLY RELATING TO UNACCOMPANIED HOUSING FUNCTIONS.</t>
        </is>
      </c>
    </row>
    <row r="773">
      <c r="C773" s="143" t="inlineStr">
        <is>
          <t>723 77</t>
        </is>
      </c>
      <c r="D773" s="143" t="inlineStr">
        <is>
          <t>TROOP HSG STRG(MISC)</t>
        </is>
      </c>
      <c r="E773" s="143" t="inlineStr">
        <is>
          <t>SF</t>
        </is>
      </c>
      <c r="F773" s="143" t="n"/>
      <c r="G773" s="143" t="n"/>
      <c r="H773" s="143" t="n"/>
      <c r="I773" s="143" t="inlineStr">
        <is>
          <t>STORAGE FACILITIES FOR MISCELLANEOUS EQUIPMENT AN/OR GOODS RELATED TO UNACCOMPANIED HOUSING SUPPORT WILL BE PROVIDED ONLY WHERE IT CAN BE INDIVIDUALLY JUSTIFIED.</t>
        </is>
      </c>
    </row>
    <row r="774">
      <c r="C774" s="143" t="inlineStr">
        <is>
          <t>724 11</t>
        </is>
      </c>
      <c r="D774" s="143" t="inlineStr">
        <is>
          <t>UNACCOMPANIED OFF HSG</t>
        </is>
      </c>
      <c r="E774" s="143" t="inlineStr">
        <is>
          <t>SF</t>
        </is>
      </c>
      <c r="F774" s="143" t="n"/>
      <c r="G774" s="143" t="n"/>
      <c r="H774" s="143" t="n"/>
      <c r="I774" s="143" t="inlineStr">
        <is>
          <t>UNACCOMPANIED OFFICER HOUSING, ALL RANKS</t>
        </is>
      </c>
    </row>
    <row r="775">
      <c r="C775" s="143" t="inlineStr">
        <is>
          <t>724 15</t>
        </is>
      </c>
      <c r="D775" s="143" t="inlineStr">
        <is>
          <t>UDP HOUSING M.E. (OFFICER)</t>
        </is>
      </c>
      <c r="E775" s="143" t="inlineStr">
        <is>
          <t>SF</t>
        </is>
      </c>
      <c r="F775" s="143" t="n"/>
      <c r="G775" s="143" t="n"/>
      <c r="H775" s="143" t="n"/>
      <c r="I775" s="143" t="inlineStr">
        <is>
          <t>HOUSING FOR UNIT DEPLOYED PERSONNEL (UDP) HOUSING - MISSION ESSENTIAL - OFFICER</t>
        </is>
      </c>
    </row>
    <row r="776">
      <c r="C776" s="143" t="inlineStr">
        <is>
          <t>725 10</t>
        </is>
      </c>
      <c r="D776" s="143" t="inlineStr">
        <is>
          <t>TROOP HSG EMERGENCY BLDG</t>
        </is>
      </c>
      <c r="E776" s="143" t="inlineStr">
        <is>
          <t>SF</t>
        </is>
      </c>
      <c r="F776" s="143" t="n"/>
      <c r="G776" s="143" t="n"/>
      <c r="H776" s="143" t="n"/>
      <c r="I776" s="143" t="inlineStr">
        <is>
          <t>THESE MAY BE HUTMENTS (QUONSETS), TENT FRAMES WITH FLOORS AND MAY BE PERMANENT, SEMI-PERMANENT, OR TEMPORARY TYPES OF BUILDINGS. CODES ARE LISTED FOR INVENTORY PURPOSES ONLY.</t>
        </is>
      </c>
    </row>
    <row r="777">
      <c r="C777" s="143" t="inlineStr">
        <is>
          <t>725 11</t>
        </is>
      </c>
      <c r="D777" s="143" t="inlineStr">
        <is>
          <t>TROOP HSG EMERGENCY FAC</t>
        </is>
      </c>
      <c r="E777" s="143" t="inlineStr">
        <is>
          <t>SF</t>
        </is>
      </c>
      <c r="F777" s="143" t="n"/>
      <c r="G777" s="143" t="n"/>
      <c r="H777" s="143" t="n"/>
      <c r="I777" s="143" t="inlineStr">
        <is>
          <t>THESE MAY BE HUTMENTS (QUONSETS), TENT FRAMES WITH FLOORS AND MAY BE PERMANENT, SEMI-PERMANENT, OR TEMPORARY TYPES OF FACILITIES. NO CRITERIA FOR THESE FACILITIES ARE CURRENTLY AVAILABLE. CODES ARE LISTED FOR INVENTORY PURPOSES ONLY.</t>
        </is>
      </c>
    </row>
    <row r="778">
      <c r="C778" s="143" t="inlineStr">
        <is>
          <t>730 10</t>
        </is>
      </c>
      <c r="D778" s="143" t="inlineStr">
        <is>
          <t>FIRE STATION</t>
        </is>
      </c>
      <c r="E778" s="143" t="inlineStr">
        <is>
          <t>SF</t>
        </is>
      </c>
      <c r="F778" s="143" t="n"/>
      <c r="G778" s="143" t="n"/>
      <c r="H778" s="143" t="n"/>
      <c r="I778" s="143" t="inlineStr">
        <is>
          <t>THIS CRITERIA APPLIES TO FIRE STATIONS WITH STRUCTURAL AND BRUSH FIRE MISSIONS AND IS TO BE USED AS A GUIDELINE FOR PLANNING FIRE STATIONS WITH AIR CRASH RESCUE OPS AND COMBINED STRUCTURAL FIRE AND RESCUE OPS. FIRE STATIONS CONSIST OF AN ALARM COM CENTER, TRAINING FACILITIES, LIVING QUARTERS, RECREATION/DINING FACILITIES, ADMIN OFFICES, AN EQUIPMENT MAINTENANCE AREA, AND AN APPARATUS ROOM.</t>
        </is>
      </c>
    </row>
    <row r="779">
      <c r="C779" s="143" t="inlineStr">
        <is>
          <t>730 11</t>
        </is>
      </c>
      <c r="D779" s="143" t="inlineStr">
        <is>
          <t>FIRE HOSE DRYING STRUCTURE</t>
        </is>
      </c>
      <c r="E779" s="143" t="inlineStr">
        <is>
          <t>SF</t>
        </is>
      </c>
      <c r="F779" s="143" t="n"/>
      <c r="G779" s="143" t="n"/>
      <c r="H779" s="143" t="n"/>
      <c r="I779" s="143" t="inlineStr">
        <is>
          <t>CATEGORY CODE 730 11 AND 12 ARE FOR INVENTORY PURPOSES ONLY IN CASES WHERE THESE FACILITIES ARE PROVIDED IN A SEPARATE BUILDING OR STRUCTURE. FOR PLANNING PURPOSES, THEY ARE TO BE CONSIDERED AS PART OF THE FIRE STATION, CODE 730 10.</t>
        </is>
      </c>
    </row>
    <row r="780">
      <c r="C780" s="143" t="inlineStr">
        <is>
          <t>730 12</t>
        </is>
      </c>
      <c r="D780" s="143" t="inlineStr">
        <is>
          <t>FIRE CART/HOSE DRYING FAC</t>
        </is>
      </c>
      <c r="E780" s="143" t="inlineStr">
        <is>
          <t>SF</t>
        </is>
      </c>
      <c r="F780" s="143" t="n"/>
      <c r="G780" s="143" t="n"/>
      <c r="H780" s="143" t="n"/>
      <c r="I780" s="143" t="inlineStr">
        <is>
          <t>CATEGORY CODE 730 11 AND 12 ARE FOR INVENTORY PURPOSES ONLY IN CASES WHERE THESE FACILITIES ARE PROVIDED IN A SEPARATE BUILDING OR STRUCTURE. FOR PLANNING PURPOSES, THEY ARE TO BE CONSIDERED AS PART OF THE FIRE STATION, CODE 730 10.</t>
        </is>
      </c>
    </row>
    <row r="781">
      <c r="C781" s="143" t="inlineStr">
        <is>
          <t>730 13</t>
        </is>
      </c>
      <c r="D781" s="143" t="inlineStr">
        <is>
          <t>ISSU/RETAIL CLOTHING/UNIFM</t>
        </is>
      </c>
      <c r="E781" s="143" t="inlineStr">
        <is>
          <t>SF</t>
        </is>
      </c>
      <c r="F781" s="143" t="n"/>
      <c r="G781" s="143" t="n"/>
      <c r="H781" s="143" t="n"/>
      <c r="I781" s="143" t="inlineStr">
        <is>
          <t>THIS IS A RETAIL OUTLET FOR MILITARY CLOTHING AND ACCESSORIES. THIS FACILITY IS OPERATED BY THE NAVY AND MARINE CORPS EXCHANGE SERVICE.</t>
        </is>
      </c>
    </row>
    <row r="782">
      <c r="C782" s="143" t="inlineStr">
        <is>
          <t>730 15</t>
        </is>
      </c>
      <c r="D782" s="143" t="inlineStr">
        <is>
          <t>BRIG</t>
        </is>
      </c>
      <c r="E782" s="143" t="inlineStr">
        <is>
          <t>SF</t>
        </is>
      </c>
      <c r="F782" s="143" t="n"/>
      <c r="G782" s="143" t="n"/>
      <c r="H782" s="143" t="n"/>
      <c r="I782" s="143" t="inlineStr">
        <is>
          <t>THIS CODE IS TO BE USED FOR FACILITIES WHOSE PRIMARY PURPOSE IS THE CONFINEMENT OF PERSONNEL.</t>
        </is>
      </c>
    </row>
    <row r="783">
      <c r="C783" s="143" t="inlineStr">
        <is>
          <t>730 20</t>
        </is>
      </c>
      <c r="D783" s="143" t="inlineStr">
        <is>
          <t>SEC BUILDING</t>
        </is>
      </c>
      <c r="E783" s="143" t="inlineStr">
        <is>
          <t>SF</t>
        </is>
      </c>
      <c r="F783" s="143" t="n"/>
      <c r="G783" s="143" t="n"/>
      <c r="H783" s="143" t="n"/>
      <c r="I783" s="143" t="inlineStr">
        <is>
          <t>A SECURITY BUILDING WHICH HOUSES THE SHORE PATROL AND MILITARY OR CIVILIAN POLICE FORCES MAY VARY IN USE FROM A STANDARD POLICE STATION TO A LARGE SECURITY DEPARTMENT PROVIDING COUNTER-TERRORISM FUNCTIONS AND INVESTIGATIVE SERVICES.</t>
        </is>
      </c>
    </row>
    <row r="784">
      <c r="C784" s="143" t="inlineStr">
        <is>
          <t>730 21</t>
        </is>
      </c>
      <c r="D784" s="143" t="inlineStr">
        <is>
          <t>DEFENSIVE FIGHTING POS</t>
        </is>
      </c>
      <c r="E784" s="143" t="inlineStr">
        <is>
          <t>SF</t>
        </is>
      </c>
      <c r="F784" s="143" t="n"/>
      <c r="G784" s="143" t="n"/>
      <c r="H784" s="143" t="n"/>
      <c r="I784" s="143" t="inlineStr">
        <is>
          <t>AN ELEVATED DEFENSIVE FIGHTING POSITION LOCATED AT ECP'S AND OTHER AREAS NEEDING ADDITIONAL ENTRY SECURITY.</t>
        </is>
      </c>
    </row>
    <row r="785">
      <c r="C785" s="143" t="inlineStr">
        <is>
          <t>730 25</t>
        </is>
      </c>
      <c r="D785" s="143" t="inlineStr">
        <is>
          <t>GATE / SENTRY HOUSE</t>
        </is>
      </c>
      <c r="E785" s="143" t="inlineStr">
        <is>
          <t>SF</t>
        </is>
      </c>
      <c r="F785" s="143" t="n"/>
      <c r="G785" s="143" t="n"/>
      <c r="H785" s="143" t="n"/>
      <c r="I785" s="143" t="inlineStr">
        <is>
          <t>THE GATE/SENTRY HOUSE MAY VARY IN SIZE FROM A SIMPLE SENTRY SHELTER TO A BUILDING HOUSING A GATE GUARD OFFICE, CLERICAL OFFICE, AND WAITING ROOM; OR A TRUCK INSPECTION BUILDING.</t>
        </is>
      </c>
    </row>
    <row r="786">
      <c r="C786" s="143" t="inlineStr">
        <is>
          <t>730 30</t>
        </is>
      </c>
      <c r="D786" s="143" t="inlineStr">
        <is>
          <t>BAKERY</t>
        </is>
      </c>
      <c r="E786" s="143" t="inlineStr">
        <is>
          <t>SF</t>
        </is>
      </c>
      <c r="F786" s="143" t="n"/>
      <c r="G786" s="143" t="n"/>
      <c r="H786" s="143" t="n"/>
      <c r="I786" s="143" t="inlineStr">
        <is>
          <t>THE ESTABLISHMENT OF BAKERIES IS GOVERNED BY PROVISIONS OF DOD INSTRUCTION 4100.33 ? COMMERCIAL OR INDUSTRIAL ACTIVITIES ? OPERATION OF. NORMALLY A BAKERY WILL BE AUTHORIZED WHERE COMMERCIAL SOURCES ARE NOT AVAILABLE.</t>
        </is>
      </c>
    </row>
    <row r="787">
      <c r="C787" s="143" t="inlineStr">
        <is>
          <t>730 35</t>
        </is>
      </c>
      <c r="D787" s="143" t="inlineStr">
        <is>
          <t>LOCKER ROOM</t>
        </is>
      </c>
      <c r="E787" s="143" t="inlineStr">
        <is>
          <t>SF</t>
        </is>
      </c>
      <c r="F787" s="143" t="n"/>
      <c r="G787" s="143" t="n"/>
      <c r="H787" s="143" t="n"/>
      <c r="I787" s="143" t="inlineStr">
        <is>
          <t>THIS FACILITY PROVIDES LOCKER SPACE FOR THE BELONGINGS OF MILITARY PERSONNEL WHO MUST VACATE THEIR QUARTERS FOR EXTENDED PERIODS OF TIME, FOR THOSE WHOSE ALLOTTED STORAGE SPACE IS NOT SUFFICIENT, AND FOR OTHER USES AS DEEMED JUSTIFIED BY THE COMMANDING OFFICER.</t>
        </is>
      </c>
    </row>
    <row r="788">
      <c r="C788" s="143" t="inlineStr">
        <is>
          <t>730 36</t>
        </is>
      </c>
      <c r="D788" s="143" t="inlineStr">
        <is>
          <t>LUNCH/LOCKER ROOM</t>
        </is>
      </c>
      <c r="E788" s="143" t="inlineStr">
        <is>
          <t>SF</t>
        </is>
      </c>
      <c r="F788" s="143" t="n"/>
      <c r="G788" s="143" t="n"/>
      <c r="H788" s="143" t="n"/>
      <c r="I788" s="143" t="inlineStr">
        <is>
          <t>THIS FACILITY IS GENERALLY PROVIDED ONLY TO SUPPORT INDUSTRIAL OPERATIONS WHERE OTHER MESSING FACILITIES ARE NOT AVAILABLE AND REQUIRES SPECIFIC JUSTIFICATION.</t>
        </is>
      </c>
    </row>
    <row r="789">
      <c r="C789" s="143" t="inlineStr">
        <is>
          <t>730 40</t>
        </is>
      </c>
      <c r="D789" s="143" t="inlineStr">
        <is>
          <t>LAUNDRY/DRY CLEANING PLT</t>
        </is>
      </c>
      <c r="E789" s="143" t="inlineStr">
        <is>
          <t>SF</t>
        </is>
      </c>
      <c r="F789" s="143" t="n"/>
      <c r="G789" s="143" t="n"/>
      <c r="H789" s="143" t="n"/>
      <c r="I789" s="143" t="inlineStr">
        <is>
          <t>LAUNDRY AND DRY CLEANING PLANTS. THE ESTABLISHMENT OF THESE FACILITIES IS GOVERNED BY PROVISIONS OF DOD INSTRUCTION 4100.33 - COMMERCIAL OR INDUSTRIAL ACTIVITIES - OPERATION OF. NORMALLY THEY WILL BE AUTHORIZED ONLY IN LOCATIONS WHERE COMMERCIAL FACILITIES ARE NOT AVAILABLE.</t>
        </is>
      </c>
    </row>
    <row r="790">
      <c r="C790" s="143" t="inlineStr">
        <is>
          <t>730 61</t>
        </is>
      </c>
      <c r="D790" s="143" t="inlineStr">
        <is>
          <t>DEP SCHOOL - CONSOLIDATED</t>
        </is>
      </c>
      <c r="E790" s="143" t="inlineStr">
        <is>
          <t>SF</t>
        </is>
      </c>
      <c r="F790" s="143" t="n"/>
      <c r="G790" s="143" t="n"/>
      <c r="H790" s="143" t="n"/>
      <c r="I790" s="143" t="inlineStr">
        <is>
          <t>DEPENDENT SCHOOL GRADES K-12. THE PLANNING AND PROGRAMMING FOR DEPENDENT SCHOOL FACILITIES OVERSEAS IS CURRENTLY UNDER THE COGNIZANCE OF DEPARTMENT OF DEFENSE EDUCATION ACTIVITY (DODEA). DEPENDENT SCHOOLS PROVIDE EDUCATION FOR DEPENDENTS OF MILITARY PERSONNEL.</t>
        </is>
      </c>
    </row>
    <row r="791">
      <c r="C791" s="143" t="inlineStr">
        <is>
          <t>730 65</t>
        </is>
      </c>
      <c r="D791" s="143" t="inlineStr">
        <is>
          <t>FALLOUT SHELTER</t>
        </is>
      </c>
      <c r="E791" s="143" t="inlineStr">
        <is>
          <t>SF</t>
        </is>
      </c>
      <c r="F791" s="143" t="n"/>
      <c r="G791" s="143" t="n"/>
      <c r="H791" s="143" t="n"/>
      <c r="I791" s="143" t="inlineStr">
        <is>
          <t>THERE ARE TWO KINDS OF FALLOUT SHELTERS: DUAL-PURPOSE AND SINGLE- PURPOSE. A DUAL-PURPOSE FALLOUT SHELTER HAS A PRIMARY PURPOSE AND SATISFIES SOME OTHER BASIC REQUIREMENT SUCH AS HOUSING, ADMINISTRATIVE, STORAGE, ETC., BUT IS DESIGNATED TO PROVIDE FALLOUT PROTECTION IN EMERGENCIES. A SINGLE-PURPOSE FALLOUT SHELTER IS A BUILDING OR PART OF A BUILDING WHOSE SINGULAR PURPOSE IS FALLOUT PROTECTION.</t>
        </is>
      </c>
    </row>
    <row r="792">
      <c r="C792" s="143" t="inlineStr">
        <is>
          <t>730 66</t>
        </is>
      </c>
      <c r="D792" s="143" t="inlineStr">
        <is>
          <t>MISC PERS WEATHER SHELTERS</t>
        </is>
      </c>
      <c r="E792" s="143" t="inlineStr">
        <is>
          <t>SF</t>
        </is>
      </c>
      <c r="F792" s="143" t="n"/>
      <c r="G792" s="143" t="n"/>
      <c r="H792" s="143" t="n"/>
      <c r="I792" s="143" t="inlineStr">
        <is>
          <t>SHELTERS MAY BE ESTABLISHED AT BUS STOPS OR OTHER LOCATIONS AS REQUIRED. PROVIDE 0.5 SQ.M. (5 SF) PER PERSON.</t>
        </is>
      </c>
    </row>
    <row r="793">
      <c r="C793" s="143" t="inlineStr">
        <is>
          <t>730 67</t>
        </is>
      </c>
      <c r="D793" s="143" t="inlineStr">
        <is>
          <t>BUS STATION</t>
        </is>
      </c>
      <c r="E793" s="143" t="inlineStr">
        <is>
          <t>SF</t>
        </is>
      </c>
      <c r="F793" s="143" t="n"/>
      <c r="G793" s="143" t="n"/>
      <c r="H793" s="143" t="n"/>
      <c r="I793" s="143" t="inlineStr">
        <is>
          <t>A BUS STATION IS A TERMINAL WITH SPACE FOR A WAITING ROOM AND BUS TICKET SALES. IT MAY BE PLANNED AS REQUIRED.</t>
        </is>
      </c>
    </row>
    <row r="794">
      <c r="C794" s="143" t="inlineStr">
        <is>
          <t>730 74</t>
        </is>
      </c>
      <c r="D794" s="143" t="inlineStr">
        <is>
          <t>KENNEL - MWR OPERATED</t>
        </is>
      </c>
      <c r="E794" s="143" t="inlineStr">
        <is>
          <t>SF</t>
        </is>
      </c>
      <c r="F794" s="143" t="n"/>
      <c r="G794" s="143" t="n"/>
      <c r="H794" s="143" t="n"/>
      <c r="I794" s="143" t="inlineStr">
        <is>
          <t>A TEMPORARY BOARDING FACILITY FOR DOGS AND CATS OPERATED BY MWR.</t>
        </is>
      </c>
    </row>
    <row r="795">
      <c r="C795" s="143" t="inlineStr">
        <is>
          <t>730 75</t>
        </is>
      </c>
      <c r="D795" s="143" t="inlineStr">
        <is>
          <t>PUBLIC TOILET</t>
        </is>
      </c>
      <c r="E795" s="143" t="inlineStr">
        <is>
          <t>SF</t>
        </is>
      </c>
      <c r="F795" s="143" t="n"/>
      <c r="G795" s="143" t="n"/>
      <c r="H795" s="143" t="n"/>
      <c r="I795" s="143" t="inlineStr">
        <is>
          <t>USE THIS CODE FOR INVENTORY OF ALL DETACHED COMFORT STATIONS, SUCH AS THOSE AT BALL FIELDS AND PICNIC AREAS, EXCEPT FOR THOSE IN THE UNACCOMPANIED HOUSING AREA. USE CATEGORY CODE 723 20 LATRINE FOR THE UNACCOMPANIED HOUSING AREA.</t>
        </is>
      </c>
    </row>
    <row r="796">
      <c r="C796" s="143" t="inlineStr">
        <is>
          <t>730 76</t>
        </is>
      </c>
      <c r="D796" s="143" t="inlineStr">
        <is>
          <t>KENNEL</t>
        </is>
      </c>
      <c r="E796" s="143" t="inlineStr">
        <is>
          <t>SF</t>
        </is>
      </c>
      <c r="F796" s="143" t="n"/>
      <c r="G796" s="143" t="n"/>
      <c r="H796" s="143" t="n"/>
      <c r="I796" s="143" t="inlineStr">
        <is>
          <t>USE THIS CATEGORY CODE FOR MILITARY WORKING DOG (MWD) KENNELS AND QUARANTINE FACILITIES OPERATED BY THE SECURITY DEPARTMENT.</t>
        </is>
      </c>
    </row>
    <row r="797">
      <c r="C797" s="143" t="inlineStr">
        <is>
          <t>730 77</t>
        </is>
      </c>
      <c r="D797" s="143" t="inlineStr">
        <is>
          <t>PERSONNEL SUPPT STRG(MISC)</t>
        </is>
      </c>
      <c r="E797" s="143" t="inlineStr">
        <is>
          <t>SF</t>
        </is>
      </c>
      <c r="F797" s="143" t="n"/>
      <c r="G797" s="143" t="n"/>
      <c r="H797" s="143" t="n"/>
      <c r="I797" s="143" t="inlineStr">
        <is>
          <t>STORAGE FACILITIES FOR MISCELLANEOUS GOODS RELATED TO PERSONNEL SUPPORT FACILITIES.</t>
        </is>
      </c>
    </row>
    <row r="798">
      <c r="C798" s="143" t="inlineStr">
        <is>
          <t>730 78</t>
        </is>
      </c>
      <c r="D798" s="143" t="inlineStr">
        <is>
          <t>DAIRY PLANT</t>
        </is>
      </c>
      <c r="E798" s="143" t="inlineStr">
        <is>
          <t>SF</t>
        </is>
      </c>
      <c r="F798" s="143" t="n"/>
      <c r="G798" s="143" t="n"/>
      <c r="H798" s="143" t="n"/>
      <c r="I798" s="143" t="inlineStr">
        <is>
          <t>A FACILITY FOR THE RECEIVING AND PROCESSING OF MILK AND MILK PRODUCTS.</t>
        </is>
      </c>
    </row>
    <row r="799">
      <c r="C799" s="143" t="inlineStr">
        <is>
          <t>730 82</t>
        </is>
      </c>
      <c r="D799" s="143" t="inlineStr">
        <is>
          <t>RECYCLING CTR</t>
        </is>
      </c>
      <c r="E799" s="143" t="inlineStr">
        <is>
          <t>SF</t>
        </is>
      </c>
      <c r="F799" s="143" t="n"/>
      <c r="G799" s="143" t="n"/>
      <c r="H799" s="143" t="n"/>
      <c r="I799" s="143" t="inlineStr">
        <is>
          <t>THIS FACILITY SERVES AS A COLLECTION, SORTING, STORAGE, AND SHIPPING CENTER FOR RECYCLABLE MATERIALS AND PRODUCTS.</t>
        </is>
      </c>
    </row>
    <row r="800">
      <c r="C800" s="143" t="inlineStr">
        <is>
          <t>730 83</t>
        </is>
      </c>
      <c r="D800" s="143" t="inlineStr">
        <is>
          <t>RELIGIOUS MINISTRY FAC</t>
        </is>
      </c>
      <c r="E800" s="143" t="inlineStr">
        <is>
          <t>SF</t>
        </is>
      </c>
      <c r="F800" s="143" t="n"/>
      <c r="G800" s="143" t="n"/>
      <c r="H800" s="143" t="n"/>
      <c r="I800" s="143" t="inlineStr">
        <is>
          <t>RELIGIOUS MINISTRY FACILITY (RMF) IS A GENERIC TERM FOR FACILITY ASSETS USED TO SUPPORT COMMAND RELIGIOUS PROGRAMS. RMFS MUST THEREFORE ACCOMMODATE THE RELIGIOUS RIGHTS AND NEEDS OF A MULTI-FAITH, INTER-GENERATIONAL, CULTURALLY DIVERSE MILITARY POPULATION.</t>
        </is>
      </c>
    </row>
    <row r="801">
      <c r="C801" s="143" t="inlineStr">
        <is>
          <t>730 85</t>
        </is>
      </c>
      <c r="D801" s="143" t="inlineStr">
        <is>
          <t>POST OFFICE</t>
        </is>
      </c>
      <c r="E801" s="143" t="inlineStr">
        <is>
          <t>SF</t>
        </is>
      </c>
      <c r="F801" s="143" t="n"/>
      <c r="G801" s="143" t="n"/>
      <c r="H801" s="143" t="n"/>
      <c r="I801" s="143" t="inlineStr">
        <is>
          <t>FACILITY FOR HANDLING AND DISTRIBUTING US MAIL TO AN INSTALLATION, EITHER AS A STANDALONE FACILITY OR PART OF ANOTHER FACILITY UNDER A DIFFERENT CATEGORY CODE.</t>
        </is>
      </c>
    </row>
    <row r="802">
      <c r="C802" s="143" t="inlineStr">
        <is>
          <t>740 01</t>
        </is>
      </c>
      <c r="D802" s="143" t="inlineStr">
        <is>
          <t>EXCHANGE RETAIL STORE</t>
        </is>
      </c>
      <c r="E802" s="143" t="inlineStr">
        <is>
          <t>SF</t>
        </is>
      </c>
      <c r="F802" s="143" t="n"/>
      <c r="G802" s="143" t="n"/>
      <c r="H802" s="143" t="n"/>
      <c r="I802" s="143" t="inlineStr">
        <is>
          <t>THE EXCHANGE RETAIL STORE IS PLANNED AS PART OF AN AUTHORIZED NAVY OR MARINE CORPS EXCHANGE. THE STORE INCLUDES SALES AREA, IMMEDIATE BACK-UP STOCK AREA, STORE OFFICE, TOILETS AND CIRCULATION SPACE.</t>
        </is>
      </c>
    </row>
    <row r="803">
      <c r="C803" s="143" t="inlineStr">
        <is>
          <t>740 03</t>
        </is>
      </c>
      <c r="D803" s="143" t="inlineStr">
        <is>
          <t>EXCHGE CENTRL ADMIN</t>
        </is>
      </c>
      <c r="E803" s="143" t="inlineStr">
        <is>
          <t>SF</t>
        </is>
      </c>
      <c r="F803" s="143" t="n"/>
      <c r="G803" s="143" t="n"/>
      <c r="H803" s="143" t="n"/>
      <c r="I803" s="143" t="inlineStr">
        <is>
          <t>THIS IS SPACE REQUIRED FOR THE GENERAL ADMINISTRATIVE EFFORT OF AN EXCHANGE SUCH AS ACCOUNTING, PAYROLL, PERSONNEL, PURCHASING OR WAREHOUSING.</t>
        </is>
      </c>
    </row>
    <row r="804">
      <c r="C804" s="143" t="inlineStr">
        <is>
          <t>740 04</t>
        </is>
      </c>
      <c r="D804" s="143" t="inlineStr">
        <is>
          <t>EXCHANGE / MWR FOOD SVC</t>
        </is>
      </c>
      <c r="E804" s="143" t="inlineStr">
        <is>
          <t>SF</t>
        </is>
      </c>
      <c r="F804" s="143" t="n"/>
      <c r="G804" s="143" t="n"/>
      <c r="H804" s="143" t="n"/>
      <c r="I804" s="143" t="inlineStr">
        <is>
          <t>THESE FACILITIES INCLUDE: CAFETERIAS, SPECIALTY SHOPS SIMILAR TO DELI, FAST FOOD AND PIZZA, BAKE SHOPS, ICE CREAM SHOPS, ETC. FOOD SERVING FACILITIES OPERATED IN AND FOR THE SOLE CONVENIENCE OF NON-EXCHANGE ACTIVITIES SUCH AS BOWLING ALLEYS, THEATERS, AIR TERMINALS AND SIMILAR, IS ALREADY INCLUDED IN THE BASIC SPACE ALLOWANCE FOR SUCH ACTIVITIES.</t>
        </is>
      </c>
    </row>
    <row r="805">
      <c r="C805" s="143" t="inlineStr">
        <is>
          <t>740 09</t>
        </is>
      </c>
      <c r="D805" s="143" t="inlineStr">
        <is>
          <t>EXCHANGE SERVICE OUTLETS</t>
        </is>
      </c>
      <c r="E805" s="143" t="inlineStr">
        <is>
          <t>SF</t>
        </is>
      </c>
      <c r="F805" s="143" t="n"/>
      <c r="G805" s="143" t="n"/>
      <c r="H805" s="143" t="n"/>
      <c r="I805" s="143" t="inlineStr">
        <is>
          <t>EXCHANGES ARE NAVY EXCHANGE SERVICEC COMMAND (NEXCOM) AUTHORIZED OUTLETS FOR BASIC SERVICES IN CONJUNCTION WITH THE RETAIL STORE, SUCH AS BARBER SHOP, TAILOR/UNIFORM SHOP, RADIO/TV REPAIR SHOP, PORTRAIT STUDIO, WATCH REPAIR SHOP, OPTICAL SHOP, BEAUTY SALON, AND PERSONAL SERVICES.</t>
        </is>
      </c>
    </row>
    <row r="806">
      <c r="C806" s="143" t="inlineStr">
        <is>
          <t>740 11</t>
        </is>
      </c>
      <c r="D806" s="143" t="inlineStr">
        <is>
          <t>NEX DEPOT (SERVMART)</t>
        </is>
      </c>
      <c r="E806" s="143" t="inlineStr">
        <is>
          <t>SF</t>
        </is>
      </c>
      <c r="F806" s="143" t="n"/>
      <c r="G806" s="143" t="n"/>
      <c r="H806" s="143" t="n"/>
      <c r="I806" s="143" t="inlineStr">
        <is>
          <t>NEX DEPOTS ARE SIMILAR TO TRADITIONAL NAVY SERVMARTS, AND OFFER THE SAME TYPE OF INVENTORY, IN A MORE CONVENIENT SETTING. AN NEX DEPOT MAY BE PROVIDED AS DICTATED BY NEXCOM.</t>
        </is>
      </c>
    </row>
    <row r="807">
      <c r="C807" s="143" t="inlineStr">
        <is>
          <t>740 12</t>
        </is>
      </c>
      <c r="D807" s="143" t="inlineStr">
        <is>
          <t>RED CROSS/NAVY RELIEF</t>
        </is>
      </c>
      <c r="E807" s="143" t="inlineStr">
        <is>
          <t>SF</t>
        </is>
      </c>
      <c r="F807" s="143" t="n"/>
      <c r="G807" s="143" t="n"/>
      <c r="H807" s="143" t="n"/>
      <c r="I807" s="143" t="inlineStr">
        <is>
          <t>SPACE PROVIDED WITHIN OTHER FACILITIES FOR THE RED CROSS AND NAVY RELIEF ORGANIZATIONS.</t>
        </is>
      </c>
    </row>
    <row r="808">
      <c r="C808" s="143" t="inlineStr">
        <is>
          <t>740 13</t>
        </is>
      </c>
      <c r="D808" s="143" t="inlineStr">
        <is>
          <t>EXCHANGE LAUNDRY DRY CL</t>
        </is>
      </c>
      <c r="E808" s="143" t="inlineStr">
        <is>
          <t>SF</t>
        </is>
      </c>
      <c r="F808" s="143" t="n"/>
      <c r="G808" s="143" t="n"/>
      <c r="H808" s="143" t="n"/>
      <c r="I808" s="143" t="inlineStr">
        <is>
          <t>DRY CLEANING PLANT AND COIN LAUNDRY FACILITY OPERATED BY THE NAVY EXCHANGE SERVICE COMMAND (NEXCOM).</t>
        </is>
      </c>
    </row>
    <row r="809">
      <c r="C809" s="143" t="inlineStr">
        <is>
          <t>740 16</t>
        </is>
      </c>
      <c r="D809" s="143" t="inlineStr">
        <is>
          <t>EXCHANGE MAINTENANCE SHOP</t>
        </is>
      </c>
      <c r="E809" s="143" t="inlineStr">
        <is>
          <t>SF</t>
        </is>
      </c>
      <c r="F809" s="143" t="n"/>
      <c r="G809" s="143" t="n"/>
      <c r="H809" s="143" t="n"/>
      <c r="I809" s="143" t="inlineStr">
        <is>
          <t>AN EXCHANGE MAINTENANCE SHOP MAY BE PROVIDED FOR THE LOCAL REPAIR OF EXCHANGE EQUIPMENT, FIXTURES REPAIR OF REFRIGERATION EQUIPMENT AND VENDING MACHINES, AND TO PROVIDE SHOP SPACE FOR FACILITY MAINTENANCE CREWS AND PERSONNEL.</t>
        </is>
      </c>
    </row>
    <row r="810">
      <c r="C810" s="143" t="inlineStr">
        <is>
          <t>740 18</t>
        </is>
      </c>
      <c r="D810" s="143" t="inlineStr">
        <is>
          <t>BANK</t>
        </is>
      </c>
      <c r="E810" s="143" t="inlineStr">
        <is>
          <t>SF</t>
        </is>
      </c>
      <c r="F810" s="143" t="n"/>
      <c r="G810" s="143" t="n"/>
      <c r="H810" s="143" t="n"/>
      <c r="I810" s="143" t="inlineStr">
        <is>
          <t>BANKS MAY BE ESTABLISHED ONLY WHEN THEY ARE AUTHORIZED BY THE U.S. TREASURY DEPARTMENT. NORMALLY THERE WILL BE ONLY ONE BANKING FACILITY AT EACH INSTALLATION.</t>
        </is>
      </c>
    </row>
    <row r="811">
      <c r="C811" s="143" t="inlineStr">
        <is>
          <t>740 19</t>
        </is>
      </c>
      <c r="D811" s="143" t="inlineStr">
        <is>
          <t>CREDIT UNION</t>
        </is>
      </c>
      <c r="E811" s="143" t="inlineStr">
        <is>
          <t>SF</t>
        </is>
      </c>
      <c r="F811" s="143" t="n"/>
      <c r="G811" s="143" t="n"/>
      <c r="H811" s="143" t="n"/>
      <c r="I811" s="143" t="inlineStr">
        <is>
          <t>CREDIT UNIONS ARE PRIVATE COOPERATIVE SAVINGS AND LOAN ORGANIZATIONS. FACILITIES FOR A PROPERLY CHARTERED CREDIT UNION MAY BE PROVIDED TO SERVE MILITARY PERSONNEL, THEIR DEPENDENTS, AND OTHER PERSONNEL AS PERMITTED IN THE BYLAWS OF THE CREDIT UNION.</t>
        </is>
      </c>
    </row>
    <row r="812">
      <c r="C812" s="143" t="inlineStr">
        <is>
          <t>740 20</t>
        </is>
      </c>
      <c r="D812" s="143" t="inlineStr">
        <is>
          <t>PCS OFFICIAL LODGING</t>
        </is>
      </c>
      <c r="E812" s="143" t="inlineStr">
        <is>
          <t>SF</t>
        </is>
      </c>
      <c r="F812" s="143" t="n"/>
      <c r="G812" s="143" t="n"/>
      <c r="H812" s="143" t="n"/>
      <c r="I812" s="143" t="inlineStr">
        <is>
          <t>THESE FACILITIES ARE LODGING PROVIDED AT A COST TO PERSONNEL WHO ARE WITHOUT HOUSING DUE TO EXECUTING PERMANENT CHANGE OF STATION (PCS) ORDERS. THESE FACILITIES MAY BE USED BY TEMPORARY DUTY OR LEISURE TRAVELERS. WHERE NEW CONSTRUCTION IS AUTHORIZED, CONSTRUCT MOTEL TYPE FACILITIES WITH BATH AND WITH KITCHENETTES. LIVING UNITS SHALL CONTAIN NO MORE THAN 450 SQUARE FEET OF LIVING AREA. APPROPRIATE CIRCULATION, ADMINISTRATION, MECHANICAL AND SERVICE SPACE WILL BE PROVIDED.</t>
        </is>
      </c>
    </row>
    <row r="813">
      <c r="C813" s="143" t="inlineStr">
        <is>
          <t>740 21</t>
        </is>
      </c>
      <c r="D813" s="143" t="inlineStr">
        <is>
          <t>VISITOR RECEPTN (RECRUIT)</t>
        </is>
      </c>
      <c r="E813" s="143" t="inlineStr">
        <is>
          <t>SF</t>
        </is>
      </c>
      <c r="F813" s="143" t="n"/>
      <c r="G813" s="143" t="n"/>
      <c r="H813" s="143" t="n"/>
      <c r="I813" s="143" t="inlineStr">
        <is>
          <t>A VISITOR¿S RECEPTION CENTER IS LIMITED TO INSTALLATIONS PERFORMING BASIC TRAINING. IT SERVES AS A POINT OF CONTACT BETWEEN TRAINEES AND VISITING RELATIVES OR FRIENDS.</t>
        </is>
      </c>
    </row>
    <row r="814">
      <c r="C814" s="143" t="inlineStr">
        <is>
          <t>740 23</t>
        </is>
      </c>
      <c r="D814" s="143" t="inlineStr">
        <is>
          <t>COMMISSRY INC BACKUP STRG</t>
        </is>
      </c>
      <c r="E814" s="143" t="inlineStr">
        <is>
          <t>SF</t>
        </is>
      </c>
      <c r="F814" s="143" t="n"/>
      <c r="G814" s="143" t="n"/>
      <c r="H814" s="143" t="n"/>
      <c r="I814" s="143" t="inlineStr">
        <is>
          <t>FACILITY USED FOR THE SALE OF PERISHABLE GOODS AND OTHER GROCERIES AND FOODSTUFFS. OPERATED BY THE DEFENSE COMMISSARY AGENCY (DECA).</t>
        </is>
      </c>
    </row>
    <row r="815">
      <c r="C815" s="143" t="inlineStr">
        <is>
          <t>740 24</t>
        </is>
      </c>
      <c r="D815" s="143" t="inlineStr">
        <is>
          <t>COMMISSARY COLD STRG,DET</t>
        </is>
      </c>
      <c r="E815" s="143" t="inlineStr">
        <is>
          <t>SF</t>
        </is>
      </c>
      <c r="F815" s="143" t="n"/>
      <c r="G815" s="143" t="n"/>
      <c r="H815" s="143" t="n"/>
      <c r="I815" s="143" t="inlineStr">
        <is>
          <t>DETACHED FACILITY USED FOR COLD STORAGE OF PERISHABLE ITEMS STOCKED FOR THE COMMISSARY.</t>
        </is>
      </c>
    </row>
    <row r="816">
      <c r="C816" s="143" t="inlineStr">
        <is>
          <t>740 25</t>
        </is>
      </c>
      <c r="D816" s="143" t="inlineStr">
        <is>
          <t>FAMILY SERVICES CNTR</t>
        </is>
      </c>
      <c r="E816" s="143" t="inlineStr">
        <is>
          <t>SF</t>
        </is>
      </c>
      <c r="F816" s="143" t="n"/>
      <c r="G816" s="143" t="n"/>
      <c r="H816" s="143" t="n"/>
      <c r="I816" s="143" t="inlineStr">
        <is>
          <t>THE FAMILY SERVICES CENTER (FSC) FACILITY SUPPORTS THE PROGRAMS THAT PROVIDE THE INFORMATION AND FAMILY SERVICES NECESSARY TO SUPPORT QUALIFIED SINGLE AND MARRIED DEPARTMENT OF DEFENSE (DOD) PERSONNEL AND THEIR FAMILY MEMBERS IN MEETING THE UNIQUE DEMANDS OF THE MILITARY LIFESTYLE, AS DEFINED BY DOD INSTRUCTION 1342.22, FAMILY CENTERS.</t>
        </is>
      </c>
    </row>
    <row r="817">
      <c r="C817" s="143" t="inlineStr">
        <is>
          <t>740 27</t>
        </is>
      </c>
      <c r="D817" s="143" t="inlineStr">
        <is>
          <t>ARMED FORCES RADIO/TV STA</t>
        </is>
      </c>
      <c r="E817" s="143" t="inlineStr">
        <is>
          <t>SF</t>
        </is>
      </c>
      <c r="F817" s="143" t="n"/>
      <c r="G817" s="143" t="n"/>
      <c r="H817" s="143" t="n"/>
      <c r="I817" s="143" t="inlineStr">
        <is>
          <t>A RADIO AND/OR TV STATION IS NORMALLY ESTABLISHED IN OVERSEAS LOCATIONS TO PROVIDE U.S. INSTALLATION POPULATION WITH ENTERTAINMENT AND NEWS COVERAGE. AS A RULE, THE COVERAGE RADIUS IS LIMITED TO THE INSTALLATION AND IMMEDIATE VICINITY AND THE FACILITIES ARE RESTRICTED FOR TRANSMISSION OF PRERECORDED PROGRAM MATERIAL.</t>
        </is>
      </c>
    </row>
    <row r="818">
      <c r="C818" s="143" t="inlineStr">
        <is>
          <t>740 28</t>
        </is>
      </c>
      <c r="D818" s="143" t="inlineStr">
        <is>
          <t>AMUSEMENT CTR / REC MALL</t>
        </is>
      </c>
      <c r="E818" s="143" t="inlineStr">
        <is>
          <t>SF</t>
        </is>
      </c>
      <c r="F818" s="143" t="n"/>
      <c r="G818" s="143" t="n"/>
      <c r="H818" s="143" t="n"/>
      <c r="I818" s="143" t="inlineStr">
        <is>
          <t>AMUSEMENT CENTERS ARE RECREATIONAL FACILITIES WHICH CATER LARGELY TO THE LEISURE NEEDS OF YOUNGER ACTIVE-DUTY PERSONNEL AND YOUTH FROM MILITARY FAMILIES.</t>
        </is>
      </c>
    </row>
    <row r="819">
      <c r="C819" s="143" t="inlineStr">
        <is>
          <t>740 30</t>
        </is>
      </c>
      <c r="D819" s="143" t="inlineStr">
        <is>
          <t>EXCHGE AUTO REPAIR STA</t>
        </is>
      </c>
      <c r="E819" s="143" t="inlineStr">
        <is>
          <t>SF</t>
        </is>
      </c>
      <c r="F819" s="143" t="n"/>
      <c r="G819" s="143" t="n"/>
      <c r="H819" s="143" t="n"/>
      <c r="I819" s="143" t="inlineStr">
        <is>
          <t>THIS FACILITY PROVIDES SPACE FOR GASOLINE AND OIL SALES, AUTOMOTIVE PARTS AND ACCESSORIES SALES, EMERGENCY SERVICE AND AUTOMOTIVE REPAIR SERVICE.</t>
        </is>
      </c>
    </row>
    <row r="820">
      <c r="C820" s="143" t="inlineStr">
        <is>
          <t>740 32</t>
        </is>
      </c>
      <c r="D820" s="143" t="inlineStr">
        <is>
          <t>EXCHANGE CAR WASH</t>
        </is>
      </c>
      <c r="E820" s="143" t="inlineStr">
        <is>
          <t>SF</t>
        </is>
      </c>
      <c r="F820" s="143" t="n"/>
      <c r="G820" s="143" t="n"/>
      <c r="H820" s="143" t="n"/>
      <c r="I820" s="143" t="inlineStr">
        <is>
          <t>AN EXCHANGE OPERATED CAR WASH MAY BE PROVIDED AS DICTATED BY THE NAVY EXCHANGE SERVICE COMMAND. THE NAVY EXCHANGE NORMALLY OPERATES AUTOMATED, DRIVE-THRU CAR WASHES. FOR MWR (SELF SERVICE) CAR WASHES SEE CCN 740-91.</t>
        </is>
      </c>
    </row>
    <row r="821">
      <c r="C821" s="143" t="inlineStr">
        <is>
          <t>740 34</t>
        </is>
      </c>
      <c r="D821" s="143" t="inlineStr">
        <is>
          <t>THRIFT SHOP</t>
        </is>
      </c>
      <c r="E821" s="143" t="inlineStr">
        <is>
          <t>SF</t>
        </is>
      </c>
      <c r="F821" s="143" t="n"/>
      <c r="G821" s="143" t="n"/>
      <c r="H821" s="143" t="n"/>
      <c r="I821" s="143" t="inlineStr">
        <is>
          <t>THIS IS A NONPROFIT FACILITY FOR THE SALE AND PURCHASE BY MILITARY PERSONNEL OF USED APPAREL, FURNISHINGS AND EQUIPMENT.</t>
        </is>
      </c>
    </row>
    <row r="822">
      <c r="C822" s="143" t="inlineStr">
        <is>
          <t>740 36</t>
        </is>
      </c>
      <c r="D822" s="143" t="inlineStr">
        <is>
          <t>HOBBY SHOP - CRAFTECH</t>
        </is>
      </c>
      <c r="E822" s="143" t="inlineStr">
        <is>
          <t>SF</t>
        </is>
      </c>
      <c r="F822" s="143" t="n"/>
      <c r="G822" s="143" t="n"/>
      <c r="H822" s="143" t="n"/>
      <c r="I822" s="143" t="inlineStr">
        <is>
          <t>THIS FACILITY IS USED FOR THE PURSUIT OF WOODWORKING, PICTURE FRAMING, CERAMICS AND OTHER HOBBY PASTIMES. THIS CCN IS FOR INVENTORY PURPOSES ONLY.</t>
        </is>
      </c>
    </row>
    <row r="823">
      <c r="C823" s="143" t="inlineStr">
        <is>
          <t>740 37</t>
        </is>
      </c>
      <c r="D823" s="143" t="inlineStr">
        <is>
          <t>MWR OUTDOOR REC CTR</t>
        </is>
      </c>
      <c r="E823" s="143" t="inlineStr">
        <is>
          <t>SF</t>
        </is>
      </c>
      <c r="F823" s="143" t="n"/>
      <c r="G823" s="143" t="n"/>
      <c r="H823" s="143" t="n"/>
      <c r="I823" s="143" t="inlineStr">
        <is>
          <t>THIS CATEGORY CODE APPLIES TO THREE TYPES OF FACILITIES: OUTDOOR ADVENTURE CENTERS (OAC), RENTAL CENTERS (RC), AND OUTDOOR CENTERS &amp; OTHER RENTALS (OCOR). GENERALLY, OAC, RC, AND OCORS ARE FACILITIES THAT RENT AND/OR SELL GOODS THAT ARE ASSOCIATED WITH OUTDOOR ACTIVITIES AND OUTDOOR RECREATION PROGRAMS (ORP).</t>
        </is>
      </c>
    </row>
    <row r="824">
      <c r="C824" s="143" t="inlineStr">
        <is>
          <t>740 38</t>
        </is>
      </c>
      <c r="D824" s="143" t="inlineStr">
        <is>
          <t>MWR AUTO SKILLS CTR</t>
        </is>
      </c>
      <c r="E824" s="143" t="inlineStr">
        <is>
          <t>SF</t>
        </is>
      </c>
      <c r="F824" s="143" t="n"/>
      <c r="G824" s="143" t="n"/>
      <c r="H824" s="143" t="n"/>
      <c r="I824" s="143" t="inlineStr">
        <is>
          <t>THE MISSION OF AUTOMOTIVE SKILLS CENTER IS TO PROVIDE THEIR CUSTOMERS WITH A QUALITY, VALUE- BASED PROGRAM FOR THE MAINTENANCE, REPAIR, MODIFICATION AND IMPROVEMENT OF THEIR OWN VEHICLES INCLUDING CARS, TRUCKS, TRAILERS, MOTORCYCLES, AND BICYCLES.</t>
        </is>
      </c>
    </row>
    <row r="825">
      <c r="C825" s="143" t="inlineStr">
        <is>
          <t>740 40</t>
        </is>
      </c>
      <c r="D825" s="143" t="inlineStr">
        <is>
          <t>BOWLING CENTER</t>
        </is>
      </c>
      <c r="E825" s="143" t="inlineStr">
        <is>
          <t>SF</t>
        </is>
      </c>
      <c r="F825" s="143" t="n"/>
      <c r="G825" s="143" t="n"/>
      <c r="H825" s="143" t="n"/>
      <c r="I825" s="143" t="inlineStr">
        <is>
          <t>BOWLING CENTERS ARE RECREATIONAL FACILITIES WHICH ACCOMMODATE BOWLING AND RELATED FUNCTIONS, WHICH MAY INCLUDE: OPEN BOWLING, LEAGUES, TOURNAMENTS, YOUTH BOWLING, INSTRUCTION, EXHIBITIONS, AND SUPPORT ACTIVITIES SUCH AS EQUIPMENT SALES AND RENTAL, FOOD AND BEVERAGE SERVICE, ELECTRONIC AND TABLE GAMES, AND MEETINGS.</t>
        </is>
      </c>
    </row>
    <row r="826">
      <c r="C826" s="143" t="inlineStr">
        <is>
          <t>740 42</t>
        </is>
      </c>
      <c r="D826" s="143" t="inlineStr">
        <is>
          <t>COMMUNITY REC CTR</t>
        </is>
      </c>
      <c r="E826" s="143" t="inlineStr">
        <is>
          <t>SF</t>
        </is>
      </c>
      <c r="F826" s="143" t="n"/>
      <c r="G826" s="143" t="n"/>
      <c r="H826" s="143" t="n"/>
      <c r="I826" s="143" t="inlineStr">
        <is>
          <t>FORMERLY "FLEET REC CENTER". THESE ARE A CONSOLIDATION OF MULTIPLE CATEGORY B MWR ACTIVITIES INTO ONE FACILITY WHICH ALLOWS FOR REDUCED FOOTPRINT, OVERHEAD, AND STAFFING COSTS WHILE PROVIDING MORE CONVENIENT ACCESS TO A VARIETY OF RECREATIONAL PROGRAMS, SERVICES, AND FACILITIES FOR THE INSTALLATION COMMUNITY.</t>
        </is>
      </c>
    </row>
    <row r="827">
      <c r="C827" s="143" t="inlineStr">
        <is>
          <t>740 44</t>
        </is>
      </c>
      <c r="D827" s="143" t="inlineStr">
        <is>
          <t>INDOOR PHYSICAL FIT CTR</t>
        </is>
      </c>
      <c r="E827" s="143" t="inlineStr">
        <is>
          <t>SF</t>
        </is>
      </c>
      <c r="F827" s="143" t="n"/>
      <c r="G827" s="143" t="n"/>
      <c r="H827" s="143" t="n"/>
      <c r="I827" s="143" t="inlineStr">
        <is>
          <t>PHYSICAL FITNESS FACILITIES PROVIDE FACILITIES AND SUPPORT SERVICES TO MEET THE INDIVIDUAL PHYSICAL FITNESS, COORDINATION, SKILLS DEVELOPMENT, RECREATION AND TRAINING NEEDS OF MILITARY PERSONNEL.</t>
        </is>
      </c>
    </row>
    <row r="828">
      <c r="C828" s="143" t="inlineStr">
        <is>
          <t>740 45</t>
        </is>
      </c>
      <c r="D828" s="143" t="inlineStr">
        <is>
          <t>FITNESS ROOM</t>
        </is>
      </c>
      <c r="E828" s="143" t="inlineStr">
        <is>
          <t>SF</t>
        </is>
      </c>
      <c r="F828" s="143" t="n"/>
      <c r="G828" s="143" t="n"/>
      <c r="H828" s="143" t="n"/>
      <c r="I828" s="143" t="inlineStr">
        <is>
          <t>FITNESS ROOMS ARE STAND ALONE GYMNASIUM FACILITIES, USUALLY CARDIO EQUIPMENT AND WEIGHT MACHINES OR FREE WEIGHTS, IN A SINGLE AREA OF ROOMS WITHIN A FACILITY OF A DIFFERENT CCN. THIS CCN IS PRIMARILY FOR INVENTORY PURPOSES,</t>
        </is>
      </c>
    </row>
    <row r="829">
      <c r="C829" s="143" t="inlineStr">
        <is>
          <t>740 46</t>
        </is>
      </c>
      <c r="D829" s="143" t="inlineStr">
        <is>
          <t>ROLLER / ICE SKATING RINK</t>
        </is>
      </c>
      <c r="E829" s="143" t="inlineStr">
        <is>
          <t>SF</t>
        </is>
      </c>
      <c r="F829" s="143" t="n"/>
      <c r="G829" s="143" t="n"/>
      <c r="H829" s="143" t="n"/>
      <c r="I829" s="143" t="inlineStr">
        <is>
          <t>THIS FACILITY SERVES AS A ROLLER/ICE SKATING RINK REQUIRING A HARD SURFACE FLOOR WITH POTENTIAL FOR MULTIPURPOSE USE.</t>
        </is>
      </c>
    </row>
    <row r="830">
      <c r="C830" s="143" t="inlineStr">
        <is>
          <t>740 47</t>
        </is>
      </c>
      <c r="D830" s="143" t="inlineStr">
        <is>
          <t>INFO, TKT TRAVEL OFFICE</t>
        </is>
      </c>
      <c r="E830" s="143" t="inlineStr">
        <is>
          <t>SF</t>
        </is>
      </c>
      <c r="F830" s="143" t="n"/>
      <c r="G830" s="143" t="n"/>
      <c r="H830" s="143" t="n"/>
      <c r="I830" s="143" t="inlineStr">
        <is>
          <t>THE MISSION OF THE RECREATION INFORMATION, TICKETS AND TRAVEL (ITT) OFFICE IS TO SERVE THE MILITARY COMMUNITY'S LEISURE NEEDS BY PROVIDING INFORMATION ON WHAT TO SEE AND DO LOCALLY, OFFERING TOURS TO NEARBY ATTRACTIONS, SELLING TICKETS FOR MUSICAL AND THEATRICAL PERFORMANCES, AND OTHER SPECIAL EVENTS, AND PROVIDING OPTIONS FOR LEISURE TRAVEL (THIS MAY INCLUDE CRUISE AND AIRLINE TICKET SERVICE).</t>
        </is>
      </c>
    </row>
    <row r="831">
      <c r="C831" s="143" t="inlineStr">
        <is>
          <t>740 49</t>
        </is>
      </c>
      <c r="D831" s="143" t="inlineStr">
        <is>
          <t>AUSTERE FITNESS CENTER</t>
        </is>
      </c>
      <c r="E831" s="143" t="inlineStr">
        <is>
          <t>SF</t>
        </is>
      </c>
      <c r="F831" s="143" t="n"/>
      <c r="G831" s="143" t="n"/>
      <c r="H831" s="143" t="n"/>
      <c r="I831" s="143" t="inlineStr">
        <is>
          <t>AUSTERE PHYSICAL FITNESS FACILITIES PROVIDE FACILITIES AND SUPPORT SERVICES TO MEET THE INDIVIDUAL PHYSICAL FITNESS, COORDINATION, SKILLS DEVELOPMENT, RECREATIONAL AND TRAINING NEEDS OF MILITARY PERSONNEL STATIONED IN DESIGNATED AUSTERE OPERATING ENVIRONMENTS.</t>
        </is>
      </c>
    </row>
    <row r="832">
      <c r="C832" s="143" t="inlineStr">
        <is>
          <t>740 52</t>
        </is>
      </c>
      <c r="D832" s="143" t="inlineStr">
        <is>
          <t>GUN/SKEET/TRAP BLDG</t>
        </is>
      </c>
      <c r="E832" s="143" t="inlineStr">
        <is>
          <t>SF</t>
        </is>
      </c>
      <c r="F832" s="143" t="n"/>
      <c r="G832" s="143" t="n"/>
      <c r="H832" s="143" t="n"/>
      <c r="I832" s="143" t="inlineStr">
        <is>
          <t>THIS FACILITY IS FOR SUPPORT OF THE RESPECTIVE RANGES AND CONTAINS OPERATOR'S OFFICE, STORAGE, SALES AREA, GUN MAINTENANCE SHOP, TOILETS AND LOUNGE.</t>
        </is>
      </c>
    </row>
    <row r="833">
      <c r="C833" s="143" t="inlineStr">
        <is>
          <t>740 53</t>
        </is>
      </c>
      <c r="D833" s="143" t="inlineStr">
        <is>
          <t>SWIMMING POOL - INDOOR</t>
        </is>
      </c>
      <c r="E833" s="143" t="inlineStr">
        <is>
          <t>SF</t>
        </is>
      </c>
      <c r="F833" s="143" t="n"/>
      <c r="G833" s="143" t="n"/>
      <c r="H833" s="143" t="n"/>
      <c r="I833" s="143" t="inlineStr">
        <is>
          <t>THE PRIMARY PURPOSE OF SWIMMING POOLS IS TO SUPPORT PHYSICAL READINESS PROGRAMS AS WELL AS INSTRUCTIONAL, INFORMAL AND INTRAMURAL ACTIVITIES, AND TO SERVE THE RECREATIONAL NEEDS OF ACTIVE-DUTY MILITARY PERSONNEL AND THEIR SPOUSES AND CHILDREN, RETIREES AND DOD AUTHORIZED CIVILIANS.</t>
        </is>
      </c>
    </row>
    <row r="834">
      <c r="C834" s="143" t="inlineStr">
        <is>
          <t>740 54</t>
        </is>
      </c>
      <c r="D834" s="143" t="inlineStr">
        <is>
          <t>MWR MIL REC CENTER</t>
        </is>
      </c>
      <c r="E834" s="143" t="inlineStr">
        <is>
          <t>SF</t>
        </is>
      </c>
      <c r="F834" s="143" t="n"/>
      <c r="G834" s="143" t="n"/>
      <c r="H834" s="143" t="n"/>
      <c r="I834" s="143" t="inlineStr">
        <is>
          <t>THE MWR MILITARY RECREATION CENTER (MRC) HAS INCORPORATED THE FEATURES AND FUNCTIONS OF THE FLEET RECREATION CENTER IN ORDER TO DEFINE A FACILITY THAT SERVES THE RECREATIONAL NEEDS OF BOTH SHIP-BASED ENLISTED PERSONNEL AS WELL AS THOSE LIVING IN BACHELOR ENLISTED QUARTERS. THEY CONSIST OF SERVICES, FACILITIES, AND PROGRAMS INTENDED TO PROVIDE ALCOHOL-FREE AND TOBACCO-FREE RECREATIONAL ALTERNATIVES FOR 17- TO 25-YEAR OLDS. ALSO KNOWN AS LIBERTY OR SINGLE SAILOR CENTERS.</t>
        </is>
      </c>
    </row>
    <row r="835">
      <c r="C835" s="143" t="inlineStr">
        <is>
          <t>740 55</t>
        </is>
      </c>
      <c r="D835" s="143" t="inlineStr">
        <is>
          <t>YOUTH &amp; SAC (6- 18 YRS)</t>
        </is>
      </c>
      <c r="E835" s="143" t="inlineStr">
        <is>
          <t>SF</t>
        </is>
      </c>
      <c r="F835" s="143" t="n"/>
      <c r="G835" s="143" t="n"/>
      <c r="H835" s="143" t="n"/>
      <c r="I835" s="143" t="inlineStr">
        <is>
          <t>THE YOUTH CENTER IS A SOCIAL AND RECREATIONAL CENTER PRIMARILY FOR USE BY CHILDREN AGES 6 TO 18 IN SUPPORT OF A YOUTH PROGRAM. THE YOUTH CENTER SUPPORTS OPPORTUNITIES FOR YOUTH TO DEVELOP THEIR PHYSICAL, SOCIAL, EMOTIONAL, AND COGNITIVE ABILITIES AND TO EXPERIENCE ACHIEVEMENT, LEADERSHIP, ENJOYMENT, FRIENDSHIP, AND RECOGNITION.</t>
        </is>
      </c>
    </row>
    <row r="836">
      <c r="C836" s="143" t="inlineStr">
        <is>
          <t>740 56</t>
        </is>
      </c>
      <c r="D836" s="143" t="inlineStr">
        <is>
          <t>THEATER</t>
        </is>
      </c>
      <c r="E836" s="143" t="inlineStr">
        <is>
          <t>SF</t>
        </is>
      </c>
      <c r="F836" s="143" t="n"/>
      <c r="G836" s="143" t="n"/>
      <c r="H836" s="143" t="n"/>
      <c r="I836" s="143" t="inlineStr">
        <is>
          <t>THIS CATCODE IS FOR A FACILITY FOR THE SHOWING OF MOVIES AND THE PRESENTATION OF STAGE PRODUCTIONS.</t>
        </is>
      </c>
    </row>
    <row r="837">
      <c r="C837" s="143" t="inlineStr">
        <is>
          <t>740 67</t>
        </is>
      </c>
      <c r="D837" s="143" t="inlineStr">
        <is>
          <t>ALL HANDS CLUB</t>
        </is>
      </c>
      <c r="E837" s="143" t="inlineStr">
        <is>
          <t>SF</t>
        </is>
      </c>
      <c r="F837" s="143" t="n"/>
      <c r="G837" s="143" t="n"/>
      <c r="H837" s="143" t="n"/>
      <c r="I837" s="143" t="inlineStr">
        <is>
          <t>THIS CODE IS USED TO PLAN THE SPACE REQUIREMENTS FOR A SINGLE FACILITY TO ACCOMMODATE ON-BASE FACILITIES, SURROUNDING COMPETITIVE ENVIRONMENT AND SIZE OF THE SUPPORTING POPULATION. IT MAY INCLUDE ONE OR MORE OF THE FOLLOWING COMPONENTS: TABLE SERVICE RESTAURANT, QUICK SERVICE RESTAURANT, BANQUET/CATERING ROOM, CAFETERIA, GAMING ROOM (OCONUS, NON-US), BEVERAGE LOUNGE WITH OR WITHOUT ENTERTAINMENT.</t>
        </is>
      </c>
    </row>
    <row r="838">
      <c r="C838" s="143" t="inlineStr">
        <is>
          <t>740 68</t>
        </is>
      </c>
      <c r="D838" s="143" t="inlineStr">
        <is>
          <t>MWR CATERING FACILITY</t>
        </is>
      </c>
      <c r="E838" s="143" t="inlineStr">
        <is>
          <t>SF</t>
        </is>
      </c>
      <c r="F838" s="143" t="n"/>
      <c r="G838" s="143" t="n"/>
      <c r="H838" s="143" t="n"/>
      <c r="I838" s="143" t="inlineStr">
        <is>
          <t>THIS FACILITY MAY BE STAND ALONE OR COMBINED WITH AN OFFICERS CLUB, ENLISTED CLUB, ALL HANDS CLUB, BOWLING CENTER, MARINA CLUBHOUSE, OR GOLF CLUBHOUSE. THE CATERING FACILITY OFTEN INCLUDES BINGO OPERATIONS IN AT LEAST ONE ROOM.</t>
        </is>
      </c>
    </row>
    <row r="839">
      <c r="C839" s="143" t="inlineStr">
        <is>
          <t>740 71</t>
        </is>
      </c>
      <c r="D839" s="143" t="inlineStr">
        <is>
          <t>NEX PACKAGE STORE</t>
        </is>
      </c>
      <c r="E839" s="143" t="inlineStr">
        <is>
          <t>SF</t>
        </is>
      </c>
      <c r="F839" s="143" t="n"/>
      <c r="G839" s="143" t="n"/>
      <c r="H839" s="143" t="n"/>
      <c r="I839" s="143" t="inlineStr">
        <is>
          <t>THIS FACILITY PROVIDES FOR RETAIL SALES TO AUTHORIZED CUSTOMERS AND THE TRANSFER (WHOLESALE) OF ALCOHOLIC BEVERAGES TO CLUBS AND OPEN MESSES. A SELECT FEW LOCATIONS HAVE PACKAGE STORES OPERATED BY MWR AS PERMITTED BY CONGRESS.</t>
        </is>
      </c>
    </row>
    <row r="840">
      <c r="C840" s="143" t="inlineStr">
        <is>
          <t>740 74</t>
        </is>
      </c>
      <c r="D840" s="143" t="inlineStr">
        <is>
          <t>CHILD DEVELOPMT CENTER</t>
        </is>
      </c>
      <c r="E840" s="143" t="inlineStr">
        <is>
          <t>SF</t>
        </is>
      </c>
      <c r="F840" s="143" t="n"/>
      <c r="G840" s="143" t="n"/>
      <c r="H840" s="143" t="n"/>
      <c r="I840" s="143" t="inlineStr">
        <is>
          <t>CHILD DEVELOPMENT CENTERS PROVIDE CHILD CARE/DEVELOPMENT FOR CHILDREN AGES 6-WEEKS TO 6 YEARS OLD FOR FULL-DAY, PART-DAY, AND HOURLY CARE.</t>
        </is>
      </c>
    </row>
    <row r="841">
      <c r="C841" s="143" t="inlineStr">
        <is>
          <t>740 75</t>
        </is>
      </c>
      <c r="D841" s="143" t="inlineStr">
        <is>
          <t>NAVY FLYING CLUB FACILITY</t>
        </is>
      </c>
      <c r="E841" s="143" t="inlineStr">
        <is>
          <t>SF</t>
        </is>
      </c>
      <c r="F841" s="143" t="n"/>
      <c r="G841" s="143" t="n"/>
      <c r="H841" s="143" t="n"/>
      <c r="I841" s="143" t="inlineStr">
        <is>
          <t>THE NAVY FLYING CLUB IS A RECREATIONAL FLYING ACTIVITY LOCATED ON OR NEAR MILITARY INSTALLATIONS USED BY AUTHORIZED PERSONNEL AND APPROVED BY THE DEPARTMENT CONCERNED.</t>
        </is>
      </c>
    </row>
    <row r="842">
      <c r="C842" s="143" t="inlineStr">
        <is>
          <t>740 76</t>
        </is>
      </c>
      <c r="D842" s="143" t="inlineStr">
        <is>
          <t>LIBRARY</t>
        </is>
      </c>
      <c r="E842" s="143" t="inlineStr">
        <is>
          <t>SF</t>
        </is>
      </c>
      <c r="F842" s="143" t="n"/>
      <c r="G842" s="143" t="n"/>
      <c r="H842" s="143" t="n"/>
      <c r="I842" s="143" t="inlineStr">
        <is>
          <t>THIS FACILITY IS FOR RECREATIONAL READING AND STUDY.</t>
        </is>
      </c>
    </row>
    <row r="843">
      <c r="C843" s="143" t="inlineStr">
        <is>
          <t>740 77</t>
        </is>
      </c>
      <c r="D843" s="143" t="inlineStr">
        <is>
          <t>MWR READY STOR</t>
        </is>
      </c>
      <c r="E843" s="143" t="inlineStr">
        <is>
          <t>SF</t>
        </is>
      </c>
      <c r="F843" s="143" t="n"/>
      <c r="G843" s="143" t="n"/>
      <c r="H843" s="143" t="n"/>
      <c r="I843" s="143" t="inlineStr">
        <is>
          <t>STORAGE FACILITIES FOR MISCELLANEOUS EQUIPMENT AND/OR GOODS RELATED TO COMMUNITY SUPPORT WILL BE PROVIDED ONLY WHERE THEY CAN BE INDIVIDUALLY JUSTIFIED. THERE ARE NO CRITERIA FOR THIS TYPE OF FACILITY.</t>
        </is>
      </c>
    </row>
    <row r="844">
      <c r="C844" s="143" t="inlineStr">
        <is>
          <t>740 78</t>
        </is>
      </c>
      <c r="D844" s="143" t="inlineStr">
        <is>
          <t>RECREATION PAVILION</t>
        </is>
      </c>
      <c r="E844" s="143" t="inlineStr">
        <is>
          <t>SF</t>
        </is>
      </c>
      <c r="F844" s="143" t="n"/>
      <c r="G844" s="143" t="n"/>
      <c r="H844" s="143" t="n"/>
      <c r="I844" s="143" t="inlineStr">
        <is>
          <t>THE PURPOSE OF THIS FACILITY IS TO SUPPORT RECREATION AREAS SUCH AS PARKS, PLAYGROUNDS, PICNIC AREAS, BEACHES, ETC. THIS FACILITY MAY INCLUDE LOUNGE, TOILETS, BATHHOUSES, STORAGE AREAS, SNACK BARS, AND/OR CONCESSION STAND FOR LIMITED AND RELATED ITEMS AS REQUIRED.</t>
        </is>
      </c>
    </row>
    <row r="845">
      <c r="C845" s="143" t="inlineStr">
        <is>
          <t>740 79</t>
        </is>
      </c>
      <c r="D845" s="143" t="inlineStr">
        <is>
          <t>RIDING STABLES</t>
        </is>
      </c>
      <c r="E845" s="143" t="inlineStr">
        <is>
          <t>SF</t>
        </is>
      </c>
      <c r="F845" s="143" t="n"/>
      <c r="G845" s="143" t="n"/>
      <c r="H845" s="143" t="n"/>
      <c r="I845" s="143" t="inlineStr">
        <is>
          <t>PROVIDES SPACE FOR SINGLE STALLS, BOX OR DOUBLE STALLS, TREATMENT STALLS, QUARANTINE AREAS, QUARTERS FOR ONE OPERATOR, HAY STORAGE AREA, GRAIN ROOM, TACK LOCKERS, SWEAT PAD AND BLANKET DRYING AREA, OFFICE, AND TOILETS.</t>
        </is>
      </c>
    </row>
    <row r="846">
      <c r="C846" s="143" t="inlineStr">
        <is>
          <t>740 80</t>
        </is>
      </c>
      <c r="D846" s="143" t="inlineStr">
        <is>
          <t>GOLF CLUBHOUSE</t>
        </is>
      </c>
      <c r="E846" s="143" t="inlineStr">
        <is>
          <t>SF</t>
        </is>
      </c>
      <c r="F846" s="143" t="n"/>
      <c r="G846" s="143" t="n"/>
      <c r="H846" s="143" t="n"/>
      <c r="I846" s="143" t="inlineStr">
        <is>
          <t>THIS FACILITY ACTS AS THE MAIN SERVICE AREA FOR THE GOLF COURSE. FOODSERVICE AND GOLF EQUIPMENT SALES ARE THE TWO PRIMARY FUNCTIONS OF THE CLUBHOUSE.</t>
        </is>
      </c>
    </row>
    <row r="847">
      <c r="C847" s="143" t="inlineStr">
        <is>
          <t>740 81</t>
        </is>
      </c>
      <c r="D847" s="143" t="inlineStr">
        <is>
          <t>MWR RENTAL ACCOMMODATIONS</t>
        </is>
      </c>
      <c r="E847" s="143" t="inlineStr">
        <is>
          <t>SF</t>
        </is>
      </c>
      <c r="F847" s="143" t="n"/>
      <c r="G847" s="143" t="n"/>
      <c r="H847" s="143" t="n"/>
      <c r="I847" s="143" t="inlineStr">
        <is>
          <t>MWR RENTAL ACCOMMODATIONS ARE PERMANENT, STAND-ALONE, OR MULTIPLEX BUILDINGS. THEY MAY TAKE THE FORM OF MODERN MOTELS, MULTI- LEVEL HOTELS, PRIMITIVE CAMPING CABINS WITH NO UTILITY CONNECTIONS, OR ALMOST ANYTHING IN BETWEEN, DEPENDING ON THE GEOGRAPHY, THE MARKET BEING SERVED, AND DEMAND.</t>
        </is>
      </c>
    </row>
    <row r="848">
      <c r="C848" s="143" t="inlineStr">
        <is>
          <t>740 82</t>
        </is>
      </c>
      <c r="D848" s="143" t="inlineStr">
        <is>
          <t>GOLF STOR MAINT FAC</t>
        </is>
      </c>
      <c r="E848" s="143" t="inlineStr">
        <is>
          <t>SF</t>
        </is>
      </c>
      <c r="F848" s="143" t="n"/>
      <c r="G848" s="143" t="n"/>
      <c r="H848" s="143" t="n"/>
      <c r="I848" s="143" t="inlineStr">
        <is>
          <t>A GOLF STORAGE/MAINTENANCE FACILITY PROVIDES SPACE FOR MAINTENANCE,STORAGE, AND SUPPORTING SPACES ASSOCIATED WITH INSTALLATION GOLF COURSES OF NINE OR MORE HOLES.</t>
        </is>
      </c>
    </row>
    <row r="849">
      <c r="C849" s="143" t="inlineStr">
        <is>
          <t>740 85</t>
        </is>
      </c>
      <c r="D849" s="143" t="inlineStr">
        <is>
          <t>EXCHGE DIST CTR (WRHSE)</t>
        </is>
      </c>
      <c r="E849" s="143" t="inlineStr">
        <is>
          <t>SF</t>
        </is>
      </c>
      <c r="F849" s="143" t="n"/>
      <c r="G849" s="143" t="n"/>
      <c r="H849" s="143" t="n"/>
      <c r="I849" s="143" t="inlineStr">
        <is>
          <t>THIS TYPE WAREHOUSE MAY BE PROVIDED FOR BULK BACK-UP STORAGE (EXCHANGE STOCK AND OPERATING SUPPLIES) TO SUPPORT ALL EXCHANGE OPERATIONS WITHIN A GEOGRAPHICAL AREA AS DETERMINED BY NEXCOM OR MARINE CORPS EXCHANGE SERVICES.</t>
        </is>
      </c>
    </row>
    <row r="850">
      <c r="C850" s="143" t="inlineStr">
        <is>
          <t>740 86</t>
        </is>
      </c>
      <c r="D850" s="143" t="inlineStr">
        <is>
          <t>EXCHANGE INSTALLATION WHSE</t>
        </is>
      </c>
      <c r="E850" s="143" t="inlineStr">
        <is>
          <t>SF</t>
        </is>
      </c>
      <c r="F850" s="143" t="n"/>
      <c r="G850" s="143" t="n"/>
      <c r="H850" s="143" t="n"/>
      <c r="I850" s="143" t="inlineStr">
        <is>
          <t>THIS CATCODE IS FOR THE TOTAL STORAGE SPACE THAT MAY BE PROVIDED IN INSTALLATION EXCHANGE WAREHOUSES TO ACCOMMODATE BACK-UP STORAGE FOR EXCHANGE RETAIL ACTIVITIES FOR THAT INSTALLATION.</t>
        </is>
      </c>
    </row>
    <row r="851">
      <c r="C851" s="143" t="inlineStr">
        <is>
          <t>740 87</t>
        </is>
      </c>
      <c r="D851" s="143" t="inlineStr">
        <is>
          <t>MARINA SUPPT BLDG</t>
        </is>
      </c>
      <c r="E851" s="143" t="inlineStr">
        <is>
          <t>SF</t>
        </is>
      </c>
      <c r="F851" s="143" t="n"/>
      <c r="G851" s="143" t="n"/>
      <c r="H851" s="143" t="n"/>
      <c r="I851" s="143" t="inlineStr">
        <is>
          <t>THIS FACILITY PROVIDES SPACE FOR OFFICE, EQUIPMENT CHECK-OUT, REPAIR, AND STORAGE. IT DOES NOT INCLUDE DOCKS, MARINA SLIPS, AND WALKWAYS WHICH ARE LISTED UNDER CODE 750 60. THIS IS A SPECIAL FACILITY WHICH IS REQUIRED ONLY AT OUTDOOR RECREATION AREAS WHICH HAVE WATERFRONT FACILITIES AVAILABLE FOR BOATING ACTIVITIES.</t>
        </is>
      </c>
    </row>
    <row r="852">
      <c r="C852" s="143" t="inlineStr">
        <is>
          <t>740 88</t>
        </is>
      </c>
      <c r="D852" s="143" t="inlineStr">
        <is>
          <t>EDUCATIONAL SRVCS OFFICE</t>
        </is>
      </c>
      <c r="E852" s="143" t="inlineStr">
        <is>
          <t>SF</t>
        </is>
      </c>
      <c r="F852" s="143" t="n"/>
      <c r="G852" s="143" t="n"/>
      <c r="H852" s="143" t="n"/>
      <c r="I852" s="143" t="inlineStr">
        <is>
          <t>THIS FACILITY IS INTENDED TO PROVIDE FACILITIES FOR THE ADVANCEMENT OF THE ACADEMIC, TECHNICAL, AND VOCATIONAL EDUCATION OF MILITARY PERSONNEL OF ALL GRADES AND RANKS IN ORDER TO ENHANCE THEIR POTENTIAL TO THE SERVICE.</t>
        </is>
      </c>
    </row>
    <row r="853">
      <c r="C853" s="143" t="inlineStr">
        <is>
          <t>740 89</t>
        </is>
      </c>
      <c r="D853" s="143" t="inlineStr">
        <is>
          <t>BATHHOUSE</t>
        </is>
      </c>
      <c r="E853" s="143" t="inlineStr">
        <is>
          <t>SF</t>
        </is>
      </c>
      <c r="F853" s="143" t="n"/>
      <c r="G853" s="143" t="n"/>
      <c r="H853" s="143" t="n"/>
      <c r="I853" s="143" t="inlineStr">
        <is>
          <t>THE PRIMARY PURPOSE OF A BATHHOUSE IS TO PROVIDE A FACILITY FOR POOL AND BEACH USERS TO STORE THEIR BELONGINGS WHILE USING THE RECREATIONAL FACILITY, TO CLEAN UP, AND HAVE A PLACE TO USE THE RESTROOM. IN ADDITION, THE BATHHOUSE CONTAINS THE OFFICES FOR THE ADMINISTRATIVE STAFF AND LIFEGUARDS.</t>
        </is>
      </c>
    </row>
    <row r="854">
      <c r="C854" s="143" t="inlineStr">
        <is>
          <t>740 90</t>
        </is>
      </c>
      <c r="D854" s="143" t="inlineStr">
        <is>
          <t>MWR EQUIP MAINT SHOP</t>
        </is>
      </c>
      <c r="E854" s="143" t="inlineStr">
        <is>
          <t>SF</t>
        </is>
      </c>
      <c r="F854" s="143" t="n"/>
      <c r="G854" s="143" t="n"/>
      <c r="H854" s="143" t="n"/>
      <c r="I854" s="143" t="inlineStr">
        <is>
          <t>AN MWR EQUIPMENT MAINTENANCE SHOP IS WHERE NAF VEHICLES AND GROUNDS MAINTENANCE EQUIPMENT (NON-GOLF), IS MAINTAINED.</t>
        </is>
      </c>
    </row>
    <row r="855">
      <c r="C855" s="143" t="inlineStr">
        <is>
          <t>740 91</t>
        </is>
      </c>
      <c r="D855" s="143" t="inlineStr">
        <is>
          <t>MWR CAR WASH</t>
        </is>
      </c>
      <c r="E855" s="143" t="inlineStr">
        <is>
          <t>SF</t>
        </is>
      </c>
      <c r="F855" s="143" t="n"/>
      <c r="G855" s="143" t="n"/>
      <c r="H855" s="143" t="n"/>
      <c r="I855" s="143" t="inlineStr">
        <is>
          <t>A COIN OPERATED STAND ALONE CAR WASH AND VACUUM ISLAND OPERATED BY MWR.</t>
        </is>
      </c>
    </row>
    <row r="856">
      <c r="C856" s="143" t="inlineStr">
        <is>
          <t>740 92</t>
        </is>
      </c>
      <c r="D856" s="143" t="inlineStr">
        <is>
          <t>MWR RV SUPPORT BLDG</t>
        </is>
      </c>
      <c r="E856" s="143" t="inlineStr">
        <is>
          <t>SF</t>
        </is>
      </c>
      <c r="F856" s="143" t="n"/>
      <c r="G856" s="143" t="n"/>
      <c r="H856" s="143" t="n"/>
      <c r="I856" s="143" t="inlineStr">
        <is>
          <t>RECREATIONAL RV PARKS PROVIDE THE MILITARY COMMUNITY WITH OUTDOOR RECREATION OPPORTUNITIES AT LOCATIONS WITH ATTRACTIVE NATURAL RESOURCES. TO COMPLEMENT THE CAMPING EXPERIENCE, AND DEPENDING ON LOCATION, RECREATIONAL RV PARKS MAY OFFER ACTIVITIES SUCH AS BOATING, CANOEING, FISHING, HIKING, HUNTING, SKIING AND SWIMMING.</t>
        </is>
      </c>
    </row>
    <row r="857">
      <c r="C857" s="143" t="inlineStr">
        <is>
          <t>740 93</t>
        </is>
      </c>
      <c r="D857" s="143" t="inlineStr">
        <is>
          <t>SMOKING GAZEBO</t>
        </is>
      </c>
      <c r="E857" s="143" t="inlineStr">
        <is>
          <t>SF</t>
        </is>
      </c>
      <c r="F857" s="143" t="n"/>
      <c r="G857" s="143" t="n"/>
      <c r="H857" s="143" t="n"/>
      <c r="I857" s="143" t="inlineStr">
        <is>
          <t>SMOKING GAZEBO¿S ARE PROVIDED AS DESIGNATED SMOKING AREAS OUTSIDE OF NAVY AND MARINE CORPS FACILITIES. SIZE IS STANDARD. THIS CCN IS FOR INVENTORY PURPOSES.</t>
        </is>
      </c>
    </row>
    <row r="858">
      <c r="C858" s="143" t="inlineStr">
        <is>
          <t>740 94</t>
        </is>
      </c>
      <c r="D858" s="143" t="inlineStr">
        <is>
          <t>TDY OFFICIAL LODGING</t>
        </is>
      </c>
      <c r="E858" s="143" t="inlineStr">
        <is>
          <t>SF</t>
        </is>
      </c>
      <c r="F858" s="143" t="n"/>
      <c r="G858" s="143" t="n"/>
      <c r="H858" s="143" t="n"/>
      <c r="I858" s="143" t="inlineStr">
        <is>
          <t>THESE FACILITIES PROVIDE TEMPORARY LIVING ACCOMMODATIONS THAT INCLUDES IN-ROOM HOUSEKEEPING SERVICES AND AMENITIES SIMILAR TO A MID-GRADE HOTEL. SERVICE CHARGES ARE ASSESSED TO TDY TRAVELERS TO MANAGE OPERATIONAL AND RECAPITALIZATION REQUIREMENTS. TDY OFFICIAL LODGING MAY BE USED BY PERMANENT CHANGE OF STATION AND LEISURE TRAVELERS</t>
        </is>
      </c>
    </row>
    <row r="859">
      <c r="C859" s="143" t="inlineStr">
        <is>
          <t>740 95</t>
        </is>
      </c>
      <c r="D859" s="143" t="inlineStr">
        <is>
          <t>LIM SVC OFFICIAL LODGING</t>
        </is>
      </c>
      <c r="E859" s="143" t="inlineStr">
        <is>
          <t>SF</t>
        </is>
      </c>
      <c r="F859" s="143" t="n"/>
      <c r="G859" s="143" t="n"/>
      <c r="H859" s="143" t="n"/>
      <c r="I859" s="143" t="inlineStr">
        <is>
          <t>LIMITED SERVICE LODGING PROVIDES TRANSIENT FACILITIES FOR ACTIVE DUTY AND RESERVE MEMBERS (REGARDLESS OF RANK) OF DEPLOYED UNITS AT AN INSTALLATION OTHER THAN THE UNITS' HOMEPORT. THESE FACILITIES PROVIDE LIMITED IN-ROOM HOUSEKEEPING SERVICES AND AMENITIES COMMENSURATE WITH THE UNIT'S LENGTH OF STAY.</t>
        </is>
      </c>
    </row>
    <row r="860">
      <c r="C860" s="143" t="inlineStr">
        <is>
          <t>740 97</t>
        </is>
      </c>
      <c r="D860" s="143" t="inlineStr">
        <is>
          <t>FISHER HOUSE</t>
        </is>
      </c>
      <c r="E860" s="143" t="inlineStr">
        <is>
          <t>SF</t>
        </is>
      </c>
      <c r="F860" s="143" t="n"/>
      <c r="G860" s="143" t="n"/>
      <c r="H860" s="143" t="n"/>
      <c r="I860" s="143" t="inlineStr">
        <is>
          <t>DON FISHER HOUSES PROVIDE TEMPORARY, CONVENIENT, AND AFFORDABLE LODGING TO NAVY MEDICAL TREATMENT FACILITY (MTF) PATIENTS (¿WOUNDED WARRIORS¿), MEMBERS OF THE FAMILIES OF SUCH PATIENTS, AND OTHERS PROVIDING THE EQUIVALENT OF FAMILIAL SUPPORT FOR SUCH PATIENTS.</t>
        </is>
      </c>
    </row>
    <row r="861">
      <c r="C861" s="143" t="inlineStr">
        <is>
          <t>740 98</t>
        </is>
      </c>
      <c r="D861" s="143" t="inlineStr">
        <is>
          <t>NGIS-OPERATED CONF CTR</t>
        </is>
      </c>
      <c r="E861" s="143" t="inlineStr">
        <is>
          <t>SF</t>
        </is>
      </c>
      <c r="F861" s="143" t="n"/>
      <c r="G861" s="143" t="n"/>
      <c r="H861" s="143" t="n"/>
      <c r="I861" s="143" t="inlineStr">
        <is>
          <t>CONFERENCE CENTERS OPERATED BY NAVY GATEWAY INNS AND SUITES</t>
        </is>
      </c>
    </row>
    <row r="862">
      <c r="C862" s="143" t="inlineStr">
        <is>
          <t>750 10</t>
        </is>
      </c>
      <c r="D862" s="143" t="inlineStr">
        <is>
          <t>OUTDOOR PLAYING COURTS</t>
        </is>
      </c>
      <c r="E862" s="143" t="inlineStr">
        <is>
          <t>EA</t>
        </is>
      </c>
      <c r="F862" s="143" t="n"/>
      <c r="G862" s="143" t="n"/>
      <c r="H862" s="143" t="n"/>
      <c r="I862" s="143" t="inlineStr">
        <is>
          <t>OUTDOOR PLAYING COURTS PROVIDE FACILITIES AND SUPPORT SERVICES TO MEET THE INDIVIDUAL PHYSICAL FITNESS AND RECREATION NEEDS OF MILITARY PERSONNEL. THE FACILITIES MAY ALSO SERVE DEPENDENTS, RETIREES AND AUTHORIZED CIVILIANS.</t>
        </is>
      </c>
    </row>
    <row r="863">
      <c r="C863" s="143" t="inlineStr">
        <is>
          <t>750 20</t>
        </is>
      </c>
      <c r="D863" s="143" t="inlineStr">
        <is>
          <t>PLAYING FIELDS</t>
        </is>
      </c>
      <c r="E863" s="143" t="inlineStr">
        <is>
          <t>EA</t>
        </is>
      </c>
      <c r="F863" s="143" t="n"/>
      <c r="G863" s="143" t="n"/>
      <c r="H863" s="143" t="n"/>
      <c r="I863" s="143" t="inlineStr">
        <is>
          <t>PLAYING FIELDS PROVIDE FACILITIES AND SUPPORT SERVICES TO MEET THE INDIVIDUAL PHYSICAL FITNESS, COORDINATION, SKILLS DEVELOPMENT, TRAINING AND RECREATION NEEDS OF MILITARY PERSONNEL. THE FACILITIES MAY ALSO SERVE DEPENDENTS, RETIREES AND AUTHORIZED CIVILIANS. ACTIVITIES WHICH MAY BE ACCOMMODATED IN PLAYING FIELDS INCLUDE: BASEBALL, FOOTBALL, SOCCER, SOFTBALL, TRACK AND FIELD, ETC.</t>
        </is>
      </c>
    </row>
    <row r="864">
      <c r="C864" s="143" t="inlineStr">
        <is>
          <t>750 21</t>
        </is>
      </c>
      <c r="D864" s="143" t="inlineStr">
        <is>
          <t>BATTING CAGE</t>
        </is>
      </c>
      <c r="E864" s="143" t="inlineStr">
        <is>
          <t>SF</t>
        </is>
      </c>
      <c r="F864" s="143" t="n"/>
      <c r="G864" s="143" t="n"/>
      <c r="H864" s="143" t="n"/>
      <c r="I864" s="143" t="inlineStr">
        <is>
          <t>A SMALL ENCLOSED AREA WITH A PITCHING MACHINE OR OTHER PROVISION FOR PITCHING TO A BATTER TO ALLOW BATTING PRACTICE.</t>
        </is>
      </c>
    </row>
    <row r="865">
      <c r="C865" s="143" t="inlineStr">
        <is>
          <t>750 22</t>
        </is>
      </c>
      <c r="D865" s="143" t="inlineStr">
        <is>
          <t>JOGGING TRACK</t>
        </is>
      </c>
      <c r="E865" s="143" t="inlineStr">
        <is>
          <t>MI</t>
        </is>
      </c>
      <c r="F865" s="143" t="n"/>
      <c r="G865" s="143" t="n"/>
      <c r="H865" s="143" t="n"/>
      <c r="I865" s="143" t="inlineStr">
        <is>
          <t>JOGGING TRACKS MAY BE PAVED OR A NATURAL SURFACE AND ARE PROVIDED FOR THE INDIVIDUAL PHYSICAL FITNESS AND RECREATION OF MILITARY PERSONNEL. JOGGING TRACKS ARE PROVIDED AND SIZED AS REQUIRED.</t>
        </is>
      </c>
    </row>
    <row r="866">
      <c r="C866" s="143" t="inlineStr">
        <is>
          <t>750 23</t>
        </is>
      </c>
      <c r="D866" s="143" t="inlineStr">
        <is>
          <t>GO-CART TRACK</t>
        </is>
      </c>
      <c r="E866" s="143" t="inlineStr">
        <is>
          <t>MI</t>
        </is>
      </c>
      <c r="F866" s="143" t="n"/>
      <c r="G866" s="143" t="n"/>
      <c r="H866" s="143" t="n"/>
      <c r="I866" s="143" t="inlineStr">
        <is>
          <t>SMALL OVAL OR OTHER SHAPED PAVED TRACKS WHERE PARTICIPANTS RACE GASOLINE POWERED GO-CARTS.</t>
        </is>
      </c>
    </row>
    <row r="867">
      <c r="C867" s="143" t="inlineStr">
        <is>
          <t>750 30</t>
        </is>
      </c>
      <c r="D867" s="143" t="inlineStr">
        <is>
          <t>OUTDOOR SWIM POOL</t>
        </is>
      </c>
      <c r="E867" s="143" t="inlineStr">
        <is>
          <t>SF</t>
        </is>
      </c>
      <c r="F867" s="143" t="n"/>
      <c r="G867" s="143" t="n"/>
      <c r="H867" s="143" t="n"/>
      <c r="I867" s="143" t="inlineStr">
        <is>
          <t>OUTDOOR POOLS MAY INCLUDE WATER PARK FEATURES AND SPRAY PARKS.</t>
        </is>
      </c>
    </row>
    <row r="868">
      <c r="C868" s="143" t="inlineStr">
        <is>
          <t>750 33</t>
        </is>
      </c>
      <c r="D868" s="143" t="inlineStr">
        <is>
          <t>DETACHED POOL FACILITY</t>
        </is>
      </c>
      <c r="E868" s="143" t="inlineStr">
        <is>
          <t>EA</t>
        </is>
      </c>
      <c r="F868" s="143" t="n"/>
      <c r="G868" s="143" t="n"/>
      <c r="H868" s="143" t="n"/>
      <c r="I868" s="143" t="inlineStr">
        <is>
          <t>THIS CATCODE IS USED IN THOSE CASES WHERE SUCH FACILITIES ARE LOCATED IN A BUILDING SEPARATE FROM THE MAIN POOL HOUSE.</t>
        </is>
      </c>
    </row>
    <row r="869">
      <c r="C869" s="143" t="inlineStr">
        <is>
          <t>750 34</t>
        </is>
      </c>
      <c r="D869" s="143" t="inlineStr">
        <is>
          <t>WADING POOL / SPLASH PL</t>
        </is>
      </c>
      <c r="E869" s="143" t="inlineStr">
        <is>
          <t>EA</t>
        </is>
      </c>
      <c r="F869" s="143" t="n"/>
      <c r="G869" s="143" t="n"/>
      <c r="H869" s="143" t="n"/>
      <c r="I869" s="143" t="inlineStr">
        <is>
          <t>WADING POOLS ARE SMALL SHALLOW POOLS GENERALLY FOR TODDLERS AND SMALL CHILDREN. THESE ARE NORMALLY PLANNED AS ADJUNCTS TO MAIN POOLS (SEE CC 740 53 SWIMMING POOL¿INDOOR). THIS CODE IS FOR INVENTORY PURPOSES AND ONLY IN THOSE CASES WHERE WADING POOLS ARE DETACHED FROM THE MAIN FACILITY.</t>
        </is>
      </c>
    </row>
    <row r="870">
      <c r="C870" s="143" t="inlineStr">
        <is>
          <t>750 36</t>
        </is>
      </c>
      <c r="D870" s="143" t="inlineStr">
        <is>
          <t>TV COMM LINES</t>
        </is>
      </c>
      <c r="E870" s="143" t="inlineStr">
        <is>
          <t>EA</t>
        </is>
      </c>
      <c r="F870" s="143" t="n"/>
      <c r="G870" s="143" t="n"/>
      <c r="H870" s="143" t="n"/>
      <c r="I870" s="143" t="inlineStr">
        <is>
          <t>CATEGORY CODES 750 35 AND 750 36 ARE FOR INVENTORY PURPOSES ONLY. SUCH FACILITIES ARE PROVIDED ONLY AT REMOTE INSTALLATIONS WHERE CENTRAL TV RECEPTION AND LOCAL DISTRIBUTION SYSTEMS CAN BE INDIVIDUALLY JUSTIFIED.</t>
        </is>
      </c>
    </row>
    <row r="871">
      <c r="C871" s="143" t="inlineStr">
        <is>
          <t>750 37</t>
        </is>
      </c>
      <c r="D871" s="143" t="inlineStr">
        <is>
          <t>OUTDR ADVENTR AREA</t>
        </is>
      </c>
      <c r="E871" s="143" t="inlineStr">
        <is>
          <t>EA</t>
        </is>
      </c>
      <c r="F871" s="143" t="n"/>
      <c r="G871" s="143" t="n"/>
      <c r="H871" s="143" t="n"/>
      <c r="I871" s="143" t="inlineStr">
        <is>
          <t>INCLUDES ROPES COURSES, NATURAL RECREATION FEATURES (ROCK CLIMBING, HIKING TRAILS, MOUNTAIN BIKE TRAILS, PAINTBALL RANGES, MOTOCROSS/BMX AREAS).</t>
        </is>
      </c>
    </row>
    <row r="872">
      <c r="C872" s="143" t="inlineStr">
        <is>
          <t>750 38</t>
        </is>
      </c>
      <c r="D872" s="143" t="inlineStr">
        <is>
          <t>OUTDR MWR EQUIP RNTL STO</t>
        </is>
      </c>
      <c r="E872" s="143" t="inlineStr">
        <is>
          <t>SY</t>
        </is>
      </c>
      <c r="F872" s="143" t="n"/>
      <c r="G872" s="143" t="n"/>
      <c r="H872" s="143" t="n"/>
      <c r="I872" s="143" t="inlineStr">
        <is>
          <t>OUTDOOR FENCED AREA WITH LIGHTING FOR STORAGE OF MWR RENTAL EQUIPMENT (NOT ENCLOSED). FACILITY SHOULD BE CO-LOCATED WITH THE OUTDOOR RECREATION CENTER CCN 740- 37, IF THERE IS ONE.</t>
        </is>
      </c>
    </row>
    <row r="873">
      <c r="C873" s="143" t="inlineStr">
        <is>
          <t>750 39</t>
        </is>
      </c>
      <c r="D873" s="143" t="inlineStr">
        <is>
          <t>MWR VEH/ RV/ BOAT STO CPD</t>
        </is>
      </c>
      <c r="E873" s="143" t="inlineStr">
        <is>
          <t>SY</t>
        </is>
      </c>
      <c r="F873" s="143" t="n"/>
      <c r="G873" s="143" t="n"/>
      <c r="H873" s="143" t="n"/>
      <c r="I873" s="143" t="inlineStr">
        <is>
          <t>THIS CATCODE IS FOR FENCED IN AREA FOR THE STORAGE OF PERSONAL WATER CRAFT, BOATS, TRAILERS, CAMPERS, MOTOR HOMES, ETC. AND OPERATED BY MWR.</t>
        </is>
      </c>
    </row>
    <row r="874">
      <c r="C874" s="143" t="inlineStr">
        <is>
          <t>750 40</t>
        </is>
      </c>
      <c r="D874" s="143" t="inlineStr">
        <is>
          <t>GOLF COURSE</t>
        </is>
      </c>
      <c r="E874" s="143" t="inlineStr">
        <is>
          <t>EA</t>
        </is>
      </c>
      <c r="F874" s="143" t="n"/>
      <c r="G874" s="143" t="n"/>
      <c r="H874" s="143" t="n"/>
      <c r="I874" s="143" t="inlineStr">
        <is>
          <t>GOLF COURSES ARE RECREATIONAL FACILITIES WHICH MAY ACCOMMODATE: RECREATIONAL GOLFING, PRACTICE, INSTRUCTION, TOURNAMENTS, EXHIBITIONS, SPECIAL EVENTS, AND WINTER RECREATIONAL ACTIVITIES SUCH AS CROSS-COUNTRY SKIING, ICE SKATING, SLEDDING AND TOBOGGANING.</t>
        </is>
      </c>
    </row>
    <row r="875">
      <c r="C875" s="143" t="inlineStr">
        <is>
          <t>750 50</t>
        </is>
      </c>
      <c r="D875" s="143" t="inlineStr">
        <is>
          <t>OUTDOOR THEATER</t>
        </is>
      </c>
      <c r="E875" s="143" t="inlineStr">
        <is>
          <t>EA</t>
        </is>
      </c>
      <c r="F875" s="143" t="n"/>
      <c r="G875" s="143" t="n"/>
      <c r="H875" s="143" t="n"/>
      <c r="I875" s="143" t="inlineStr">
        <is>
          <t>AN OUTDOOR THEATER MAY EITHER BE DRIVE OR WALK IN, AND IS USED PREDOMINANTLY TO SHOW FILMS.</t>
        </is>
      </c>
    </row>
    <row r="876">
      <c r="C876" s="143" t="inlineStr">
        <is>
          <t>750 52</t>
        </is>
      </c>
      <c r="D876" s="143" t="inlineStr">
        <is>
          <t>SKEET AND/OR TRAP RANGE</t>
        </is>
      </c>
      <c r="E876" s="143" t="inlineStr">
        <is>
          <t>EA</t>
        </is>
      </c>
      <c r="F876" s="143" t="n"/>
      <c r="G876" s="143" t="n"/>
      <c r="H876" s="143" t="n"/>
      <c r="I876" s="143" t="inlineStr">
        <is>
          <t>A SHOOTING RANGE TO ENGAGE IS THE SPORTS OF SKEET AND TRAP SHOOTING. A BUILDING MAY BE INCLUDED IF THE FACILITY CAN BE SELF SUSTAINING.</t>
        </is>
      </c>
    </row>
    <row r="877">
      <c r="C877" s="143" t="inlineStr">
        <is>
          <t>750 54</t>
        </is>
      </c>
      <c r="D877" s="143" t="inlineStr">
        <is>
          <t>BAND STAND</t>
        </is>
      </c>
      <c r="E877" s="143" t="inlineStr">
        <is>
          <t>SF</t>
        </is>
      </c>
      <c r="F877" s="143" t="n"/>
      <c r="G877" s="143" t="n"/>
      <c r="H877" s="143" t="n"/>
      <c r="I877" s="143" t="inlineStr">
        <is>
          <t>A RAISED PLATFORM USED BY BANDS OR FOR OTHER PUBLIC ENTERTAINMENT ACTIVITIES.</t>
        </is>
      </c>
    </row>
    <row r="878">
      <c r="C878" s="143" t="inlineStr">
        <is>
          <t>750 56</t>
        </is>
      </c>
      <c r="D878" s="143" t="inlineStr">
        <is>
          <t>GOLF DRIVING RANGE</t>
        </is>
      </c>
      <c r="E878" s="143" t="inlineStr">
        <is>
          <t>EA</t>
        </is>
      </c>
      <c r="F878" s="143" t="n"/>
      <c r="G878" s="143" t="n"/>
      <c r="H878" s="143" t="n"/>
      <c r="I878" s="143" t="inlineStr">
        <is>
          <t>USUALLY ASSOCIATED WITH A GOLF COURSE, THIS FACILITY ALLOWS THE GOLFER TO PRACTICE HITTING GOLF BALLS.</t>
        </is>
      </c>
    </row>
    <row r="879">
      <c r="C879" s="143" t="inlineStr">
        <is>
          <t>750 57</t>
        </is>
      </c>
      <c r="D879" s="143" t="inlineStr">
        <is>
          <t>MWR REC GRNDS</t>
        </is>
      </c>
      <c r="E879" s="143" t="inlineStr">
        <is>
          <t>EA</t>
        </is>
      </c>
      <c r="F879" s="143" t="n"/>
      <c r="G879" s="143" t="n"/>
      <c r="H879" s="143" t="n"/>
      <c r="I879" s="143" t="inlineStr">
        <is>
          <t>THIS FACILITY INCLUDES PARKS, PLAYGROUNDS, OR PICNIC AREAS AND RECREATION PAVILIONS (CODE 740 78). OPERATED BY MWR.</t>
        </is>
      </c>
    </row>
    <row r="880">
      <c r="C880" s="143" t="inlineStr">
        <is>
          <t>750 58</t>
        </is>
      </c>
      <c r="D880" s="143" t="inlineStr">
        <is>
          <t>REC CAMPGRND TENT</t>
        </is>
      </c>
      <c r="E880" s="143" t="inlineStr">
        <is>
          <t>AC</t>
        </is>
      </c>
      <c r="F880" s="143" t="n"/>
      <c r="G880" s="143" t="n"/>
      <c r="H880" s="143" t="n"/>
      <c r="I880" s="143" t="inlineStr">
        <is>
          <t>PLEASE SEE CCN 750-59 FOR GENERAL DESCRIPTION OF CAMPGROUND. THIS CCN WILL BE USED FOR TENT CAMPING, NO VEHICLE PADS ARE REQUIRED.</t>
        </is>
      </c>
    </row>
    <row r="881">
      <c r="C881" s="143" t="inlineStr">
        <is>
          <t>750 59</t>
        </is>
      </c>
      <c r="D881" s="143" t="inlineStr">
        <is>
          <t>REC CAMPGROUND - RV</t>
        </is>
      </c>
      <c r="E881" s="143" t="inlineStr">
        <is>
          <t>AC</t>
        </is>
      </c>
      <c r="F881" s="143" t="n"/>
      <c r="G881" s="143" t="n"/>
      <c r="H881" s="143" t="n"/>
      <c r="I881" s="143" t="inlineStr">
        <is>
          <t>RECREATIONAL CAMPGROUNDS PROVIDE THE MILITARY COMMUNITY WITH OUTDOOR RECREATION OPPORTUNITIES AT LOCATIONS WITH ATTRACTIVE NATURAL RESOURCES. TO COMPLEMENT THE CAMPING EXPERIENCE, AND DEPENDING ON LOCATION, RECREATIONAL CAMPGROUNDS MAY OFFER ACTIVITIES SUCH AS BOATING, CANOEING, FISHING, HIKING, HUNTING, SKIING AND SWIMMING.</t>
        </is>
      </c>
    </row>
    <row r="882">
      <c r="C882" s="143" t="inlineStr">
        <is>
          <t>750 60</t>
        </is>
      </c>
      <c r="D882" s="143" t="inlineStr">
        <is>
          <t>MARINA/BOAT RAMP</t>
        </is>
      </c>
      <c r="E882" s="143" t="inlineStr">
        <is>
          <t>EA</t>
        </is>
      </c>
      <c r="F882" s="143" t="n"/>
      <c r="G882" s="143" t="n"/>
      <c r="H882" s="143" t="n"/>
      <c r="I882" s="143" t="inlineStr">
        <is>
          <t>THIS CATCODE IS FOR A WATERFRONT FACILITY PROVIDING RENTAL BOATS, A BOAT LAUNCH, AND OTHER WATERFRONT AMENITIES. OPERATED BY MWR.</t>
        </is>
      </c>
    </row>
    <row r="883">
      <c r="C883" s="143" t="inlineStr">
        <is>
          <t>750 61</t>
        </is>
      </c>
      <c r="D883" s="143" t="inlineStr">
        <is>
          <t>RECREATIONAL PIER</t>
        </is>
      </c>
      <c r="E883" s="143" t="inlineStr">
        <is>
          <t>EA</t>
        </is>
      </c>
      <c r="F883" s="143" t="n"/>
      <c r="G883" s="143" t="n"/>
      <c r="H883" s="143" t="n"/>
      <c r="I883" s="143" t="inlineStr">
        <is>
          <t>THIS CCN IS USED FOR STAND-ALONE RECREATIONAL PIER FACILITIES (E.G. FISHING PIERS) WHERE THERE IS NO EXISTING MARINA.</t>
        </is>
      </c>
    </row>
    <row r="884">
      <c r="C884" s="143" t="inlineStr">
        <is>
          <t>751 10</t>
        </is>
      </c>
      <c r="D884" s="143" t="inlineStr">
        <is>
          <t>PLAYGROUNDS</t>
        </is>
      </c>
      <c r="E884" s="143" t="inlineStr">
        <is>
          <t>EA</t>
        </is>
      </c>
      <c r="F884" s="143" t="n"/>
      <c r="G884" s="143" t="n"/>
      <c r="H884" s="143" t="n"/>
      <c r="I884" s="143" t="inlineStr">
        <is>
          <t>PLAYGROUNDS ARE OUTDOOR ACTIVITY AREAS PROVIDED FOR CHILDREN AND ARE AN INTEGRAL PART OF THE FUNCTIONS ASSOCIATED WITH SCHOOLS, FAMILY HOUSING AREAS, OUTDOOR ATHLETIC AND RECREATIONAL AREAS, AND CHILD DEVELOPMENT, SCHOOL AGE CARE AND YOUTH CENTERS.</t>
        </is>
      </c>
    </row>
    <row r="885">
      <c r="C885" s="143" t="inlineStr">
        <is>
          <t>752 40</t>
        </is>
      </c>
      <c r="D885" s="143" t="inlineStr">
        <is>
          <t>ATHLETIC STADIUM</t>
        </is>
      </c>
      <c r="E885" s="143" t="inlineStr">
        <is>
          <t>EA</t>
        </is>
      </c>
      <c r="F885" s="143" t="n"/>
      <c r="G885" s="143" t="n"/>
      <c r="H885" s="143" t="n"/>
      <c r="I885" s="143" t="inlineStr">
        <is>
          <t>A SPORTS ARENA USED FOR ATHLETIC ACTIVITIES AND INCLUDES AN ATHLETIC FIELD AND PERMANENTLY CONSTRUCTUED FEATURES THAT CAN INCLUDE SPECTATOR SEATING, GRANDSTANDS, PRESS BOXES/ANNOUNCER BOOTHS, CONCESSIONS STANDS AND SUPPORTING FEATURES BASED ON THE ACTIVITY TYPE. LIGHTING AND FENCING ARE CAPTURED UNDER OTHER CCNS.</t>
        </is>
      </c>
    </row>
    <row r="886">
      <c r="C886" s="143" t="inlineStr">
        <is>
          <t>760 10</t>
        </is>
      </c>
      <c r="D886" s="143" t="inlineStr">
        <is>
          <t>MUSEUMS / MEMORIAL BLDG</t>
        </is>
      </c>
      <c r="E886" s="143" t="inlineStr">
        <is>
          <t>SF</t>
        </is>
      </c>
      <c r="F886" s="143" t="n"/>
      <c r="G886" s="143" t="n"/>
      <c r="H886" s="143" t="n"/>
      <c r="I886" s="143" t="inlineStr">
        <is>
          <t>NO SPECIFIC PLANNING FACTORS ARE AVAILABLE FOR THIS GROUP. REQUIREMENTS FOR EACH OF THE ABOVE FACILITIES WILL BE ESTABLISHED BASED ON INDIVIDUAL STUDIES AND SUPPORTING JUSTIFICATION. MUSEUMS MUST BE APPROVED BY SECNAV.</t>
        </is>
      </c>
    </row>
    <row r="887">
      <c r="C887" s="143" t="inlineStr">
        <is>
          <t>760 20</t>
        </is>
      </c>
      <c r="D887" s="143" t="inlineStr">
        <is>
          <t>OUTDOOR MONUMENT/MEMORIA L</t>
        </is>
      </c>
      <c r="E887" s="143" t="inlineStr">
        <is>
          <t>EA</t>
        </is>
      </c>
      <c r="F887" s="143" t="n"/>
      <c r="G887" s="143" t="n"/>
      <c r="H887" s="143" t="n"/>
      <c r="I887" s="143" t="inlineStr">
        <is>
          <t>THIS CATCODE IS FOR STATUES, MONUMENTS, PLAQUES ETC. COMMEMORATING SPECIAL EVENTS, LOCATIONS OR PEOPLE. THE OFFICE OF THE COMPTROLLER OF THE NAVY HAS RULED THAT THE USE OF APPROPRIATED FUNDS (INCLUDING OM&amp;N FUNDS) FOR THE CONSTRUCTION AND MAINTENANCE OF MEMORIALS IS RESTRICTED TO THOSE MEMORIALS SPECIFICALLY APPROVED BY CONGRESSIONAL AUTHORITY.</t>
        </is>
      </c>
    </row>
    <row r="888">
      <c r="C888" s="143" t="inlineStr">
        <is>
          <t>760 30</t>
        </is>
      </c>
      <c r="D888" s="143" t="inlineStr">
        <is>
          <t>CEMETERY</t>
        </is>
      </c>
      <c r="E888" s="143" t="inlineStr">
        <is>
          <t>AC</t>
        </is>
      </c>
      <c r="F888" s="143" t="n"/>
      <c r="G888" s="143" t="n"/>
      <c r="H888" s="143" t="n"/>
      <c r="I888" s="143" t="inlineStr">
        <is>
          <t>NO SPECIFIC PLANNING FACTORS ARE AVAILABLE FOR THIS GROUP. REQUIREMENTS FOR EACH OF THE ABOVE FACILITIES WILL BE ESTABLISHED BASED ON INDIVIDUAL STUDIES AND SUPPORTING JUSTIFICATION. SECNAV APPROVAL WILL BE REQUIRED.</t>
        </is>
      </c>
    </row>
    <row r="889">
      <c r="C889" s="143" t="inlineStr">
        <is>
          <t>811 09</t>
        </is>
      </c>
      <c r="D889" s="143" t="inlineStr">
        <is>
          <t>ELECTRIC POWER PLANT BLDG</t>
        </is>
      </c>
      <c r="E889" s="143" t="inlineStr">
        <is>
          <t>SF</t>
        </is>
      </c>
      <c r="F889" s="143" t="n"/>
      <c r="G889" s="143" t="n"/>
      <c r="H889" s="143" t="n"/>
      <c r="I889" s="143" t="inlineStr">
        <is>
          <t>THIS CATEGORY CODE IS USED FOR BUILDINGS ASSOCIATED WITH AN ELECTRIC POWER PLANT INCLUDING CATEGORY CODES 811 10, 811 25, 811 45, 811 46, AND 81150.</t>
        </is>
      </c>
    </row>
    <row r="890">
      <c r="C890" s="143" t="inlineStr">
        <is>
          <t>811 10</t>
        </is>
      </c>
      <c r="D890" s="143" t="inlineStr">
        <is>
          <t>ELECTRIC PWR PLNT - DIESL</t>
        </is>
      </c>
      <c r="E890" s="143" t="inlineStr">
        <is>
          <t>KW</t>
        </is>
      </c>
      <c r="F890" s="143" t="n"/>
      <c r="G890" s="143" t="n"/>
      <c r="H890" s="143" t="n"/>
      <c r="I890" s="143" t="inlineStr">
        <is>
          <t>A CENTRAL PLANT FOR THE PRODUCTION OF ELECTRICITY USING DIESEL GENERATORS.</t>
        </is>
      </c>
    </row>
    <row r="891">
      <c r="C891" s="143" t="inlineStr">
        <is>
          <t>811 25</t>
        </is>
      </c>
      <c r="D891" s="143" t="inlineStr">
        <is>
          <t>ELECTRIC POWER PLANT-STEAM</t>
        </is>
      </c>
      <c r="E891" s="143" t="inlineStr">
        <is>
          <t>KW</t>
        </is>
      </c>
      <c r="F891" s="143" t="n"/>
      <c r="G891" s="143" t="n"/>
      <c r="H891" s="143" t="n"/>
      <c r="I891" s="143" t="inlineStr">
        <is>
          <t>A CENTRAL PLANT FOR THE PRODUCTION OF ELECTRICITY USING STEAM TURBINE GENERATORS.</t>
        </is>
      </c>
    </row>
    <row r="892">
      <c r="C892" s="143" t="inlineStr">
        <is>
          <t>811 45</t>
        </is>
      </c>
      <c r="D892" s="143" t="inlineStr">
        <is>
          <t>ELECTRIC POWER PLT-GAS TUR</t>
        </is>
      </c>
      <c r="E892" s="143" t="inlineStr">
        <is>
          <t>KW</t>
        </is>
      </c>
      <c r="F892" s="143" t="n"/>
      <c r="G892" s="143" t="n"/>
      <c r="H892" s="143" t="n"/>
      <c r="I892" s="143" t="inlineStr">
        <is>
          <t>A CENTRAL PLANT FOR THE PRODUCTION OF ELECTRICITY USING GAS FIRED TURBINE GENERATORS.</t>
        </is>
      </c>
    </row>
    <row r="893">
      <c r="C893" s="143" t="inlineStr">
        <is>
          <t>811 46</t>
        </is>
      </c>
      <c r="D893" s="143" t="inlineStr">
        <is>
          <t>WIND TURBINE</t>
        </is>
      </c>
      <c r="E893" s="143" t="inlineStr">
        <is>
          <t>KW</t>
        </is>
      </c>
      <c r="F893" s="143" t="n"/>
      <c r="G893" s="143" t="n"/>
      <c r="H893" s="143" t="n"/>
      <c r="I893" s="143" t="inlineStr">
        <is>
          <t>A SOURCE FOR THE PRODUCTION OF ELECTRICITY USING WIND TURBINES.</t>
        </is>
      </c>
    </row>
    <row r="894">
      <c r="C894" s="143" t="inlineStr">
        <is>
          <t>811 50</t>
        </is>
      </c>
      <c r="D894" s="143" t="inlineStr">
        <is>
          <t>ELEC POWER PHOTO SYSTM</t>
        </is>
      </c>
      <c r="E894" s="143" t="inlineStr">
        <is>
          <t>KW</t>
        </is>
      </c>
      <c r="F894" s="143" t="n"/>
      <c r="G894" s="143" t="n"/>
      <c r="H894" s="143" t="n"/>
      <c r="I894" s="143" t="inlineStr">
        <is>
          <t>A SOURCE FOR THE PRODUCTION OF ELECTRICITY USING PHOTOVOLTAIC PANELS.</t>
        </is>
      </c>
    </row>
    <row r="895">
      <c r="C895" s="143" t="inlineStr">
        <is>
          <t>811 59</t>
        </is>
      </c>
      <c r="D895" s="143" t="inlineStr">
        <is>
          <t>STANDBY GENERATOR BLDG</t>
        </is>
      </c>
      <c r="E895" s="143" t="inlineStr">
        <is>
          <t>SF</t>
        </is>
      </c>
      <c r="F895" s="143" t="n"/>
      <c r="G895" s="143" t="n"/>
      <c r="H895" s="143" t="n"/>
      <c r="I895" s="143" t="inlineStr">
        <is>
          <t>THIS CATEGORY CODE IS USED FOR BUILDINGS ASSOCIATED WITH A STANDBY GENERATOR PLANT (811 60).</t>
        </is>
      </c>
    </row>
    <row r="896">
      <c r="C896" s="143" t="inlineStr">
        <is>
          <t>811 60</t>
        </is>
      </c>
      <c r="D896" s="143" t="inlineStr">
        <is>
          <t>STANDBY GENERATOR PLANT</t>
        </is>
      </c>
      <c r="E896" s="143" t="inlineStr">
        <is>
          <t>KW</t>
        </is>
      </c>
      <c r="F896" s="143" t="n"/>
      <c r="G896" s="143" t="n"/>
      <c r="H896" s="143" t="n"/>
      <c r="I896" s="143" t="inlineStr">
        <is>
          <t>STANDBY GENERATORS ARE USED TO PROVIDE ELECTRICAL POWER WHEN THE NORMAL SOURCE OF POWER IS NOT AVAILABLE.</t>
        </is>
      </c>
    </row>
    <row r="897">
      <c r="C897" s="143" t="inlineStr">
        <is>
          <t>812 09</t>
        </is>
      </c>
      <c r="D897" s="143" t="inlineStr">
        <is>
          <t>ELECTRIC DISTRBN BLDG</t>
        </is>
      </c>
      <c r="E897" s="143" t="inlineStr">
        <is>
          <t>SF</t>
        </is>
      </c>
      <c r="F897" s="143" t="n"/>
      <c r="G897" s="143" t="n"/>
      <c r="H897" s="143" t="n"/>
      <c r="I897" s="143" t="inlineStr">
        <is>
          <t>THIS CATEGORY CODE SHOULD BE USED FOR BUILDINGS ASSOCIATED WITH ELECTRIC DISTRIBUTION SYSTEM THAT ARE NOT INCLUDED UNDER SWITCHING STATION/SUBSTATION BUILDINGS, CATEGORY CODE 813 10.</t>
        </is>
      </c>
    </row>
    <row r="898">
      <c r="C898" s="143" t="inlineStr">
        <is>
          <t>812 12</t>
        </is>
      </c>
      <c r="D898" s="143" t="inlineStr">
        <is>
          <t>TRANSFORMERS</t>
        </is>
      </c>
      <c r="E898" s="143" t="inlineStr">
        <is>
          <t>KV</t>
        </is>
      </c>
      <c r="F898" s="143" t="n"/>
      <c r="G898" s="143" t="n"/>
      <c r="H898" s="143" t="n"/>
      <c r="I898" s="143" t="inlineStr">
        <is>
          <t>TRANSFORMERS TRANSFORM ELECTRICAL POWER ON THE PRIMARY SIDE TO A LOWER OR HIGHER VOLTAGE ON THE SECONDARY SIDE TO SERVE A FACILITY OR SEVERAL FACILITIES.</t>
        </is>
      </c>
    </row>
    <row r="899">
      <c r="C899" s="143" t="inlineStr">
        <is>
          <t>812 20</t>
        </is>
      </c>
      <c r="D899" s="143" t="inlineStr">
        <is>
          <t>EXT LIGHTING, POLE MT</t>
        </is>
      </c>
      <c r="E899" s="143" t="inlineStr">
        <is>
          <t>LF</t>
        </is>
      </c>
      <c r="F899" s="143" t="n"/>
      <c r="G899" s="143" t="n"/>
      <c r="H899" s="143" t="n"/>
      <c r="I899" s="143" t="inlineStr">
        <is>
          <t>UNIFORM POLE MOUNTED ILLUMINATION AT INSTALLATIONS, INCLUDING PERIMETER AND INTERIOR LIGHTING.</t>
        </is>
      </c>
    </row>
    <row r="900">
      <c r="C900" s="143" t="inlineStr">
        <is>
          <t>812 31</t>
        </is>
      </c>
      <c r="D900" s="143" t="inlineStr">
        <is>
          <t>OVERHD ELEC DIST LINES</t>
        </is>
      </c>
      <c r="E900" s="143" t="inlineStr">
        <is>
          <t>LF</t>
        </is>
      </c>
      <c r="F900" s="143" t="n"/>
      <c r="G900" s="143" t="n"/>
      <c r="H900" s="143" t="n"/>
      <c r="I900" s="143" t="inlineStr">
        <is>
          <t>THE OVERHEAD LINES ARE FOR THE TRANSMISSION OF ELECTRICAL POWER BETWEEN SOURCE, SUBSTATIONS AND SWITCHING STATIONS, AND END USERS.</t>
        </is>
      </c>
    </row>
    <row r="901">
      <c r="C901" s="143" t="inlineStr">
        <is>
          <t>812 32</t>
        </is>
      </c>
      <c r="D901" s="143" t="inlineStr">
        <is>
          <t>UNDERGRD ELEC DIST LINES</t>
        </is>
      </c>
      <c r="E901" s="143" t="inlineStr">
        <is>
          <t>LF</t>
        </is>
      </c>
      <c r="F901" s="143" t="n"/>
      <c r="G901" s="143" t="n"/>
      <c r="H901" s="143" t="n"/>
      <c r="I901" s="143" t="inlineStr">
        <is>
          <t>THE UNDERGROUND LINES ARE FOR THE TRANSMISSION OF ELECTRICAL POWER BETWEEN SOURCE, SUBSTATIONS AND SWITCHING STATIONS, AND END USERS.</t>
        </is>
      </c>
    </row>
    <row r="902">
      <c r="C902" s="143" t="inlineStr">
        <is>
          <t>813 10</t>
        </is>
      </c>
      <c r="D902" s="143" t="inlineStr">
        <is>
          <t>SWITCHG SUB/SUBSTA BLDG</t>
        </is>
      </c>
      <c r="E902" s="143" t="inlineStr">
        <is>
          <t>SF</t>
        </is>
      </c>
      <c r="F902" s="143" t="n"/>
      <c r="G902" s="143" t="n"/>
      <c r="H902" s="143" t="n"/>
      <c r="I902" s="143" t="inlineStr">
        <is>
          <t>THIS CATEGORY CODE IS USED FOR THE BUILDINGS ASSOCIATED WITH A SUBSTATION OR SWITCHING STATION (813 20 OR 813 30).</t>
        </is>
      </c>
    </row>
    <row r="903">
      <c r="C903" s="143" t="inlineStr">
        <is>
          <t>813 20</t>
        </is>
      </c>
      <c r="D903" s="143" t="inlineStr">
        <is>
          <t>SUBSTATIONS</t>
        </is>
      </c>
      <c r="E903" s="143" t="inlineStr">
        <is>
          <t>KV</t>
        </is>
      </c>
      <c r="F903" s="143" t="n"/>
      <c r="G903" s="143" t="n"/>
      <c r="H903" s="143" t="n"/>
      <c r="I903" s="143" t="inlineStr">
        <is>
          <t>DISTRIBUTION SUBSTATIONS, NORMALLY CONSISTING OF TRANSFORMERS AND THEIR ASSOCIATED SWITCHGEAR, STRUCTURES, BUSES, GROUNDING SYSTEMS, AND PROTECTIVE DEVICES; TRANSFORM ELECTRICAL POWER TO A LOWER OR HIGHER VOLTAGE AND PUT IT ON THE DISTRIBUTION SYSTEM.</t>
        </is>
      </c>
    </row>
    <row r="904">
      <c r="C904" s="143" t="inlineStr">
        <is>
          <t>813 30</t>
        </is>
      </c>
      <c r="D904" s="143" t="inlineStr">
        <is>
          <t>SWITCHG STA/SECT DIST CIRC</t>
        </is>
      </c>
      <c r="E904" s="143" t="inlineStr">
        <is>
          <t>KV</t>
        </is>
      </c>
      <c r="F904" s="143" t="n"/>
      <c r="G904" s="143" t="n"/>
      <c r="H904" s="143" t="n"/>
      <c r="I904" s="143" t="inlineStr">
        <is>
          <t>A SWITCHING STATION IS EQUIPMENT IN AN ELECTRIC DISTRIBUTION SYSTEM WHERE ELECTRIC POWER IS SWITCHED WITHOUT TRANSFORMATION. SWITCHING STATIONS ARE LOCATED AT POINTS WHERE IT IS NECESSARY TO BRANCH OFF FROM A MAIN FEEDER OR FEEDERS WITH SMALLER COMPONENTS DUE TO PHYSICAL LOCATION OF THE FACILITIES TO BE SERVED OR TO ISOLATE PORTIONS OF FEEDERS FOR MAINTENANCE OR REPAIR.</t>
        </is>
      </c>
    </row>
    <row r="905">
      <c r="C905" s="143" t="inlineStr">
        <is>
          <t>813 40</t>
        </is>
      </c>
      <c r="D905" s="143" t="inlineStr">
        <is>
          <t>LGHTNG PROT SYS</t>
        </is>
      </c>
      <c r="E905" s="143" t="inlineStr">
        <is>
          <t>EA</t>
        </is>
      </c>
      <c r="F905" s="143" t="n"/>
      <c r="G905" s="143" t="n"/>
      <c r="H905" s="143" t="n"/>
      <c r="I905" s="143" t="inlineStr">
        <is>
          <t>STANDALONE LIGHTNING PROTECTION SYSTEMS ARE THOSE THAT ARE NOT INCLUDED AS PART OF A SPECIFIC FACILITY'S INSTALLED EQUIPMENT. THESE ARE USUALLY CONSTRUCTED TO PROTECT A COMPOUND, A SINGLE BUILDING (WHERE THE SYSTEM IS CONSTRUCTED OF MASTS AND IS NOT A PART OF THE FACILITY) OR SERIES OF BUILDINGS. UM IS "EA", WHICH CONSTITUTES UP TO FOUR LIGHTNING PROTECTION MASTS/STRUCTURES. FOR SYSTEMS WITH MORE THAN FOUR, INCREASE UM QUANTITY ACCORDINGLY.</t>
        </is>
      </c>
    </row>
    <row r="906">
      <c r="C906" s="143" t="inlineStr">
        <is>
          <t>821 09</t>
        </is>
      </c>
      <c r="D906" s="143" t="inlineStr">
        <is>
          <t>HEATING PLANT BUILDING</t>
        </is>
      </c>
      <c r="E906" s="143" t="inlineStr">
        <is>
          <t>SF</t>
        </is>
      </c>
      <c r="F906" s="143" t="n"/>
      <c r="G906" s="143" t="n"/>
      <c r="H906" s="143" t="n"/>
      <c r="I906" s="143" t="inlineStr">
        <is>
          <t>THIS CATEGORY CODE IS USED FOR BUILDINGS ASSOCIATED WITH A HEATING PLANT INCLUDING CATEGORY CODES 821 12, 821 22, OR 821 30.</t>
        </is>
      </c>
    </row>
    <row r="907">
      <c r="C907" s="143" t="inlineStr">
        <is>
          <t>821 12</t>
        </is>
      </c>
      <c r="D907" s="143" t="inlineStr">
        <is>
          <t>HTG PLNT - OIL/GAS</t>
        </is>
      </c>
      <c r="E907" s="143" t="inlineStr">
        <is>
          <t>BH</t>
        </is>
      </c>
      <c r="F907" s="143" t="n"/>
      <c r="G907" s="143" t="n"/>
      <c r="H907" s="143" t="n"/>
      <c r="I907" s="143" t="inlineStr">
        <is>
          <t>THIS CATEGORY CODE IS USED FOR A PLANT THAT UTILIZES OIL OR GAS FOR THE PRODUCTION AND DISTRIBUTION OF HEAT. THIS INCLUDES STEAM, HOT WATER, HIGH PRESSURE/LOW PRESSURE, ETC., SERVING MORE THAN ONE SEPARATE FACILITY.</t>
        </is>
      </c>
    </row>
    <row r="908">
      <c r="C908" s="143" t="inlineStr">
        <is>
          <t>821 22</t>
        </is>
      </c>
      <c r="D908" s="143" t="inlineStr">
        <is>
          <t>HTG PLNT-COAL</t>
        </is>
      </c>
      <c r="E908" s="143" t="inlineStr">
        <is>
          <t>BH</t>
        </is>
      </c>
      <c r="F908" s="143" t="n"/>
      <c r="G908" s="143" t="n"/>
      <c r="H908" s="143" t="n"/>
      <c r="I908" s="143" t="inlineStr">
        <is>
          <t>THIS CATEGORY CODE IS USED FOR A PLANT THAT UTILIZES COAL FOR THE PRODUCTION AND DISTRIBUTION OF HEAT. THIS INCLUDES STEAM, HOT WATER, HIGH PRESSURE/LOW PRESSURE, ETC., SERVING MORE THAN ONE SEPARATE FACILITY.</t>
        </is>
      </c>
    </row>
    <row r="909">
      <c r="C909" s="143" t="inlineStr">
        <is>
          <t>821 30</t>
        </is>
      </c>
      <c r="D909" s="143" t="inlineStr">
        <is>
          <t>NON-FOSL FUEL HTG PLT</t>
        </is>
      </c>
      <c r="E909" s="143" t="inlineStr">
        <is>
          <t>BH</t>
        </is>
      </c>
      <c r="F909" s="143" t="n"/>
      <c r="G909" s="143" t="n"/>
      <c r="H909" s="143" t="n"/>
      <c r="I909" s="143" t="inlineStr">
        <is>
          <t>THIS CATEGORY CODE IS USED FOR A PLANT THAT UTILIZES A NON-FOSSIL FUEL FOR THE PRODUCTION AND DISTRIBUTION OF HEAT. THIS INCLUDES STEAM, HOT WATER, HIGH PRESSURE/LOW PRESSURE, ETC., SERVING MORE THAN ONE SEPARATE FACILITY.</t>
        </is>
      </c>
    </row>
    <row r="910">
      <c r="C910" s="143" t="inlineStr">
        <is>
          <t>821 40</t>
        </is>
      </c>
      <c r="D910" s="143" t="inlineStr">
        <is>
          <t>NUCLEAR STEAM PLANT-ALL</t>
        </is>
      </c>
      <c r="E910" s="143" t="inlineStr">
        <is>
          <t>BH</t>
        </is>
      </c>
      <c r="F910" s="143" t="n"/>
      <c r="G910" s="143" t="n"/>
      <c r="H910" s="143" t="n"/>
      <c r="I910" s="143" t="inlineStr">
        <is>
          <t>THIS CATEGORY CODE IS USED FOR A PLANT THAT UTILIZES NUCLEAR FUEL FOR THE PRODUCTION AND DISTRIBUTION OF HEAT. THIS INCLUDES STEAM, HOT WATER, HIGH PRESSURE/LOW PRESSURE, ETC., SERVING MORE THAN ONE SEPARATE FACILITY.</t>
        </is>
      </c>
    </row>
    <row r="911">
      <c r="C911" s="143" t="inlineStr">
        <is>
          <t>821 50</t>
        </is>
      </c>
      <c r="D911" s="143" t="inlineStr">
        <is>
          <t>NON-NUCLEAR STEAM PLANT</t>
        </is>
      </c>
      <c r="E911" s="143" t="inlineStr">
        <is>
          <t>BH</t>
        </is>
      </c>
      <c r="F911" s="143" t="n"/>
      <c r="G911" s="143" t="n"/>
      <c r="H911" s="143" t="n"/>
      <c r="I911" s="143" t="inlineStr">
        <is>
          <t>TO BE DELETED</t>
        </is>
      </c>
    </row>
    <row r="912">
      <c r="C912" s="143" t="inlineStr">
        <is>
          <t>821 60</t>
        </is>
      </c>
      <c r="D912" s="143" t="inlineStr">
        <is>
          <t>DISTILATE HEATING FUEL OIL</t>
        </is>
      </c>
      <c r="E912" s="143" t="inlineStr">
        <is>
          <t>GA</t>
        </is>
      </c>
      <c r="F912" s="143" t="n"/>
      <c r="G912" s="143" t="n"/>
      <c r="H912" s="143" t="n"/>
      <c r="I912" s="143" t="inlineStr">
        <is>
          <t>THIS CATEGORY CODE IS USED FOR FUEL OIL TANKS USED FOR HEATING BUILDINGS, GENERATION OF STEAM, POWER PLANT REQUIREMENTS, AND FOR OTHER HEAT GENERATING FACILITIES AS REQUIRED.</t>
        </is>
      </c>
    </row>
    <row r="913">
      <c r="C913" s="143" t="inlineStr">
        <is>
          <t>821 61</t>
        </is>
      </c>
      <c r="D913" s="143" t="inlineStr">
        <is>
          <t>RESIDUAL HEATING OIL STG</t>
        </is>
      </c>
      <c r="E913" s="143" t="inlineStr">
        <is>
          <t>GA</t>
        </is>
      </c>
      <c r="F913" s="143" t="n"/>
      <c r="G913" s="143" t="n"/>
      <c r="H913" s="143" t="n"/>
      <c r="I913" s="143" t="inlineStr">
        <is>
          <t>THIS CATEGORY CODE IS USED FOR FUEL OIL TANKS USED FOR HEATING BUILDINGS, GENERATION OF STEAM, POWER PLANT REQUIREMENTS, AND FOR OTHER HEAT GENERATING FACILITIES AS REQUIRED. NO. 4 FUEL OIL, NO. 5 FUEL OIL AND NO. 6 FUEL OIL ARE VARIOUSLY REFERRED TO AS RESIDUAL FUEL OILS.</t>
        </is>
      </c>
    </row>
    <row r="914">
      <c r="C914" s="143" t="inlineStr">
        <is>
          <t>822 09</t>
        </is>
      </c>
      <c r="D914" s="143" t="inlineStr">
        <is>
          <t>STEAM DIST SYSTEM BLDG</t>
        </is>
      </c>
      <c r="E914" s="143" t="inlineStr">
        <is>
          <t>SF</t>
        </is>
      </c>
      <c r="F914" s="143" t="n"/>
      <c r="G914" s="143" t="n"/>
      <c r="H914" s="143" t="n"/>
      <c r="I914" s="143" t="inlineStr">
        <is>
          <t>BUILDINGS ASSOCIATED WITH A HEATING DISTRIBUTION SYSTEM (CATEGORY CODES 822 12, 822 14, 822 16 OR 822 26). THE REQUIREMENT FOR STEAM AND CONDENSATE OR HOT WATER PIPELINES IS DETERMINED FROM AN ENGINEERING STUDY.</t>
        </is>
      </c>
    </row>
    <row r="915">
      <c r="C915" s="143" t="inlineStr">
        <is>
          <t>822 10</t>
        </is>
      </c>
      <c r="D915" s="143" t="inlineStr">
        <is>
          <t>COND RETURN PUMP STATION</t>
        </is>
      </c>
      <c r="E915" s="143" t="inlineStr">
        <is>
          <t>EA</t>
        </is>
      </c>
      <c r="F915" s="143" t="n"/>
      <c r="G915" s="143" t="n"/>
      <c r="H915" s="143" t="n"/>
      <c r="I915" s="143" t="inlineStr">
        <is>
          <t>PUMP STATIONS ARE UTILIZED TO PUMP CONDENSED STEAM (CONDENSATE) BACK TO THE STEAM PLANT OR OTHER FACILITY.</t>
        </is>
      </c>
    </row>
    <row r="916">
      <c r="C916" s="143" t="inlineStr">
        <is>
          <t>822 12</t>
        </is>
      </c>
      <c r="D916" s="143" t="inlineStr">
        <is>
          <t>STEAM LINES</t>
        </is>
      </c>
      <c r="E916" s="143" t="inlineStr">
        <is>
          <t>LF</t>
        </is>
      </c>
      <c r="F916" s="143" t="n"/>
      <c r="G916" s="143" t="n"/>
      <c r="H916" s="143" t="n"/>
      <c r="I916" s="143" t="inlineStr">
        <is>
          <t>THIS CATEGORY CODE CONTAINS ALL DISTRIBUTION SYSTEM PIPES THAT CONVEY STEAM. THE REQUIREMENT FOR STEAM AND CONDENSATE OR HOT WATER PIPELINES IS DETERMINED FROM AN ENGINEERING STUDY.</t>
        </is>
      </c>
    </row>
    <row r="917">
      <c r="C917" s="143" t="inlineStr">
        <is>
          <t>822 14</t>
        </is>
      </c>
      <c r="D917" s="143" t="inlineStr">
        <is>
          <t>CONDENSATE LINE</t>
        </is>
      </c>
      <c r="E917" s="143" t="inlineStr">
        <is>
          <t>LF</t>
        </is>
      </c>
      <c r="F917" s="143" t="n"/>
      <c r="G917" s="143" t="n"/>
      <c r="H917" s="143" t="n"/>
      <c r="I917" s="143" t="inlineStr">
        <is>
          <t>THIS CATEGORY CODE CONTAINS ALL COLLECTION SYSTEM PIPES THAT CONVEY CONDENSATE. THE REQUIREMENT FOR STEAM AND CONDENSATE OR HOT WATER PIPELINES IS DETERMINED FROM AN ENGINEERING STUDY.</t>
        </is>
      </c>
    </row>
    <row r="918">
      <c r="C918" s="143" t="inlineStr">
        <is>
          <t>822 16</t>
        </is>
      </c>
      <c r="D918" s="143" t="inlineStr">
        <is>
          <t>HOT WATER LINES</t>
        </is>
      </c>
      <c r="E918" s="143" t="inlineStr">
        <is>
          <t>LF</t>
        </is>
      </c>
      <c r="F918" s="143" t="n"/>
      <c r="G918" s="143" t="n"/>
      <c r="H918" s="143" t="n"/>
      <c r="I918" s="143" t="inlineStr">
        <is>
          <t>THIS CATEGORY CODE CONTAINS ALL PIPES THAT CONVEY HOT WATER LESS THAN 250 DEGREES. THE REQUIREMENT FOR STEAM AND CONDENSATE OR HOT WATER PIPELINES IS DETERMINED FROM AN ENGINEERING STUDY.</t>
        </is>
      </c>
    </row>
    <row r="919">
      <c r="C919" s="143" t="inlineStr">
        <is>
          <t>822 26</t>
        </is>
      </c>
      <c r="D919" s="143" t="inlineStr">
        <is>
          <t>HIGH TEMP HOT WTR LINES</t>
        </is>
      </c>
      <c r="E919" s="143" t="inlineStr">
        <is>
          <t>LF</t>
        </is>
      </c>
      <c r="F919" s="143" t="n"/>
      <c r="G919" s="143" t="n"/>
      <c r="H919" s="143" t="n"/>
      <c r="I919" s="143" t="inlineStr">
        <is>
          <t>THIS CATEGORY CODE CONTAINS ALL PIPES THAT CONVEY HOT WATER HEATED ABOVE 250 DEGREES. THE REQUIREMENT FOR STEAM AND CONDENSATE OR HOT WATER PIPELINES IS DETERMINED FROM AN ENGINEERING STUDY.</t>
        </is>
      </c>
    </row>
    <row r="920">
      <c r="C920" s="143" t="inlineStr">
        <is>
          <t>823 09</t>
        </is>
      </c>
      <c r="D920" s="143" t="inlineStr">
        <is>
          <t>GAS GENERATING BUILDING</t>
        </is>
      </c>
      <c r="E920" s="143" t="inlineStr">
        <is>
          <t>SF</t>
        </is>
      </c>
      <c r="F920" s="143" t="n"/>
      <c r="G920" s="143" t="n"/>
      <c r="H920" s="143" t="n"/>
      <c r="I920" s="143" t="inlineStr">
        <is>
          <t>THIS CATEGORY CODE CONTAINS BUILDINGS ASSOCIATED WITH A GAS GENERATING PLANT.</t>
        </is>
      </c>
    </row>
    <row r="921">
      <c r="C921" s="143" t="inlineStr">
        <is>
          <t>823 10</t>
        </is>
      </c>
      <c r="D921" s="143" t="inlineStr">
        <is>
          <t>GAS GENERATING PLANT</t>
        </is>
      </c>
      <c r="E921" s="143" t="inlineStr">
        <is>
          <t>BH</t>
        </is>
      </c>
      <c r="F921" s="143" t="n"/>
      <c r="G921" s="143" t="n"/>
      <c r="H921" s="143" t="n"/>
      <c r="I921" s="143" t="inlineStr">
        <is>
          <t>THIS CATEGORY CODE CONTAINS PLANT EQUIPMENT THAT GENERATES GAS FOR USE IN THE UTILITY SYSTEM.</t>
        </is>
      </c>
    </row>
    <row r="922">
      <c r="C922" s="143" t="inlineStr">
        <is>
          <t>823 15</t>
        </is>
      </c>
      <c r="D922" s="143" t="inlineStr">
        <is>
          <t>GAS METER BLDG</t>
        </is>
      </c>
      <c r="E922" s="143" t="inlineStr">
        <is>
          <t>SF</t>
        </is>
      </c>
      <c r="F922" s="143" t="n"/>
      <c r="G922" s="143" t="n"/>
      <c r="H922" s="143" t="n"/>
      <c r="I922" s="143" t="inlineStr">
        <is>
          <t>THIS CATEGORY CODE CONTAINS BUILDINGS ASSOCIATED WITH GAS METERING.</t>
        </is>
      </c>
    </row>
    <row r="923">
      <c r="C923" s="143" t="inlineStr">
        <is>
          <t>823 20</t>
        </is>
      </c>
      <c r="D923" s="143" t="inlineStr">
        <is>
          <t>GAS STORAGE TANKS</t>
        </is>
      </c>
      <c r="E923" s="143" t="inlineStr">
        <is>
          <t>EA</t>
        </is>
      </c>
      <c r="F923" s="143" t="n"/>
      <c r="G923" s="143" t="n"/>
      <c r="H923" s="143" t="n"/>
      <c r="I923" s="143" t="inlineStr">
        <is>
          <t>THIS CATEGORY CODE CONTAINS TANKS FOR THE STORAGE OF LIQUID NATURAL GAS AND/OR PROPANE CONNECTED TO A GAS DISTRIBUTION SYSTEM SERVING MULTIPLE FACILITIES.</t>
        </is>
      </c>
    </row>
    <row r="924">
      <c r="C924" s="143" t="inlineStr">
        <is>
          <t>824 10</t>
        </is>
      </c>
      <c r="D924" s="143" t="inlineStr">
        <is>
          <t>GAS MAINS</t>
        </is>
      </c>
      <c r="E924" s="143" t="inlineStr">
        <is>
          <t>LF</t>
        </is>
      </c>
      <c r="F924" s="143" t="n"/>
      <c r="G924" s="143" t="n"/>
      <c r="H924" s="143" t="n"/>
      <c r="I924" s="143" t="inlineStr">
        <is>
          <t>THIS CATEGORY CODE IS FOR THE MAIN GAS LINES (PIPES) THAT CARRY THE BULK OF THE GAS TO AND FROM FACILITIES AT AN INSTALLATION.</t>
        </is>
      </c>
    </row>
    <row r="925">
      <c r="C925" s="143" t="inlineStr">
        <is>
          <t>826 10</t>
        </is>
      </c>
      <c r="D925" s="143" t="inlineStr">
        <is>
          <t>COOLING SYS PLANT BLDG</t>
        </is>
      </c>
      <c r="E925" s="143" t="inlineStr">
        <is>
          <t>SF</t>
        </is>
      </c>
      <c r="F925" s="143" t="n"/>
      <c r="G925" s="143" t="n"/>
      <c r="H925" s="143" t="n"/>
      <c r="I925" s="143" t="inlineStr">
        <is>
          <t>BUILDINGS ASSOCIATED WITH A COOLING SYSTEM PLANT (CATEGORY CODE 826 20).</t>
        </is>
      </c>
    </row>
    <row r="926">
      <c r="C926" s="143" t="inlineStr">
        <is>
          <t>826 20</t>
        </is>
      </c>
      <c r="D926" s="143" t="inlineStr">
        <is>
          <t>COOLING SYSTEM PLANT</t>
        </is>
      </c>
      <c r="E926" s="143" t="inlineStr">
        <is>
          <t>TR</t>
        </is>
      </c>
      <c r="F926" s="143" t="n"/>
      <c r="G926" s="143" t="n"/>
      <c r="H926" s="143" t="n"/>
      <c r="I926" s="143" t="inlineStr">
        <is>
          <t>A PLANT FOR THE PRODUCTION AND DISTRIBUTION OF A CHILLED FLUID FOR MORE THAN ONE SEPARATE FACILITY.</t>
        </is>
      </c>
    </row>
    <row r="927">
      <c r="C927" s="143" t="inlineStr">
        <is>
          <t>827 10</t>
        </is>
      </c>
      <c r="D927" s="143" t="inlineStr">
        <is>
          <t>COOLING SYS VALVE BLDG</t>
        </is>
      </c>
      <c r="E927" s="143" t="inlineStr">
        <is>
          <t>SF</t>
        </is>
      </c>
      <c r="F927" s="143" t="n"/>
      <c r="G927" s="143" t="n"/>
      <c r="H927" s="143" t="n"/>
      <c r="I927" s="143" t="inlineStr">
        <is>
          <t>BUILDINGS ASSOCIATED WITH A COOLING DISTRIBUTION SYSTEM (CATEGORY CODE 827 20).</t>
        </is>
      </c>
    </row>
    <row r="928">
      <c r="C928" s="143" t="inlineStr">
        <is>
          <t>827 20</t>
        </is>
      </c>
      <c r="D928" s="143" t="inlineStr">
        <is>
          <t>CHILLED FLUID LINES</t>
        </is>
      </c>
      <c r="E928" s="143" t="inlineStr">
        <is>
          <t>LF</t>
        </is>
      </c>
      <c r="F928" s="143" t="n"/>
      <c r="G928" s="143" t="n"/>
      <c r="H928" s="143" t="n"/>
      <c r="I928" s="143" t="inlineStr">
        <is>
          <t>THIS CATEGORY CODE INCLUDES ASSETS PREVIOUSLY CONTAINED IN CCN 827 25.</t>
        </is>
      </c>
    </row>
    <row r="929">
      <c r="C929" s="143" t="inlineStr">
        <is>
          <t>831 09</t>
        </is>
      </c>
      <c r="D929" s="143" t="inlineStr">
        <is>
          <t>SWGE TRMT BLDG</t>
        </is>
      </c>
      <c r="E929" s="143" t="inlineStr">
        <is>
          <t>SF</t>
        </is>
      </c>
      <c r="F929" s="143" t="n"/>
      <c r="G929" s="143" t="n"/>
      <c r="H929" s="143" t="n"/>
      <c r="I929" s="143" t="inlineStr">
        <is>
          <t>THIS CATEGORY CODE INCLUDES THE BUILDINGS ASSOCIATED WITH THE SEWAGE TREATMENT PLANT (CATEGORY CODE 831 10).</t>
        </is>
      </c>
    </row>
    <row r="930">
      <c r="C930" s="143" t="inlineStr">
        <is>
          <t>831 10</t>
        </is>
      </c>
      <c r="D930" s="143" t="inlineStr">
        <is>
          <t>SWGE TRMT PLT</t>
        </is>
      </c>
      <c r="E930" s="143" t="inlineStr">
        <is>
          <t>KG</t>
        </is>
      </c>
      <c r="F930" s="143" t="n"/>
      <c r="G930" s="143" t="n"/>
      <c r="H930" s="143" t="n"/>
      <c r="I930" s="143" t="inlineStr">
        <is>
          <t>THIS CATEGORY CODE IS USED FOR ALL TYPE OF SEWAGE TREATMENT PLANTS; PRIMARY, SECONDARY, OR TERTIARY.</t>
        </is>
      </c>
    </row>
    <row r="931">
      <c r="C931" s="143" t="inlineStr">
        <is>
          <t>831 11</t>
        </is>
      </c>
      <c r="D931" s="143" t="inlineStr">
        <is>
          <t>BALLAST CONTAMTN SKMR</t>
        </is>
      </c>
      <c r="E931" s="143" t="inlineStr">
        <is>
          <t>KG</t>
        </is>
      </c>
      <c r="F931" s="143" t="n"/>
      <c r="G931" s="143" t="n"/>
      <c r="H931" s="143" t="n"/>
      <c r="I931" s="143" t="inlineStr">
        <is>
          <t>A FACILITY TO REMOVE GREASE, OIL, AND OTHER CONTAMINENTS FROM THE WATER REMOVED FROM SHIP BALLAST TANKS.</t>
        </is>
      </c>
    </row>
    <row r="932">
      <c r="C932" s="143" t="inlineStr">
        <is>
          <t>831 14</t>
        </is>
      </c>
      <c r="D932" s="143" t="inlineStr">
        <is>
          <t>INDUSTRY WAST TREATMT BLDG</t>
        </is>
      </c>
      <c r="E932" s="143" t="inlineStr">
        <is>
          <t>SF</t>
        </is>
      </c>
      <c r="F932" s="143" t="n"/>
      <c r="G932" s="143" t="n"/>
      <c r="H932" s="143" t="n"/>
      <c r="I932" s="143" t="inlineStr">
        <is>
          <t>THIS CATEGORY CODE IS USED FOR BUILDINGS ASSOCIATED WITH AN INDUSTRIAL WASTEWATER TREATMENT PLANT (CATEGORY CODE 831 15).</t>
        </is>
      </c>
    </row>
    <row r="933">
      <c r="C933" s="143" t="inlineStr">
        <is>
          <t>831 15</t>
        </is>
      </c>
      <c r="D933" s="143" t="inlineStr">
        <is>
          <t>INDUSTRY WAST TREATMT FAC</t>
        </is>
      </c>
      <c r="E933" s="143" t="inlineStr">
        <is>
          <t>KG</t>
        </is>
      </c>
      <c r="F933" s="143" t="n"/>
      <c r="G933" s="143" t="n"/>
      <c r="H933" s="143" t="n"/>
      <c r="I933" s="143" t="inlineStr">
        <is>
          <t>THIS CAT CODE IS USED FOR A DEDICATED INDUSTRIAL WASTEWATER TREATMENT PLANT. ALL THE PLANT EQUIPMENT; EQUALIZATION, PRELIMINARY TREATMENT, CLARIFICATION, HOLDING TANKS, BIOLOGICAL TREATMENT, CHEMICAL TREATMENT, FILTRATION, DISINFECTION, DEWATERING, DIGESTION, SLUDGE DISPOSAL, ELECTRICAL SYSTEM, CONTROLS, COMPRESSED AIR, STORAGE, AND COMS, IS INCLUDED AS A SINGLE WASTEWATER TREATMENT PLANT.</t>
        </is>
      </c>
    </row>
    <row r="934">
      <c r="C934" s="143" t="inlineStr">
        <is>
          <t>831 16</t>
        </is>
      </c>
      <c r="D934" s="143" t="inlineStr">
        <is>
          <t>OIL / WATER SEPARATOR</t>
        </is>
      </c>
      <c r="E934" s="143" t="inlineStr">
        <is>
          <t>KG</t>
        </is>
      </c>
      <c r="F934" s="143" t="n"/>
      <c r="G934" s="143" t="n"/>
      <c r="H934" s="143" t="n"/>
      <c r="I934" s="143" t="inlineStr">
        <is>
          <t>THIS CATEGORY CODE IS USED FOR OIL/WATER SEPARATORS THAT DISCHARGE TO THE SANITARY SEWER OR INDUSTRIAL WASTE COLLECTION SYSTEM. OIL/WATER SEPARATORS BELONG TO THE FACILITY WHICH IT SERVES.</t>
        </is>
      </c>
    </row>
    <row r="935">
      <c r="C935" s="143" t="inlineStr">
        <is>
          <t>831 20</t>
        </is>
      </c>
      <c r="D935" s="143" t="inlineStr">
        <is>
          <t>OUTFALL SEWER LINE</t>
        </is>
      </c>
      <c r="E935" s="143" t="inlineStr">
        <is>
          <t>KG</t>
        </is>
      </c>
      <c r="F935" s="143" t="n"/>
      <c r="G935" s="143" t="n"/>
      <c r="H935" s="143" t="n"/>
      <c r="I935" s="143" t="inlineStr">
        <is>
          <t>AN OUTFALL SANITARY SEWER LINE RECEIVES THE SEWAGE FROM A COLLECTING SYSTEM OR THE EFFLUENT FROM A SANITARY SEWAGE PLANT AND CARRIES IT TO A POINT OF FINAL DISCHARGE. PLANNING FOR OUTFALL SEWER LINES WILL INCLUDE LAND ACQUISITION.</t>
        </is>
      </c>
    </row>
    <row r="936">
      <c r="C936" s="143" t="inlineStr">
        <is>
          <t>831 30</t>
        </is>
      </c>
      <c r="D936" s="143" t="inlineStr">
        <is>
          <t>SEPTIC TANK/DRAIN FIELD</t>
        </is>
      </c>
      <c r="E936" s="143" t="inlineStr">
        <is>
          <t>KG</t>
        </is>
      </c>
      <c r="F936" s="143" t="n"/>
      <c r="G936" s="143" t="n"/>
      <c r="H936" s="143" t="n"/>
      <c r="I936" s="143" t="inlineStr">
        <is>
          <t>A SEPTIC TANK AND DRAIN FIELD FACILITY PROVIDES SEWAGE TREATMENT FOR HUMAN WASTE AT ISOLATED FACILITIES WHERE AN EXTENSION OF THE CENTRAL SEWER COLLECTION SYSTEM WOULD NOT BE ECONOMICALLY FEASIBLE. A SEPTIC TANK AND DRAIN FIELD WILL INCLUDE A CONCRETE OR PROTECTED STEEL TANK, A DRAIN FIELD SYSTEM INCLUDING HEADERS, LATERALS, OPEN JOINT CLAY OR CONCRETE PIPE, GRAVEL, DITCHING, AND LAND ACQUISITION.</t>
        </is>
      </c>
    </row>
    <row r="937">
      <c r="C937" s="143" t="inlineStr">
        <is>
          <t>831 31</t>
        </is>
      </c>
      <c r="D937" s="143" t="inlineStr">
        <is>
          <t>SEPTIC LAGOON &amp;/OR POND</t>
        </is>
      </c>
      <c r="E937" s="143" t="inlineStr">
        <is>
          <t>GA</t>
        </is>
      </c>
      <c r="F937" s="143" t="n"/>
      <c r="G937" s="143" t="n"/>
      <c r="H937" s="143" t="n"/>
      <c r="I937" s="143" t="inlineStr">
        <is>
          <t>A STRUCTURE USED FOR COLLECTING AND HOLDING SEWAGE TO ALLOW FOR SETTLEMENT AND EVAPORATION. THESE STRUCTURES ARE TYPICALLY CONCRETE ENCASED.</t>
        </is>
      </c>
    </row>
    <row r="938">
      <c r="C938" s="143" t="inlineStr">
        <is>
          <t>831 39</t>
        </is>
      </c>
      <c r="D938" s="143" t="inlineStr">
        <is>
          <t>RADIOACTV WASTE HANDL BLDG</t>
        </is>
      </c>
      <c r="E938" s="143" t="inlineStr">
        <is>
          <t>SF</t>
        </is>
      </c>
      <c r="F938" s="143" t="n"/>
      <c r="G938" s="143" t="n"/>
      <c r="H938" s="143" t="n"/>
      <c r="I938" s="143" t="inlineStr">
        <is>
          <t>RADIOACTIVE WASTE HANDLING BUILDING.</t>
        </is>
      </c>
    </row>
    <row r="939">
      <c r="C939" s="143" t="inlineStr">
        <is>
          <t>831 40</t>
        </is>
      </c>
      <c r="D939" s="143" t="inlineStr">
        <is>
          <t>RADIOACTV WASTE HANDL FAC</t>
        </is>
      </c>
      <c r="E939" s="143" t="inlineStr">
        <is>
          <t>EA</t>
        </is>
      </c>
      <c r="F939" s="143" t="n"/>
      <c r="G939" s="143" t="n"/>
      <c r="H939" s="143" t="n"/>
      <c r="I939" s="143" t="inlineStr">
        <is>
          <t>RADIOACTIVE WASTE HANDLING FACILITY.</t>
        </is>
      </c>
    </row>
    <row r="940">
      <c r="C940" s="143" t="inlineStr">
        <is>
          <t>831 41</t>
        </is>
      </c>
      <c r="D940" s="143" t="inlineStr">
        <is>
          <t>HAZARD WSTE STOR &amp; TRANSFR</t>
        </is>
      </c>
      <c r="E940" s="143" t="inlineStr">
        <is>
          <t>SF</t>
        </is>
      </c>
      <c r="F940" s="143" t="n"/>
      <c r="G940" s="143" t="n"/>
      <c r="H940" s="143" t="n"/>
      <c r="I940" s="143" t="inlineStr">
        <is>
          <t>A STORAGE FACILITY FOR THE CONTAINMENT AND SHIPMENT OF HAZARDOUS WASTES. CAN BE SHORT TERM (HW STORAGE LESS THAN 90 DAYS) OR LONG TERM (HW STORAGE 90 DAYS OR MORE).</t>
        </is>
      </c>
    </row>
    <row r="941">
      <c r="C941" s="143" t="inlineStr">
        <is>
          <t>831 42</t>
        </is>
      </c>
      <c r="D941" s="143" t="inlineStr">
        <is>
          <t>HAZARD WASTE STORAGE AREA</t>
        </is>
      </c>
      <c r="E941" s="143" t="inlineStr">
        <is>
          <t>SY</t>
        </is>
      </c>
      <c r="F941" s="143" t="n"/>
      <c r="G941" s="143" t="n"/>
      <c r="H941" s="143" t="n"/>
      <c r="I941" s="143" t="inlineStr">
        <is>
          <t>AN EXTERIOR LAYDOWN AREA FOR THE STORAGE OF HAZARDOUS WASTE MATERIALS THAT DO NOT POSE ANY THREATS TO THE ENVIRONMENT VIA CONTAMINATED RUNOFF.</t>
        </is>
      </c>
    </row>
    <row r="942">
      <c r="C942" s="143" t="inlineStr">
        <is>
          <t>831 43</t>
        </is>
      </c>
      <c r="D942" s="143" t="inlineStr">
        <is>
          <t>HAZ WASTE BLDG</t>
        </is>
      </c>
      <c r="E942" s="143" t="inlineStr">
        <is>
          <t>SF</t>
        </is>
      </c>
      <c r="F942" s="143" t="n"/>
      <c r="G942" s="143" t="n"/>
      <c r="H942" s="143" t="n"/>
      <c r="I942" s="143" t="inlineStr">
        <is>
          <t>A BUILDING THAT HAS BEEN PROPERLY CERTIFIED TO STORE SUBSTANCES THAT CANNOT LEGALLY BE DISPOSED OF IN A NORMAL SANITARY LANDFILL OR INTO A REFUSE INCINERATOR DESIGNATED TO HANDLE MUNICIPAL TYPE REFUSE, OR CANNOT BE DISCHARGED INTO A SANITARY SEWERAGE SYSTEM.</t>
        </is>
      </c>
    </row>
    <row r="943">
      <c r="C943" s="143" t="inlineStr">
        <is>
          <t>832 10</t>
        </is>
      </c>
      <c r="D943" s="143" t="inlineStr">
        <is>
          <t>SANITARY SEWER LINE</t>
        </is>
      </c>
      <c r="E943" s="143" t="inlineStr">
        <is>
          <t>LF</t>
        </is>
      </c>
      <c r="F943" s="143" t="n"/>
      <c r="G943" s="143" t="n"/>
      <c r="H943" s="143" t="n"/>
      <c r="I943" s="143" t="inlineStr">
        <is>
          <t>ALL DISTRIBUTION SYSTEM PIPES THAT COLLECT AND TRANSPORT SANITARY SEWAGE. TYPES INCLUDE GRAVITY OR FORCED MAIN SYSTEMS.</t>
        </is>
      </c>
    </row>
    <row r="944">
      <c r="C944" s="143" t="inlineStr">
        <is>
          <t>832 20</t>
        </is>
      </c>
      <c r="D944" s="143" t="inlineStr">
        <is>
          <t>COMBINED SEWER LINE</t>
        </is>
      </c>
      <c r="E944" s="143" t="inlineStr">
        <is>
          <t>LF</t>
        </is>
      </c>
      <c r="F944" s="143" t="n"/>
      <c r="G944" s="143" t="n"/>
      <c r="H944" s="143" t="n"/>
      <c r="I944" s="143" t="inlineStr">
        <is>
          <t>ALL DISTRIBUTION PIPES THAT COLLECT AND TRANSPORT BOTH SANITARY SEWAGE AND STORM WATER.</t>
        </is>
      </c>
    </row>
    <row r="945">
      <c r="C945" s="143" t="inlineStr">
        <is>
          <t>832 29</t>
        </is>
      </c>
      <c r="D945" s="143" t="inlineStr">
        <is>
          <t>SEWAGE PUMP STA BLDG</t>
        </is>
      </c>
      <c r="E945" s="143" t="inlineStr">
        <is>
          <t>SF</t>
        </is>
      </c>
      <c r="F945" s="143" t="n"/>
      <c r="G945" s="143" t="n"/>
      <c r="H945" s="143" t="n"/>
      <c r="I945" s="143" t="inlineStr">
        <is>
          <t>BUILDINGS ASSOCIATED WITH A SEWAGE PUMP STATION. THE PRIMARY UNIT OF MEASURE IS SQUARE FEET (SF).</t>
        </is>
      </c>
    </row>
    <row r="946">
      <c r="C946" s="143" t="inlineStr">
        <is>
          <t>832 30</t>
        </is>
      </c>
      <c r="D946" s="143" t="inlineStr">
        <is>
          <t>SEWAGE WASTE PUMPG STA</t>
        </is>
      </c>
      <c r="E946" s="143" t="inlineStr">
        <is>
          <t>EA</t>
        </is>
      </c>
      <c r="F946" s="143" t="n"/>
      <c r="G946" s="143" t="n"/>
      <c r="H946" s="143" t="n"/>
      <c r="I946" s="143" t="inlineStr">
        <is>
          <t>A SEWAGE PUMPING STATION IS A FACILITY USED TO MOVE SEWAGE THROUGH MAINS TO A TREATMENT PLANT, TO SERVE WHERE A GRAVITY SYSTEM IS NOT FEASIBLE, AND/OR TO LIFT SEWAGE FROM ONE LEVEL TO ANOTHER IN A GRAVITY SYSTEM.</t>
        </is>
      </c>
    </row>
    <row r="947">
      <c r="C947" s="143" t="inlineStr">
        <is>
          <t>832 31</t>
        </is>
      </c>
      <c r="D947" s="143" t="inlineStr">
        <is>
          <t>SEWAGE LIFT STATIONS</t>
        </is>
      </c>
      <c r="E947" s="143" t="inlineStr">
        <is>
          <t>EA</t>
        </is>
      </c>
      <c r="F947" s="143" t="n"/>
      <c r="G947" s="143" t="n"/>
      <c r="H947" s="143" t="n"/>
      <c r="I947" s="143" t="inlineStr">
        <is>
          <t>A SEWAGE LIFT STATION IS A FACILITY USED TO MOVE SEWAGE THROUGH MAINS TO A TREATMENT PLANT, TO SERVE WHERE A GRAVITY SYSTEM IS NOT FEASIBLE, AND/OR TO LIFT SEWAGE FROM ONE LEVEL TO ANOTHER IN A GRAVITY SYSTEM.</t>
        </is>
      </c>
    </row>
    <row r="948">
      <c r="C948" s="143" t="inlineStr">
        <is>
          <t>832 40</t>
        </is>
      </c>
      <c r="D948" s="143" t="inlineStr">
        <is>
          <t>INDUSTRIAL WASTEWTR LN</t>
        </is>
      </c>
      <c r="E948" s="143" t="inlineStr">
        <is>
          <t>LF</t>
        </is>
      </c>
      <c r="F948" s="143" t="n"/>
      <c r="G948" s="143" t="n"/>
      <c r="H948" s="143" t="n"/>
      <c r="I948" s="143" t="inlineStr">
        <is>
          <t>THIS CATEGORY CODE INCLUDES ALL DISTRIBUTION SYSTEM PIPES THAT COLLECT AND TRANSPORT INDUSTRIAL WASTEWATER. TYPES INCLUDE GRAVITY OR FORCED MAIN.</t>
        </is>
      </c>
    </row>
    <row r="949">
      <c r="C949" s="143" t="inlineStr">
        <is>
          <t>832 41</t>
        </is>
      </c>
      <c r="D949" s="143" t="inlineStr">
        <is>
          <t>IND WASTE WATER PUMP STAT</t>
        </is>
      </c>
      <c r="E949" s="143" t="inlineStr">
        <is>
          <t>EA</t>
        </is>
      </c>
      <c r="F949" s="143" t="n"/>
      <c r="G949" s="143" t="n"/>
      <c r="H949" s="143" t="n"/>
      <c r="I949" s="143" t="inlineStr">
        <is>
          <t>FACILITIES USED TO TRANSPORT WASTE STREAMS TO HOLDING TANKS OR INDUSTRIAL WASTE TREATMENT PLANTS, TO SERVE WHERE A GRAVITY SYSTEM IS NOT FEASIBLE, AND/OR TO LIFT WASTE STREAMS FROM ONE LEVEL TO ANOTHER IN A GRAVITY SYSTEM.</t>
        </is>
      </c>
    </row>
    <row r="950">
      <c r="C950" s="143" t="inlineStr">
        <is>
          <t>833 09</t>
        </is>
      </c>
      <c r="D950" s="143" t="inlineStr">
        <is>
          <t>INCINRTR BLDG &amp; INCINRTR</t>
        </is>
      </c>
      <c r="E950" s="143" t="inlineStr">
        <is>
          <t>SF</t>
        </is>
      </c>
      <c r="F950" s="143" t="n"/>
      <c r="G950" s="143" t="n"/>
      <c r="H950" s="143" t="n"/>
      <c r="I950" s="143" t="inlineStr">
        <is>
          <t>BUILDINGS ASSOCIATED WITH AN INCINERATOR. AN INCINERATOR IS A FACILITY FOR BURNING COMBUSTIBLE REFUSE TO REDUCE IT TO STABLE GASES AND INERT SOLIDS.</t>
        </is>
      </c>
    </row>
    <row r="951">
      <c r="C951" s="143" t="inlineStr">
        <is>
          <t>833 10</t>
        </is>
      </c>
      <c r="D951" s="143" t="inlineStr">
        <is>
          <t>INCINERATOR - EXTERIOR</t>
        </is>
      </c>
      <c r="E951" s="143" t="inlineStr">
        <is>
          <t>TH</t>
        </is>
      </c>
      <c r="F951" s="143" t="n"/>
      <c r="G951" s="143" t="n"/>
      <c r="H951" s="143" t="n"/>
      <c r="I951" s="143" t="inlineStr">
        <is>
          <t>AN INCINERATOR IS A FACILITY FOR BURNING COMBUSTIBLE REFUSE TO REDUCE IT TO STABLE GASES AND INERT SOLIDS. AN EXTERIOR INCINERATOR IS ONE THAT IS NOT ENCLOSED IN A STRUCTURE.</t>
        </is>
      </c>
    </row>
    <row r="952">
      <c r="C952" s="143" t="inlineStr">
        <is>
          <t>833 15</t>
        </is>
      </c>
      <c r="D952" s="143" t="inlineStr">
        <is>
          <t>SANITARY/CUT-FIL DISP AREA</t>
        </is>
      </c>
      <c r="E952" s="143" t="inlineStr">
        <is>
          <t>AC</t>
        </is>
      </c>
      <c r="F952" s="143" t="n"/>
      <c r="G952" s="143" t="n"/>
      <c r="H952" s="143" t="n"/>
      <c r="I952" s="143" t="inlineStr">
        <is>
          <t>LANDFILLS ARE LINED (USUALLY WITH CLAY) EXCAVATIONS IN WHICH SOLID WASTES ARE BURIED, COVERED AND MONITORED. LANDFILLING SOLID WASTE IS THE TECHNOLOGY OF LAST RESORT. CONSULT EPA AND STATE REGULATIONS AND THE LATEST SOLID WASTE TEXT BOOKS FOR ENGINEERING PRINCIPLES AND PRACTICES IN SITING AND SCOPING A LANDFILL.</t>
        </is>
      </c>
    </row>
    <row r="953">
      <c r="C953" s="143" t="inlineStr">
        <is>
          <t>833 20</t>
        </is>
      </c>
      <c r="D953" s="143" t="inlineStr">
        <is>
          <t>GARBAGE GRINDER BLDG</t>
        </is>
      </c>
      <c r="E953" s="143" t="inlineStr">
        <is>
          <t>SF</t>
        </is>
      </c>
      <c r="F953" s="143" t="n"/>
      <c r="G953" s="143" t="n"/>
      <c r="H953" s="143" t="n"/>
      <c r="I953" s="143" t="inlineStr">
        <is>
          <t>A GARBAGE GRINDER FACILITY THAT IS FULLY ENCLOSED BY A BUILDING.</t>
        </is>
      </c>
    </row>
    <row r="954">
      <c r="C954" s="143" t="inlineStr">
        <is>
          <t>833 21</t>
        </is>
      </c>
      <c r="D954" s="143" t="inlineStr">
        <is>
          <t>GARBAGE GRINDER</t>
        </is>
      </c>
      <c r="E954" s="143" t="inlineStr">
        <is>
          <t>TN</t>
        </is>
      </c>
      <c r="F954" s="143" t="n"/>
      <c r="G954" s="143" t="n"/>
      <c r="H954" s="143" t="n"/>
      <c r="I954" s="143" t="inlineStr">
        <is>
          <t>A GARBAGE GRINDER FACILITY THAT IS PARTIALLY ENCLOSED BY AN OPEN STRUCTURE.</t>
        </is>
      </c>
    </row>
    <row r="955">
      <c r="C955" s="143" t="inlineStr">
        <is>
          <t>833 30</t>
        </is>
      </c>
      <c r="D955" s="143" t="inlineStr">
        <is>
          <t>GARBAGE STAND</t>
        </is>
      </c>
      <c r="E955" s="143" t="inlineStr">
        <is>
          <t>SY</t>
        </is>
      </c>
      <c r="F955" s="143" t="n"/>
      <c r="G955" s="143" t="n"/>
      <c r="H955" s="143" t="n"/>
      <c r="I955" s="143" t="inlineStr">
        <is>
          <t>AN OPEN STRUCTURE USED TO PARTIALLY ENCLOSE TRASH RECEPTACLES, USUALLY DUMPSTERS.</t>
        </is>
      </c>
    </row>
    <row r="956">
      <c r="C956" s="143" t="inlineStr">
        <is>
          <t>833 40</t>
        </is>
      </c>
      <c r="D956" s="143" t="inlineStr">
        <is>
          <t>GARBAGE/RECYCLE BUILDING</t>
        </is>
      </c>
      <c r="E956" s="143" t="inlineStr">
        <is>
          <t>SF</t>
        </is>
      </c>
      <c r="F956" s="143" t="n"/>
      <c r="G956" s="143" t="n"/>
      <c r="H956" s="143" t="n"/>
      <c r="I956" s="143" t="inlineStr">
        <is>
          <t>SMALL BUILDING USED FOR TEMPORARY STORAGE OF TRASH OR RECYCLABLES PRIOR TO REMOVAL AND PROCESSING BY A COLLECTION SERVICE.</t>
        </is>
      </c>
    </row>
    <row r="957">
      <c r="C957" s="143" t="inlineStr">
        <is>
          <t>841 09</t>
        </is>
      </c>
      <c r="D957" s="143" t="inlineStr">
        <is>
          <t>WATER TREATMENT FAC BLDG</t>
        </is>
      </c>
      <c r="E957" s="143" t="inlineStr">
        <is>
          <t>SF</t>
        </is>
      </c>
      <c r="F957" s="143" t="n"/>
      <c r="G957" s="143" t="n"/>
      <c r="H957" s="143" t="n"/>
      <c r="I957" s="143" t="inlineStr">
        <is>
          <t>THIS CATEGORY CODE INCLUDES BUILDINGS ASSOCIATED WITH A WATER TREATMENT PLANT (841 10), DESALINIZATION PLANT (841 25), OR WELLS - POTABLE WATER (841 50).</t>
        </is>
      </c>
    </row>
    <row r="958">
      <c r="C958" s="143" t="inlineStr">
        <is>
          <t>841 10</t>
        </is>
      </c>
      <c r="D958" s="143" t="inlineStr">
        <is>
          <t>WATER TREATMENT FACILITIES</t>
        </is>
      </c>
      <c r="E958" s="143" t="inlineStr">
        <is>
          <t>KG</t>
        </is>
      </c>
      <c r="F958" s="143" t="n"/>
      <c r="G958" s="143" t="n"/>
      <c r="H958" s="143" t="n"/>
      <c r="I958" s="143" t="inlineStr">
        <is>
          <t>A WATER TREATMENT PLANT IS A FACILITY THAT TREATS WATER TO MAKE IT SAFE FOR HUMAN CONSUMPTION (POTABLE). THIS CATEGORY CODE INCLUDES THE STRUCTURES, EQUIPMENT, AND PROCESSES REQUIRED TO TREAT POTABLE WATER. WATER TREATMENT PLANT BUILDINGS ARE CLASSIFIED AS 841 09.</t>
        </is>
      </c>
    </row>
    <row r="959">
      <c r="C959" s="143" t="inlineStr">
        <is>
          <t>841 15</t>
        </is>
      </c>
      <c r="D959" s="143" t="inlineStr">
        <is>
          <t>NUCL WATER TREATMT FAC</t>
        </is>
      </c>
      <c r="E959" s="143" t="inlineStr">
        <is>
          <t>KG</t>
        </is>
      </c>
      <c r="F959" s="143" t="n"/>
      <c r="G959" s="143" t="n"/>
      <c r="H959" s="143" t="n"/>
      <c r="I959" s="143" t="inlineStr">
        <is>
          <t>NO CRITERIA FOR THIS FACILITY ARE CURRENTLY AVAILABLE.</t>
        </is>
      </c>
    </row>
    <row r="960">
      <c r="C960" s="143" t="inlineStr">
        <is>
          <t>841 20</t>
        </is>
      </c>
      <c r="D960" s="143" t="inlineStr">
        <is>
          <t>WATER SUPPLY LINE</t>
        </is>
      </c>
      <c r="E960" s="143" t="inlineStr">
        <is>
          <t>LF</t>
        </is>
      </c>
      <c r="F960" s="143" t="n"/>
      <c r="G960" s="143" t="n"/>
      <c r="H960" s="143" t="n"/>
      <c r="I960" s="143" t="inlineStr">
        <is>
          <t>THE PIPE THAT CONVEYS WATER FROM SOURCE TO POINT OF TREATMENT OR TO THE POINT OF CONSUMPTION. A PRESSURE MAIN WILL BE NEEDED IF THE WATER IS PUMPED. HOWEVER, IF TOPOGRAPHY PERMITS, A GRAVITY SYSTEM IS PLANNED.</t>
        </is>
      </c>
    </row>
    <row r="961">
      <c r="C961" s="143" t="inlineStr">
        <is>
          <t>841 25</t>
        </is>
      </c>
      <c r="D961" s="143" t="inlineStr">
        <is>
          <t>DESALINIZATION PLANT</t>
        </is>
      </c>
      <c r="E961" s="143" t="inlineStr">
        <is>
          <t>KG</t>
        </is>
      </c>
      <c r="F961" s="143" t="n"/>
      <c r="G961" s="143" t="n"/>
      <c r="H961" s="143" t="n"/>
      <c r="I961" s="143" t="inlineStr">
        <is>
          <t>A WATER TREATMENT PLANT THAT UTILIZES A PROCESS, SUCH AS DISTILLATION, REVERSE OSMOSIS, OR ELECTRO DIALYSIS, THAT REMOVES DISSOLVED MINERAL SALTS AND OTHER DISSOLVED SOLIDS FROM WATER.</t>
        </is>
      </c>
    </row>
    <row r="962">
      <c r="C962" s="143" t="inlineStr">
        <is>
          <t>841 30</t>
        </is>
      </c>
      <c r="D962" s="143" t="inlineStr">
        <is>
          <t>ELEVTD POTABLE WATER TANK</t>
        </is>
      </c>
      <c r="E962" s="143" t="inlineStr">
        <is>
          <t>GA</t>
        </is>
      </c>
      <c r="F962" s="143" t="n"/>
      <c r="G962" s="143" t="n"/>
      <c r="H962" s="143" t="n"/>
      <c r="I962" s="143" t="inlineStr">
        <is>
          <t>WATER STORAGE TANKS FOR POTABLE WATER ARE ELEVATED OR GROUND-LEVEL STRUCTURES USED TO STORE BULK QUANTITIES OF POTABLE WATER. ELEVATED TANKS FOR POTABLE WATER PROVIDE BOTH STORAGE AND STATIC PRESSURE FOR THE DISTRIBUTION SYSTEM. GROUND-LEVEL TANKS ACCOMMODATE PEAK DEMAND REQUIREMENTS WITHOUT AFFECTING THE CAPABILITY OF THE SOURCE.</t>
        </is>
      </c>
    </row>
    <row r="963">
      <c r="C963" s="143" t="inlineStr">
        <is>
          <t>841 40</t>
        </is>
      </c>
      <c r="D963" s="143" t="inlineStr">
        <is>
          <t>GRND LVL POTABL WATER TANK</t>
        </is>
      </c>
      <c r="E963" s="143" t="inlineStr">
        <is>
          <t>GA</t>
        </is>
      </c>
      <c r="F963" s="143" t="n"/>
      <c r="G963" s="143" t="n"/>
      <c r="H963" s="143" t="n"/>
      <c r="I963" s="143" t="inlineStr">
        <is>
          <t>WATER STORAGE TANKS FOR POTABLE WATER ARE ELEVATED OR GROUND-LEVEL STRUCTURES USED TO STORE BULK QUANTITIES OF POTABLE WATER. ELEVATED TANKS FOR POTABLE WATER PROVIDE BOTH STORAGE AND STATIC PRESSURE FOR THE DISTRIBUTION SYSTEM. GROUND-LEVEL TANKS ACCOMMODATE PEAK DEMAND REQUIREMENTS WITHOUT AFFECTING THE CAPABILITY OF THE SOURCE.</t>
        </is>
      </c>
    </row>
    <row r="964">
      <c r="C964" s="143" t="inlineStr">
        <is>
          <t>841 50</t>
        </is>
      </c>
      <c r="D964" s="143" t="inlineStr">
        <is>
          <t>WATER WELLS - POTABLE</t>
        </is>
      </c>
      <c r="E964" s="143" t="inlineStr">
        <is>
          <t>KG</t>
        </is>
      </c>
      <c r="F964" s="143" t="n"/>
      <c r="G964" s="143" t="n"/>
      <c r="H964" s="143" t="n"/>
      <c r="I964" s="143" t="inlineStr">
        <is>
          <t>EQUIPMENT THAT PUMPS WATER FROM UNDERGROUND SOURCES TO TREATMENTS PLANTS OR DIRECTLY TO DISTRIBUTION WITH MINOR TREATMENT.</t>
        </is>
      </c>
    </row>
    <row r="965">
      <c r="C965" s="143" t="inlineStr">
        <is>
          <t>841 51</t>
        </is>
      </c>
      <c r="D965" s="143" t="inlineStr">
        <is>
          <t>RESERVOIR - POTABLE WATER</t>
        </is>
      </c>
      <c r="E965" s="143" t="inlineStr">
        <is>
          <t>MG</t>
        </is>
      </c>
      <c r="F965" s="143" t="n"/>
      <c r="G965" s="143" t="n"/>
      <c r="H965" s="143" t="n"/>
      <c r="I965" s="143" t="inlineStr">
        <is>
          <t>AN OPEN BODY OF WATER FOR THE COLLECTION AND STORAGE OF WATER USED BY A WATER TREATMENT FACILITY OR WATER DISTRIBUTION SYSTEM.</t>
        </is>
      </c>
    </row>
    <row r="966">
      <c r="C966" s="143" t="inlineStr">
        <is>
          <t>841 52</t>
        </is>
      </c>
      <c r="D966" s="143" t="inlineStr">
        <is>
          <t>WATER CATCHMENT STRUCTURE</t>
        </is>
      </c>
      <c r="E966" s="143" t="inlineStr">
        <is>
          <t>SY</t>
        </is>
      </c>
      <c r="F966" s="143" t="n"/>
      <c r="G966" s="143" t="n"/>
      <c r="H966" s="143" t="n"/>
      <c r="I966" s="143" t="inlineStr">
        <is>
          <t>A MAN-MADE STRUCTURE DESIGNED TO CAPTURE OR COLLECT RAINWATER AND USED TO PRODUCE POTABLE WATER.</t>
        </is>
      </c>
    </row>
    <row r="967">
      <c r="C967" s="143" t="inlineStr">
        <is>
          <t>842 09</t>
        </is>
      </c>
      <c r="D967" s="143" t="inlineStr">
        <is>
          <t>WATER DISTRIBTN BLDG, PTBL</t>
        </is>
      </c>
      <c r="E967" s="143" t="inlineStr">
        <is>
          <t>SF</t>
        </is>
      </c>
      <c r="F967" s="143" t="n"/>
      <c r="G967" s="143" t="n"/>
      <c r="H967" s="143" t="n"/>
      <c r="I967" s="143" t="inlineStr">
        <is>
          <t>ALL BUILDINGS ASSOCIATED WITH THE DISTRIBUTION OF POTABLE WATER. POTABLE WATER WILL BE TRANSMITTED FROM A STORAGE TANK OR A TREATMENT PLANT TO ALL STATION DEMAND POINTS THROUGH A PIPELINE. THIS CATEGORY CODE INCLUDES BUILDINGS ASSOCIATED WITH THE DISTRIBUTION OF POTABLE WATER, TYPICALLY HOUSING DISTRIBUTION PUMPS AND EQUIPMENT.</t>
        </is>
      </c>
    </row>
    <row r="968">
      <c r="C968" s="143" t="inlineStr">
        <is>
          <t>842 10</t>
        </is>
      </c>
      <c r="D968" s="143" t="inlineStr">
        <is>
          <t>WATER DISTBTN LINE, POTBL</t>
        </is>
      </c>
      <c r="E968" s="143" t="inlineStr">
        <is>
          <t>LF</t>
        </is>
      </c>
      <c r="F968" s="143" t="n"/>
      <c r="G968" s="143" t="n"/>
      <c r="H968" s="143" t="n"/>
      <c r="I968" s="143" t="inlineStr">
        <is>
          <t>ALL PIPES THAT CONVEY POTABLE WATER FROM THE TREATMENT PLANT TO THE END USER.</t>
        </is>
      </c>
    </row>
    <row r="969">
      <c r="C969" s="143" t="inlineStr">
        <is>
          <t>842 15</t>
        </is>
      </c>
      <c r="D969" s="143" t="inlineStr">
        <is>
          <t>PUMP STATION - POTABLE</t>
        </is>
      </c>
      <c r="E969" s="143" t="inlineStr">
        <is>
          <t>KG</t>
        </is>
      </c>
      <c r="F969" s="143" t="n"/>
      <c r="G969" s="143" t="n"/>
      <c r="H969" s="143" t="n"/>
      <c r="I969" s="143" t="inlineStr">
        <is>
          <t>THIS CATEGORY CODE WILL INCLUDE THE PUMP(S) AND APPURTENANT PIPING, VALVES, AND OTHER MECHANICAL AND ELECTRICAL EQUIPMENT FOR PUMPING WATER IN THE POTABLE WATER SYSTEM.</t>
        </is>
      </c>
    </row>
    <row r="970">
      <c r="C970" s="143" t="inlineStr">
        <is>
          <t>843 10</t>
        </is>
      </c>
      <c r="D970" s="143" t="inlineStr">
        <is>
          <t>FIRE PROTECTION LINES</t>
        </is>
      </c>
      <c r="E970" s="143" t="inlineStr">
        <is>
          <t>LF</t>
        </is>
      </c>
      <c r="F970" s="143" t="n"/>
      <c r="G970" s="143" t="n"/>
      <c r="H970" s="143" t="n"/>
      <c r="I970" s="143" t="inlineStr">
        <is>
          <t>FIRE PROTECTION PIPELINES ARE USED EXCLUSIVELY IN THE TRANSMISSION OF WATER FOR FIRE PROTECTION, NOT DOMESTIC USE.</t>
        </is>
      </c>
    </row>
    <row r="971">
      <c r="C971" s="143" t="inlineStr">
        <is>
          <t>843 20</t>
        </is>
      </c>
      <c r="D971" s="143" t="inlineStr">
        <is>
          <t>FIRE PROTECTION PUMPG STA</t>
        </is>
      </c>
      <c r="E971" s="143" t="inlineStr">
        <is>
          <t>KG</t>
        </is>
      </c>
      <c r="F971" s="143" t="n"/>
      <c r="G971" s="143" t="n"/>
      <c r="H971" s="143" t="n"/>
      <c r="I971" s="143" t="inlineStr">
        <is>
          <t>A FIRE PROTECTION PUMPING STATION IS A COLLECTION OF PUMPS AND SUPPORTING EQUIPMENT USED TO INCREASE THE PRESSURE IN THE FIRE PROTECTION SYSTEM.</t>
        </is>
      </c>
    </row>
    <row r="972">
      <c r="C972" s="143" t="inlineStr">
        <is>
          <t>843 30</t>
        </is>
      </c>
      <c r="D972" s="143" t="inlineStr">
        <is>
          <t>FIRE PROTECTION WATER TANK</t>
        </is>
      </c>
      <c r="E972" s="143" t="inlineStr">
        <is>
          <t>MG</t>
        </is>
      </c>
      <c r="F972" s="143" t="n"/>
      <c r="G972" s="143" t="n"/>
      <c r="H972" s="143" t="n"/>
      <c r="I972" s="143" t="inlineStr">
        <is>
          <t>TANKS THAT PROVIDE FIRE PROTECTION WATER STORAGE TO ACCOMMODATE PEAK DEMAND REQUIREMENTS.</t>
        </is>
      </c>
    </row>
    <row r="973">
      <c r="C973" s="143" t="inlineStr">
        <is>
          <t>843 35</t>
        </is>
      </c>
      <c r="D973" s="143" t="inlineStr">
        <is>
          <t>FIRE PROTECTION RESERVOIR</t>
        </is>
      </c>
      <c r="E973" s="143" t="inlineStr">
        <is>
          <t>MG</t>
        </is>
      </c>
      <c r="F973" s="143" t="n"/>
      <c r="G973" s="143" t="n"/>
      <c r="H973" s="143" t="n"/>
      <c r="I973" s="143" t="inlineStr">
        <is>
          <t>THIS CATEGORY CODE IS FOR A RESERVOIR THAT HAS A CAPACITY GREATER THAN OR EQUAL TO ONE MILLION GALLONS AND TYPICALLY PROVIDES A SUFFICIENT QUANTITY OF WATER IN RESERVE TO INSURE AN UNINTERRUPTED FLOW FOR FIRE PROTECTION.</t>
        </is>
      </c>
    </row>
    <row r="974">
      <c r="C974" s="143" t="inlineStr">
        <is>
          <t>843 40</t>
        </is>
      </c>
      <c r="D974" s="143" t="inlineStr">
        <is>
          <t>FIRE PROTECTION WATER WELL</t>
        </is>
      </c>
      <c r="E974" s="143" t="inlineStr">
        <is>
          <t>GM</t>
        </is>
      </c>
      <c r="F974" s="143" t="n"/>
      <c r="G974" s="143" t="n"/>
      <c r="H974" s="143" t="n"/>
      <c r="I974" s="143" t="inlineStr">
        <is>
          <t>THIS CATEGORY CODE IS FOR EQUIPMENT THAT PUMPS WATER FROM UNDERGROUND SOURCES TO THE FIRE PROTECTION SYSTEM.</t>
        </is>
      </c>
    </row>
    <row r="975">
      <c r="C975" s="143" t="inlineStr">
        <is>
          <t>843 50</t>
        </is>
      </c>
      <c r="D975" s="143" t="inlineStr">
        <is>
          <t>FIRE PROTECTION BLDG</t>
        </is>
      </c>
      <c r="E975" s="143" t="inlineStr">
        <is>
          <t>SF</t>
        </is>
      </c>
      <c r="F975" s="143" t="n"/>
      <c r="G975" s="143" t="n"/>
      <c r="H975" s="143" t="n"/>
      <c r="I975" s="143" t="inlineStr">
        <is>
          <t>THIS CATEGORY CODE INCLUDES BUILDINGS ASSOCIATED WITH THE DISTRIBUTION OF FIRE PROTECTION WATER, TYPICALLY HOUSING DISTRIBUTION PUMPS AND EQUIPMENT.</t>
        </is>
      </c>
    </row>
    <row r="976">
      <c r="C976" s="143" t="inlineStr">
        <is>
          <t>844 10</t>
        </is>
      </c>
      <c r="D976" s="143" t="inlineStr">
        <is>
          <t>WATER DIST BLDG, NONPOTB</t>
        </is>
      </c>
      <c r="E976" s="143" t="inlineStr">
        <is>
          <t>SF</t>
        </is>
      </c>
      <c r="F976" s="143" t="n"/>
      <c r="G976" s="143" t="n"/>
      <c r="H976" s="143" t="n"/>
      <c r="I976" s="143" t="inlineStr">
        <is>
          <t>THIS CATEGORY CODE INCLUDES ALL BUILDINGS ASSOCIATED WITH THE SUPPLY OR DISTRIBUTION OF NONPOTABLE WATER, TYPICALLY HOUSING DISTRIBUTION PUMPS AND EQUIPMENT.</t>
        </is>
      </c>
    </row>
    <row r="977">
      <c r="C977" s="143" t="inlineStr">
        <is>
          <t>844 20</t>
        </is>
      </c>
      <c r="D977" s="143" t="inlineStr">
        <is>
          <t>WELLS - NONPOTABLE WATER</t>
        </is>
      </c>
      <c r="E977" s="143" t="inlineStr">
        <is>
          <t>KG</t>
        </is>
      </c>
      <c r="F977" s="143" t="n"/>
      <c r="G977" s="143" t="n"/>
      <c r="H977" s="143" t="n"/>
      <c r="I977" s="143" t="inlineStr">
        <is>
          <t>THIS CATEGORY CODE INCLUDES EQUIPMENT THAT PUMPS WATER FROM UNDERGROUND SOURCES TO A DEDICATED NONPOTABLE WATER DISTRIBUTION SYSTEM.</t>
        </is>
      </c>
    </row>
    <row r="978">
      <c r="C978" s="143" t="inlineStr">
        <is>
          <t>844 30</t>
        </is>
      </c>
      <c r="D978" s="143" t="inlineStr">
        <is>
          <t>PUMP STA - NONPOTBL</t>
        </is>
      </c>
      <c r="E978" s="143" t="inlineStr">
        <is>
          <t>KG</t>
        </is>
      </c>
      <c r="F978" s="143" t="n"/>
      <c r="G978" s="143" t="n"/>
      <c r="H978" s="143" t="n"/>
      <c r="I978" s="143" t="inlineStr">
        <is>
          <t>THIS CATEGORY CODE INCLUDES THE COLLECTION OF PUMPS AND SUPPORTING EQUIPMENT USED TO SUPPLY WATER TO THE NONPOTABLE WATER SYSTEM</t>
        </is>
      </c>
    </row>
    <row r="979">
      <c r="C979" s="143" t="inlineStr">
        <is>
          <t>844 40</t>
        </is>
      </c>
      <c r="D979" s="143" t="inlineStr">
        <is>
          <t>STORAGE TANKS- NONPOTBL WTR</t>
        </is>
      </c>
      <c r="E979" s="143" t="inlineStr">
        <is>
          <t>GA</t>
        </is>
      </c>
      <c r="F979" s="143" t="n"/>
      <c r="G979" s="143" t="n"/>
      <c r="H979" s="143" t="n"/>
      <c r="I979" s="143" t="inlineStr">
        <is>
          <t>THIS CATEGORY CODE INCLUDES TANKS THAT PROVIDE NONPOTABLE WATER STORAGE TO ACCOMMODATE PEAK DEMAND REQUIREMENTS.</t>
        </is>
      </c>
    </row>
    <row r="980">
      <c r="C980" s="143" t="inlineStr">
        <is>
          <t>844 50</t>
        </is>
      </c>
      <c r="D980" s="143" t="inlineStr">
        <is>
          <t>RESERVOIRS- NONPOTBL WATER</t>
        </is>
      </c>
      <c r="E980" s="143" t="inlineStr">
        <is>
          <t>MG</t>
        </is>
      </c>
      <c r="F980" s="143" t="n"/>
      <c r="G980" s="143" t="n"/>
      <c r="H980" s="143" t="n"/>
      <c r="I980" s="143" t="inlineStr">
        <is>
          <t>THIS CATEGORY CODE INCLUDES A RESERVOIR THAT HAS A CAPACITY GREATER THAN OR EQUAL TO ONE MILLION GALLONS AND TYPICALLY PROVIDES A SUFFICIENT QUANTITY OF WATER IN RESERVE TO INSURE AN UNINTERRUPTED FLOW FOR NONPOTABLE WATER REQUIREMENTS.</t>
        </is>
      </c>
    </row>
    <row r="981">
      <c r="C981" s="143" t="inlineStr">
        <is>
          <t>845 20</t>
        </is>
      </c>
      <c r="D981" s="143" t="inlineStr">
        <is>
          <t>PIPELINE- NONPOTABLE WATER</t>
        </is>
      </c>
      <c r="E981" s="143" t="inlineStr">
        <is>
          <t>LF</t>
        </is>
      </c>
      <c r="F981" s="143" t="n"/>
      <c r="G981" s="143" t="n"/>
      <c r="H981" s="143" t="n"/>
      <c r="I981" s="143" t="inlineStr">
        <is>
          <t>THIS CATEGORY CODE INCLUDES ALL PIPES THAT TRANSMIT WATER IN A DEDICATED NONPOTABLE WATER DISTRIBUTION SYSTEM.</t>
        </is>
      </c>
    </row>
    <row r="982">
      <c r="C982" s="143" t="inlineStr">
        <is>
          <t>851 10</t>
        </is>
      </c>
      <c r="D982" s="143" t="inlineStr">
        <is>
          <t>ROADS</t>
        </is>
      </c>
      <c r="E982" s="143" t="inlineStr">
        <is>
          <t>SY</t>
        </is>
      </c>
      <c r="F982" s="143" t="n"/>
      <c r="G982" s="143" t="n"/>
      <c r="H982" s="143" t="n"/>
      <c r="I982" s="143" t="inlineStr">
        <is>
          <t>ROADS, STREETS, AND BRIDGES ARE GENERALLY PLANNED TO CONFORM TO THE STANDARDS AND PRACTICES OF THE AMERICAN ASSOCIATION OF STATE HIGHWAY OFFICIALS (AASHO), BUREAU OF PUBLIC ROADS (BPR), AND STATE AND LOCAL GOVERNMENTS.</t>
        </is>
      </c>
    </row>
    <row r="983">
      <c r="C983" s="143" t="inlineStr">
        <is>
          <t>851 11</t>
        </is>
      </c>
      <c r="D983" s="143" t="inlineStr">
        <is>
          <t>ROADS, UNSURFACED</t>
        </is>
      </c>
      <c r="E983" s="143" t="inlineStr">
        <is>
          <t>SY</t>
        </is>
      </c>
      <c r="F983" s="143" t="n"/>
      <c r="G983" s="143" t="n"/>
      <c r="H983" s="143" t="n"/>
      <c r="I983" s="143" t="inlineStr">
        <is>
          <t>VEHICULAR ROADWAYS THAT DO NOT HAVE A PERMANENT/IMPERVIOUS SURFACE SUCH AS ASPHALT OR CONCRETE.</t>
        </is>
      </c>
    </row>
    <row r="984">
      <c r="C984" s="143" t="inlineStr">
        <is>
          <t>851 15</t>
        </is>
      </c>
      <c r="D984" s="143" t="inlineStr">
        <is>
          <t>LOAD / UNLOAD RAMP</t>
        </is>
      </c>
      <c r="E984" s="143" t="inlineStr">
        <is>
          <t>SF</t>
        </is>
      </c>
      <c r="F984" s="143" t="n"/>
      <c r="G984" s="143" t="n"/>
      <c r="H984" s="143" t="n"/>
      <c r="I984" s="143" t="inlineStr">
        <is>
          <t>A RAMP, USUALLY CONCRETE OR STEEL/IRON THAT IS UTILIZED TO ASSIST IN THE LOADING OF TRUCKS AND RAILCARS.</t>
        </is>
      </c>
    </row>
    <row r="985">
      <c r="C985" s="143" t="inlineStr">
        <is>
          <t>851 20</t>
        </is>
      </c>
      <c r="D985" s="143" t="inlineStr">
        <is>
          <t>VEHICULAR BRIDGES</t>
        </is>
      </c>
      <c r="E985" s="143" t="inlineStr">
        <is>
          <t>SY</t>
        </is>
      </c>
      <c r="F985" s="143" t="n"/>
      <c r="G985" s="143" t="n"/>
      <c r="H985" s="143" t="n"/>
      <c r="I985" s="143" t="inlineStr">
        <is>
          <t>BRIDGES ARE GENERALLY USED TO CROSS AREAS OF DIFFERING ELEVATIONS. GENERALLY THEY ARE PLANNED TO CONFORM TO THE STANDARDS AND PRACTICES OF THE AMERICAN ASSOCIATION OF STATE HIGHWAY OFFICIALS (AASHO), BUREAU OF PUBLIC ROADS (BPR), AND STATE AND LOCAL GOVERNMENTS.</t>
        </is>
      </c>
    </row>
    <row r="986">
      <c r="C986" s="143" t="inlineStr">
        <is>
          <t>851 21</t>
        </is>
      </c>
      <c r="D986" s="143" t="inlineStr">
        <is>
          <t>VEH. PARK, UNSURFACED</t>
        </is>
      </c>
      <c r="E986" s="143" t="inlineStr">
        <is>
          <t>SY</t>
        </is>
      </c>
      <c r="F986" s="143" t="n"/>
      <c r="G986" s="143" t="n"/>
      <c r="H986" s="143" t="n"/>
      <c r="I986" s="143" t="inlineStr">
        <is>
          <t>AN AREA FOR PARKING PRIVATE AND/OR GOVERNMENT OWNED VEHICLES AND EQUIPMENT THAT DO NOT HAVE A PERMANENT/IMPERVIOUS SURFACE SUCH AS ASPHALT OR CONCRETE.</t>
        </is>
      </c>
    </row>
    <row r="987">
      <c r="C987" s="143" t="inlineStr">
        <is>
          <t>851 22</t>
        </is>
      </c>
      <c r="D987" s="143" t="inlineStr">
        <is>
          <t>VEHICLE STAGING AREA</t>
        </is>
      </c>
      <c r="E987" s="143" t="inlineStr">
        <is>
          <t>SY</t>
        </is>
      </c>
      <c r="F987" s="143" t="n"/>
      <c r="G987" s="143" t="n"/>
      <c r="H987" s="143" t="n"/>
      <c r="I987" s="143" t="inlineStr">
        <is>
          <t>AN AREA, PAVED OR UNPAVED, THAT IS FOR TEMPORARY STORAGE OF VEHICLES PRIOR TO SHIPMENT OR FURTHER DEPLOYMENT.</t>
        </is>
      </c>
    </row>
    <row r="988">
      <c r="C988" s="143" t="inlineStr">
        <is>
          <t>851 23</t>
        </is>
      </c>
      <c r="D988" s="143" t="inlineStr">
        <is>
          <t>TRAFFIC CONTROL SIGNALS</t>
        </is>
      </c>
      <c r="E988" s="143" t="inlineStr">
        <is>
          <t>EA</t>
        </is>
      </c>
      <c r="F988" s="143" t="n"/>
      <c r="G988" s="143" t="n"/>
      <c r="H988" s="143" t="n"/>
      <c r="I988" s="143" t="inlineStr">
        <is>
          <t>DEVICES USED FOR DIRECTING PEDESTRIAN, VEHICULAR OR RAIL TRAFFIC BY MEANS OF POWER-OPERATED CONTROLS. COSTS INCLUDE SIGNAL DEVICES, NECESSARY SUPPORTS, AND ELECTRIC POWER CABLES AND ARE COUNTED PER INTERSECTION.</t>
        </is>
      </c>
    </row>
    <row r="989">
      <c r="C989" s="143" t="inlineStr">
        <is>
          <t>851 25</t>
        </is>
      </c>
      <c r="D989" s="143" t="inlineStr">
        <is>
          <t>VEHICULAR TUNNEL</t>
        </is>
      </c>
      <c r="E989" s="143" t="inlineStr">
        <is>
          <t>LF</t>
        </is>
      </c>
      <c r="F989" s="143" t="n"/>
      <c r="G989" s="143" t="n"/>
      <c r="H989" s="143" t="n"/>
      <c r="I989" s="143" t="inlineStr">
        <is>
          <t>VEHICULAR TUNNELS ARE USED FOR SLOPE STABILIZATION AND AUTOMOBILE ACCESS IN AREAS WHERE STEEP SLOPES LIMIT DEVELOPMENT AND REQUIRE INNOVATIVE ACCESS SOLUTIONS. THESE TUNNELS SERVE VEHICULAR AND PEDESTRIAN TRAFFIC AS WELL AS HOUSING UTILITY RUNS.</t>
        </is>
      </c>
    </row>
    <row r="990">
      <c r="C990" s="143" t="inlineStr">
        <is>
          <t>852 10</t>
        </is>
      </c>
      <c r="D990" s="143" t="inlineStr">
        <is>
          <t>PARKING AREA</t>
        </is>
      </c>
      <c r="E990" s="143" t="inlineStr">
        <is>
          <t>SY</t>
        </is>
      </c>
      <c r="F990" s="143" t="n"/>
      <c r="G990" s="143" t="n"/>
      <c r="H990" s="143" t="n"/>
      <c r="I990" s="143" t="inlineStr">
        <is>
          <t>THE PAVED AND/OR STABILIZED AREA WITHIN AN ORGANIZATIONAL MOTOR POOL AND PARKING LOT,</t>
        </is>
      </c>
    </row>
    <row r="991">
      <c r="C991" s="143" t="inlineStr">
        <is>
          <t>852 15</t>
        </is>
      </c>
      <c r="D991" s="143" t="inlineStr">
        <is>
          <t>BICYCLE SHELTER</t>
        </is>
      </c>
      <c r="E991" s="143" t="inlineStr">
        <is>
          <t>SF</t>
        </is>
      </c>
      <c r="F991" s="143" t="n"/>
      <c r="G991" s="143" t="n"/>
      <c r="H991" s="143" t="n"/>
      <c r="I991" s="143" t="inlineStr">
        <is>
          <t>A STRUCTURE USED FOR TEMPORARY PARKING OF BICYCLES.</t>
        </is>
      </c>
    </row>
    <row r="992">
      <c r="C992" s="143" t="inlineStr">
        <is>
          <t>852 20</t>
        </is>
      </c>
      <c r="D992" s="143" t="inlineStr">
        <is>
          <t>SIDEWALK</t>
        </is>
      </c>
      <c r="E992" s="143" t="inlineStr">
        <is>
          <t>SY</t>
        </is>
      </c>
      <c r="F992" s="143" t="n"/>
      <c r="G992" s="143" t="n"/>
      <c r="H992" s="143" t="n"/>
      <c r="I992" s="143" t="inlineStr">
        <is>
          <t>A PATHWAY CONSTRUCTED TO SUPPORT PEDESTRIAN TRAFFIC. CONSTRUCTION IS OF CONCRETE, ASPHALT, PAVING BLOCKS, GRAVEL, OR THE LIKE.</t>
        </is>
      </c>
    </row>
    <row r="993">
      <c r="C993" s="143" t="inlineStr">
        <is>
          <t>852 30</t>
        </is>
      </c>
      <c r="D993" s="143" t="inlineStr">
        <is>
          <t>PEDESTRIAN BRIDGES</t>
        </is>
      </c>
      <c r="E993" s="143" t="inlineStr">
        <is>
          <t>SY</t>
        </is>
      </c>
      <c r="F993" s="143" t="n"/>
      <c r="G993" s="143" t="n"/>
      <c r="H993" s="143" t="n"/>
      <c r="I993" s="143" t="inlineStr">
        <is>
          <t>BRIDGES THAT SUPPORT WALKWAY CROSSING OF A RIVER, UNDERPASS, OR SIMILAR GAP.</t>
        </is>
      </c>
    </row>
    <row r="994">
      <c r="C994" s="143" t="inlineStr">
        <is>
          <t>852 35</t>
        </is>
      </c>
      <c r="D994" s="143" t="inlineStr">
        <is>
          <t>OTHER PAVED AREA</t>
        </is>
      </c>
      <c r="E994" s="143" t="inlineStr">
        <is>
          <t>SY</t>
        </is>
      </c>
      <c r="F994" s="143" t="n"/>
      <c r="G994" s="143" t="n"/>
      <c r="H994" s="143" t="n"/>
      <c r="I994" s="143" t="inlineStr">
        <is>
          <t>THIS CODE IS FOR MISCELLANEOUS VEHICULAR PAVEMENTS NOT CAPTURED IN OTHER 100 OR 400 SERIES CATEGORY CODES.</t>
        </is>
      </c>
    </row>
    <row r="995">
      <c r="C995" s="143" t="inlineStr">
        <is>
          <t>852 40</t>
        </is>
      </c>
      <c r="D995" s="143" t="inlineStr">
        <is>
          <t>MISC OPEN STRG/LAYDOWN</t>
        </is>
      </c>
      <c r="E995" s="143" t="inlineStr">
        <is>
          <t>SY</t>
        </is>
      </c>
      <c r="F995" s="143" t="n"/>
      <c r="G995" s="143" t="n"/>
      <c r="H995" s="143" t="n"/>
      <c r="I995" s="143" t="inlineStr">
        <is>
          <t>THIS CODE IS FOR OPEN STORAGE AREAS OTHER THAN THOSE USED FOR GENERAL SUPPLY OPERATIONS (CATEGORY CODE 451 10). IT INCLUDES PUBLIC WORKS OPEN STORAGE FACILITIES.</t>
        </is>
      </c>
    </row>
    <row r="996">
      <c r="C996" s="143" t="inlineStr">
        <is>
          <t>852 41</t>
        </is>
      </c>
      <c r="D996" s="143" t="inlineStr">
        <is>
          <t>BLDG/TRLR PAD W/ UTIL CNCT</t>
        </is>
      </c>
      <c r="E996" s="143" t="inlineStr">
        <is>
          <t>SY</t>
        </is>
      </c>
      <c r="F996" s="143" t="n"/>
      <c r="G996" s="143" t="n"/>
      <c r="H996" s="143" t="n"/>
      <c r="I996" s="143" t="inlineStr">
        <is>
          <t>PAVED SURFACE CONSTRUCTED TO SUPPORT A TEMPORARY FACILITY OR TRAILER. UTILITY CONNECTIONS ARE PART OF THE TRAILER PAD REQUIREMENTS AND ALLOW TEMPORARY FACILITIES (OFTEN CLASS 3 PROPERTY) TO BE EASILY INSTALLED.</t>
        </is>
      </c>
    </row>
    <row r="997">
      <c r="C997" s="143" t="inlineStr">
        <is>
          <t>853 10</t>
        </is>
      </c>
      <c r="D997" s="143" t="inlineStr">
        <is>
          <t>PARKING BLDG</t>
        </is>
      </c>
      <c r="E997" s="143" t="inlineStr">
        <is>
          <t>SF</t>
        </is>
      </c>
      <c r="F997" s="143" t="n"/>
      <c r="G997" s="143" t="n"/>
      <c r="H997" s="143" t="n"/>
      <c r="I997" s="143" t="inlineStr">
        <is>
          <t>A STRUCTURE OR BUILDING DESIGNED FOR PARKING PRIVATE AND/OR GOVERNMENT OWNED VEHICLES AND EQUIPMENT IN INDIVIDUAL PARKING SPOTS/LOCATIONS. THE FACILITY MAY BE ABOVE GROUND OR UNDERGROUND. THE PARKING BUILDING SHOULD BE JUSTIFIED BY LAND RESTRICTIONS AND ECONOMIC CONSIDERATIONS.</t>
        </is>
      </c>
    </row>
    <row r="998">
      <c r="C998" s="143" t="inlineStr">
        <is>
          <t>860 10</t>
        </is>
      </c>
      <c r="D998" s="143" t="inlineStr">
        <is>
          <t>RAILROAD TRACKAGE</t>
        </is>
      </c>
      <c r="E998" s="143" t="inlineStr">
        <is>
          <t>MI</t>
        </is>
      </c>
      <c r="F998" s="143" t="n"/>
      <c r="G998" s="143" t="n"/>
      <c r="H998" s="143" t="n"/>
      <c r="I998" s="143" t="inlineStr">
        <is>
          <t>RAIL TRACK TO INCLUDE SPURS, SIDINGS, YARDS, AND TURNOUTS. TRACK INCLUDES TWO PARALLEL RAILS, CROSSTIES, AND ROADBED.</t>
        </is>
      </c>
    </row>
    <row r="999">
      <c r="C999" s="143" t="inlineStr">
        <is>
          <t>860 20</t>
        </is>
      </c>
      <c r="D999" s="143" t="inlineStr">
        <is>
          <t>EXPLOSV BARICD,TRUCK/CAR</t>
        </is>
      </c>
      <c r="E999" s="143" t="inlineStr">
        <is>
          <t>EA</t>
        </is>
      </c>
      <c r="F999" s="143" t="n"/>
      <c r="G999" s="143" t="n"/>
      <c r="H999" s="143" t="n"/>
      <c r="I999" s="143" t="inlineStr">
        <is>
          <t>A CONCRETE AND EARTHEN STRUCTURE PLACED ALONGSIDE A SUSPECT CARGO SITE FOR TRUCKS AND RAILCARS CONTAINING AMMUNITION OR EXPLOSIVES THAT ARE SUSPECTED OF BEING IN A HAZARDOUS CONDITION.</t>
        </is>
      </c>
    </row>
    <row r="1000">
      <c r="C1000" s="143" t="inlineStr">
        <is>
          <t>860 30</t>
        </is>
      </c>
      <c r="D1000" s="143" t="inlineStr">
        <is>
          <t>RR BRIDGE&amp;TRESTLE</t>
        </is>
      </c>
      <c r="E1000" s="143" t="inlineStr">
        <is>
          <t>MI</t>
        </is>
      </c>
      <c r="F1000" s="143" t="n"/>
      <c r="G1000" s="143" t="n"/>
      <c r="H1000" s="143" t="n"/>
      <c r="I1000" s="143" t="inlineStr">
        <is>
          <t>BRIDGES THAT SUPPORT RAILROAD TRACK CROSSING OF A RIVER, ROAD UNDERPASS, OR SIMILAR GAP.</t>
        </is>
      </c>
    </row>
    <row r="1001">
      <c r="C1001" s="143" t="inlineStr">
        <is>
          <t>860 40</t>
        </is>
      </c>
      <c r="D1001" s="143" t="inlineStr">
        <is>
          <t>CRANE TRACKAGE</t>
        </is>
      </c>
      <c r="E1001" s="143" t="inlineStr">
        <is>
          <t>MI</t>
        </is>
      </c>
      <c r="F1001" s="143" t="n"/>
      <c r="G1001" s="143" t="n"/>
      <c r="H1001" s="143" t="n"/>
      <c r="I1001" s="143" t="inlineStr">
        <is>
          <t>TRACKAGE USED IN OPERATIONAL AREAS TO ALLOW CRANE TRAVEL BETWEEN OPERATIONAL FACILITIES OR WATERFRONT AREAS SUCH AS PIERS AND WHARVES.</t>
        </is>
      </c>
    </row>
    <row r="1002">
      <c r="C1002" s="143" t="inlineStr">
        <is>
          <t>860 41</t>
        </is>
      </c>
      <c r="D1002" s="143" t="inlineStr">
        <is>
          <t>RAILROAD SCALEHOUSE</t>
        </is>
      </c>
      <c r="E1002" s="143" t="inlineStr">
        <is>
          <t>SF</t>
        </is>
      </c>
      <c r="F1002" s="143" t="n"/>
      <c r="G1002" s="143" t="n"/>
      <c r="H1002" s="143" t="n"/>
      <c r="I1002" s="143" t="inlineStr">
        <is>
          <t>A RAILROAD SCALEHOUSE IS A FACILITY DESIGNED TO WEIGH RAIL CARGO. TYPICALLY, TRACKS ARE LAID TO ALLOW RAILCARS TO BE PULLED THROUGH THE SCALEHOUSE.</t>
        </is>
      </c>
    </row>
    <row r="1003">
      <c r="C1003" s="143" t="inlineStr">
        <is>
          <t>871 10</t>
        </is>
      </c>
      <c r="D1003" s="143" t="inlineStr">
        <is>
          <t>STORM SEWER</t>
        </is>
      </c>
      <c r="E1003" s="143" t="inlineStr">
        <is>
          <t>LF</t>
        </is>
      </c>
      <c r="F1003" s="143" t="n"/>
      <c r="G1003" s="143" t="n"/>
      <c r="H1003" s="143" t="n"/>
      <c r="I1003" s="143" t="inlineStr">
        <is>
          <t>STORM SEWERS ARE COMPONENTS OF A STORM DRAINAGE SYSTEM THAT COLLECTS THE SURFACE RUNOFF WATER AND CONVEYS IT TO OUTLET POINTS.</t>
        </is>
      </c>
    </row>
    <row r="1004">
      <c r="C1004" s="143" t="inlineStr">
        <is>
          <t>871 11</t>
        </is>
      </c>
      <c r="D1004" s="143" t="inlineStr">
        <is>
          <t>OIL/WATER SEPARATOR-RUNOFF</t>
        </is>
      </c>
      <c r="E1004" s="143" t="inlineStr">
        <is>
          <t>KG</t>
        </is>
      </c>
      <c r="F1004" s="143" t="n"/>
      <c r="G1004" s="143" t="n"/>
      <c r="H1004" s="143" t="n"/>
      <c r="I1004" s="143" t="inlineStr">
        <is>
          <t>OIL/WATER SEPARATOR USED FOR SEPARATING PETROLEUM CONTAMINANTS FROM STORMWATER PRIOR TO BEING REINTRODUCED INTO THE NATURAL ENVIRONMENT.</t>
        </is>
      </c>
    </row>
    <row r="1005">
      <c r="C1005" s="143" t="inlineStr">
        <is>
          <t>871 15</t>
        </is>
      </c>
      <c r="D1005" s="143" t="inlineStr">
        <is>
          <t>STORM WATER PUMPING STA</t>
        </is>
      </c>
      <c r="E1005" s="143" t="inlineStr">
        <is>
          <t>EA</t>
        </is>
      </c>
      <c r="F1005" s="143" t="n"/>
      <c r="G1005" s="143" t="n"/>
      <c r="H1005" s="143" t="n"/>
      <c r="I1005" s="143" t="inlineStr">
        <is>
          <t>PUMP STATION FACILITY USED FOR MOVING STORMWATER RUNOFF FROM ONE ELEVATION/LOCATION TO ANOTHER.</t>
        </is>
      </c>
    </row>
    <row r="1006">
      <c r="C1006" s="143" t="inlineStr">
        <is>
          <t>871 16</t>
        </is>
      </c>
      <c r="D1006" s="143" t="inlineStr">
        <is>
          <t>STORM WATER POND</t>
        </is>
      </c>
      <c r="E1006" s="143" t="inlineStr">
        <is>
          <t>MG</t>
        </is>
      </c>
      <c r="F1006" s="143" t="n"/>
      <c r="G1006" s="143" t="n"/>
      <c r="H1006" s="143" t="n"/>
      <c r="I1006" s="143" t="inlineStr">
        <is>
          <t>A STORM WATER RETENTION POND IS UTILIZED TO CONTAIN AND CONTROL STORM WATER RUNOFF AT A PREDETERMINED RATE.</t>
        </is>
      </c>
    </row>
    <row r="1007">
      <c r="C1007" s="143" t="inlineStr">
        <is>
          <t>871 20</t>
        </is>
      </c>
      <c r="D1007" s="143" t="inlineStr">
        <is>
          <t>DRAIN DITCH,EXC ROAD DITCH</t>
        </is>
      </c>
      <c r="E1007" s="143" t="inlineStr">
        <is>
          <t>LF</t>
        </is>
      </c>
      <c r="F1007" s="143" t="n"/>
      <c r="G1007" s="143" t="n"/>
      <c r="H1007" s="143" t="n"/>
      <c r="I1007" s="143" t="inlineStr">
        <is>
          <t>DRAINAGE DITCHES SERVE THE SAME PURPOSE AS STORM SEWERS. THEY ARE PREFERABLE TO COVERED STRUCTURES TO MINIMIZE CONSTRUCTION, TO CONSERVE MATERIALS, AND TO FACILITATE MAINTENANCE.</t>
        </is>
      </c>
    </row>
    <row r="1008">
      <c r="C1008" s="143" t="inlineStr">
        <is>
          <t>871 25</t>
        </is>
      </c>
      <c r="D1008" s="143" t="inlineStr">
        <is>
          <t>DYKE / DAM</t>
        </is>
      </c>
      <c r="E1008" s="143" t="inlineStr">
        <is>
          <t>LF</t>
        </is>
      </c>
      <c r="F1008" s="143" t="n"/>
      <c r="G1008" s="143" t="n"/>
      <c r="H1008" s="143" t="n"/>
      <c r="I1008" s="143" t="inlineStr">
        <is>
          <t>A DAM IS AN ARTIFICIAL OR NATURAL BARRIER USUALLY CONSTRUCTED ACROSS A STREAM CHANNEL TO IMPOUND WATER.</t>
        </is>
      </c>
    </row>
    <row r="1009">
      <c r="C1009" s="143" t="inlineStr">
        <is>
          <t>871 26</t>
        </is>
      </c>
      <c r="D1009" s="143" t="inlineStr">
        <is>
          <t>LEVEE &amp;/OR DIKE</t>
        </is>
      </c>
      <c r="E1009" s="143" t="inlineStr">
        <is>
          <t>LF</t>
        </is>
      </c>
      <c r="F1009" s="143" t="n"/>
      <c r="G1009" s="143" t="n"/>
      <c r="H1009" s="143" t="n"/>
      <c r="I1009" s="143" t="inlineStr">
        <is>
          <t>A LEVEE IS A TYPE OF DAM THAT RUNS ALONG THE BANKS OF A RIVER OR CANAL. LEVEES REINFORCE THE BANKS AND HELP PREVENT FLOODING.</t>
        </is>
      </c>
    </row>
    <row r="1010">
      <c r="C1010" s="143" t="inlineStr">
        <is>
          <t>871 30</t>
        </is>
      </c>
      <c r="D1010" s="143" t="inlineStr">
        <is>
          <t>IRRIGATION FACILITY</t>
        </is>
      </c>
      <c r="E1010" s="143" t="inlineStr">
        <is>
          <t>EA</t>
        </is>
      </c>
      <c r="F1010" s="143" t="n"/>
      <c r="G1010" s="143" t="n"/>
      <c r="H1010" s="143" t="n"/>
      <c r="I1010" s="143" t="inlineStr">
        <is>
          <t>THESE FACILITIES ARE USED TO SUPPLY WATER TO AREAS THAT NEED WATER ABOVE THE AMOUNT OF NATURAL RAINFALL. THEY CAN CONSIST OF A SERIES OF PUMPS, PIPES AND OTHER ASSOCIATED EQUIPMENT.</t>
        </is>
      </c>
    </row>
    <row r="1011">
      <c r="C1011" s="143" t="inlineStr">
        <is>
          <t>871 35</t>
        </is>
      </c>
      <c r="D1011" s="143" t="inlineStr">
        <is>
          <t>RETAINING WALL</t>
        </is>
      </c>
      <c r="E1011" s="143" t="inlineStr">
        <is>
          <t>LF</t>
        </is>
      </c>
      <c r="F1011" s="143" t="n"/>
      <c r="G1011" s="143" t="n"/>
      <c r="H1011" s="143" t="n"/>
      <c r="I1011" s="143" t="inlineStr">
        <is>
          <t>A STRUCTURE CONSTRUCTED TO RESTRICT OR PREVENT THE HORIZONTAL MOVEMENT OF EARTH.</t>
        </is>
      </c>
    </row>
    <row r="1012">
      <c r="C1012" s="143" t="inlineStr">
        <is>
          <t>871 45</t>
        </is>
      </c>
      <c r="D1012" s="143" t="inlineStr">
        <is>
          <t>DREDGED SPOIL HNDLG FAC</t>
        </is>
      </c>
      <c r="E1012" s="143" t="inlineStr">
        <is>
          <t>EA</t>
        </is>
      </c>
      <c r="F1012" s="143" t="n"/>
      <c r="G1012" s="143" t="n"/>
      <c r="H1012" s="143" t="n"/>
      <c r="I1012" s="143" t="inlineStr">
        <is>
          <t>FACILITY FOR STORAGE OF DREDGE SPOILS PRIOR TO PROCESSING AND REMOVAL.</t>
        </is>
      </c>
    </row>
    <row r="1013">
      <c r="C1013" s="143" t="inlineStr">
        <is>
          <t>872 10</t>
        </is>
      </c>
      <c r="D1013" s="143" t="inlineStr">
        <is>
          <t>SECURTY/PERIMTR FENCE/WALL</t>
        </is>
      </c>
      <c r="E1013" s="143" t="inlineStr">
        <is>
          <t>LF</t>
        </is>
      </c>
      <c r="F1013" s="143" t="n"/>
      <c r="G1013" s="143" t="n"/>
      <c r="H1013" s="143" t="n"/>
      <c r="I1013" s="143" t="inlineStr">
        <is>
          <t>SECURITY FENCING AND WALLS DEFINE THE LIMITS OF SECURITY AREAS AND FACILITATE THE EFFECTIVE AND ECONOMICAL USE OF SECURITY PERSONNEL. FENCING IS PLANNED ON THE BASIS OF A STUDY OF THE SECURITY CLASSIFICATION REQUIREMENTS OF THE INSTALLATION.</t>
        </is>
      </c>
    </row>
    <row r="1014">
      <c r="C1014" s="143" t="inlineStr">
        <is>
          <t>872 11</t>
        </is>
      </c>
      <c r="D1014" s="143" t="inlineStr">
        <is>
          <t>HARDENED SEC FENCE</t>
        </is>
      </c>
      <c r="E1014" s="143" t="inlineStr">
        <is>
          <t>LF</t>
        </is>
      </c>
      <c r="F1014" s="143" t="n"/>
      <c r="G1014" s="143" t="n"/>
      <c r="H1014" s="143" t="n"/>
      <c r="I1014" s="143" t="inlineStr">
        <is>
          <t>A LINEAR STRUCTURE INTENDED TO RESTRICT ACCESS TO A SPECIFIC AREA OR TO RESTRICT AND DIRECT THE FLOW OF TRAFFIC. THESE STRUCTURES INCLUDE HARDENING OR SPECIAL CHARACTERISTIC BEYOND STANDARD FENCES AND WALLS SUCH AS INTRUSION DETECTION, RAZOR WIRE, OR BARRIER IMPACT/PENETRATION RESISTANCE MEASURES.</t>
        </is>
      </c>
    </row>
    <row r="1015">
      <c r="C1015" s="143" t="inlineStr">
        <is>
          <t>872 15</t>
        </is>
      </c>
      <c r="D1015" s="143" t="inlineStr">
        <is>
          <t>INTERIOR FENCE*EXC 87210*</t>
        </is>
      </c>
      <c r="E1015" s="143" t="inlineStr">
        <is>
          <t>LF</t>
        </is>
      </c>
      <c r="F1015" s="143" t="n"/>
      <c r="G1015" s="143" t="n"/>
      <c r="H1015" s="143" t="n"/>
      <c r="I1015" s="143" t="inlineStr">
        <is>
          <t>MISCELLANEOUS FENCING INTERIOR TO AN INSTALLATION PERIMETER FENCE. THIS CATEGORY CODE IS FOR INVENTORY PURPOSES ONLY.</t>
        </is>
      </c>
    </row>
    <row r="1016">
      <c r="C1016" s="143" t="inlineStr">
        <is>
          <t>872 20</t>
        </is>
      </c>
      <c r="D1016" s="143" t="inlineStr">
        <is>
          <t>GUARD AND WATCH TOWERS</t>
        </is>
      </c>
      <c r="E1016" s="143" t="inlineStr">
        <is>
          <t>SF</t>
        </is>
      </c>
      <c r="F1016" s="143" t="n"/>
      <c r="G1016" s="143" t="n"/>
      <c r="H1016" s="143" t="n"/>
      <c r="I1016" s="143" t="inlineStr">
        <is>
          <t>WHERE AUTHORIZED, GUARD OR WATCHTOWERS SHOULD BE CONSTRUCTED AT LOCATIONS THAT WILL PROVIDE THE BEST OBSERVATION OF SECURITY AREAS.</t>
        </is>
      </c>
    </row>
    <row r="1017">
      <c r="C1017" s="143" t="inlineStr">
        <is>
          <t>872 30</t>
        </is>
      </c>
      <c r="D1017" s="143" t="inlineStr">
        <is>
          <t>MECH SEC BARRICADE</t>
        </is>
      </c>
      <c r="E1017" s="143" t="inlineStr">
        <is>
          <t>EA</t>
        </is>
      </c>
      <c r="F1017" s="143" t="n"/>
      <c r="G1017" s="143" t="n"/>
      <c r="H1017" s="143" t="n"/>
      <c r="I1017" s="143" t="inlineStr">
        <is>
          <t>MECHANICALLY OPERATED BARRICADE CONSISTING OF POP-UP BOLLARDS, RISING ROAD PLATES, OR WEDGES DESIGNED TO CONTROL VEHICLULAR OR OTHER TRAFFIC. UNIT OF MEASURE IS EA AND INCLUDES DEVICES USED FOR A SINGLE TRAFFIC LANE.</t>
        </is>
      </c>
    </row>
    <row r="1018">
      <c r="C1018" s="143" t="inlineStr">
        <is>
          <t>880 10</t>
        </is>
      </c>
      <c r="D1018" s="143" t="inlineStr">
        <is>
          <t>FIRE ALARM COMM LINES</t>
        </is>
      </c>
      <c r="E1018" s="143" t="inlineStr">
        <is>
          <t>MI</t>
        </is>
      </c>
      <c r="F1018" s="143" t="n"/>
      <c r="G1018" s="143" t="n"/>
      <c r="H1018" s="143" t="n"/>
      <c r="I1018" s="143" t="inlineStr">
        <is>
          <t>THIS CATEGORY CODE IS USED TO CAPTURE THE FIRE ALARM REPORTING SYSTEM RELATED COMMUNICATION LINES THAT ARE EXTERIOR TO THE BUILDINGS THEY SERVE. FACILITY FIRE ALARM EQUIPMENT AND RELATED BUILDING INFRASTRUCTURE ARE EITHER RPIE OR PPE AND ARE NOT INCLUDED IN THIS CATEGORY CODE.</t>
        </is>
      </c>
    </row>
    <row r="1019">
      <c r="C1019" s="143" t="inlineStr">
        <is>
          <t>880 20</t>
        </is>
      </c>
      <c r="D1019" s="143" t="inlineStr">
        <is>
          <t>WATCH RPTG SYSTEM LINES</t>
        </is>
      </c>
      <c r="E1019" s="143" t="inlineStr">
        <is>
          <t>MI</t>
        </is>
      </c>
      <c r="F1019" s="143" t="n"/>
      <c r="G1019" s="143" t="n"/>
      <c r="H1019" s="143" t="n"/>
      <c r="I1019" s="143" t="inlineStr">
        <is>
          <t>A WATCH REPORTING SYSTEM PROVIDES A METHOD FOR THE AUTOMATIC AND NON-AUTOMATIC DETECTION OF FIRE AND FOR SECURITY PROTECTION (INTRUSION DETECTION SYSTEM) THROUGHOUT DESIGNATED AREAS, BUILDINGS, AND STRUCTURES. THE WATCH REPORTING SYSTEM PROVIDES LOCAL ALARMS AND CENTRAL STATION ALARMS TO BUILDING OCCUPANTS AND TO STATION SECURITY AND FIREFIGHTING PERSONNEL.</t>
        </is>
      </c>
    </row>
    <row r="1020">
      <c r="C1020" s="143" t="inlineStr">
        <is>
          <t>880 30</t>
        </is>
      </c>
      <c r="D1020" s="143" t="inlineStr">
        <is>
          <t>BASE ALERT SYSTEMS LINES</t>
        </is>
      </c>
      <c r="E1020" s="143" t="inlineStr">
        <is>
          <t>MI</t>
        </is>
      </c>
      <c r="F1020" s="143" t="n"/>
      <c r="G1020" s="143" t="n"/>
      <c r="H1020" s="143" t="n"/>
      <c r="I1020" s="143" t="inlineStr">
        <is>
          <t>BASE ALERT SYSTEMS SHALL BE PLANNED FOR ALL NAVY INSTALLATIONS. THE SYSTEM MAY ALERT BASE PERSONNEL TO AIR RAIDS, CHEMICAL/BIOLOGICAL ATTACKS OR ANY OTHER TYPE OF TERRORIST ATTACK. HORNS OF HIGH-POWER TYPE MAY BE USED AS SIGNAL DEVICES.</t>
        </is>
      </c>
    </row>
    <row r="1021">
      <c r="C1021" s="143" t="inlineStr">
        <is>
          <t>880 40</t>
        </is>
      </c>
      <c r="D1021" s="143" t="inlineStr">
        <is>
          <t>AIR CRASH/ALERT COMM LINES</t>
        </is>
      </c>
      <c r="E1021" s="143" t="inlineStr">
        <is>
          <t>MI</t>
        </is>
      </c>
      <c r="F1021" s="143" t="n"/>
      <c r="G1021" s="143" t="n"/>
      <c r="H1021" s="143" t="n"/>
      <c r="I1021" s="143" t="inlineStr">
        <is>
          <t>ALARM SYSTEM INTENDED TO ALERT IN THE EVENT OF AN AIR CRASH</t>
        </is>
      </c>
    </row>
    <row r="1022">
      <c r="C1022" s="143" t="inlineStr">
        <is>
          <t>890 09</t>
        </is>
      </c>
      <c r="D1022" s="143" t="inlineStr">
        <is>
          <t>MISC UTILITY BLDG</t>
        </is>
      </c>
      <c r="E1022" s="143" t="inlineStr">
        <is>
          <t>SF</t>
        </is>
      </c>
      <c r="F1022" s="143" t="n"/>
      <c r="G1022" s="143" t="n"/>
      <c r="H1022" s="143" t="n"/>
      <c r="I1022" s="143" t="inlineStr">
        <is>
          <t>THIS CATEGORY CODE IS USED FOR BUILDINGS ASSOCIATED WITH PUBLIC WORKS UTILITIES SHOPS AND OTHER MISCELLANEOUS UTILITY BUILDINGS. IF A UTILITY BUILDING CANNOT BE CLASSIFIED UNDER ONE OF THE OTHER UTILITY TYPE BUILDINGS, THIS CATEGORY CODE SHOULD BE USED.</t>
        </is>
      </c>
    </row>
    <row r="1023">
      <c r="C1023" s="143" t="inlineStr">
        <is>
          <t>890 11</t>
        </is>
      </c>
      <c r="D1023" s="143" t="inlineStr">
        <is>
          <t>ACETYLENE DISTRBTN SYSTEM</t>
        </is>
      </c>
      <c r="E1023" s="143" t="inlineStr">
        <is>
          <t>LF</t>
        </is>
      </c>
      <c r="F1023" s="143" t="n"/>
      <c r="G1023" s="143" t="n"/>
      <c r="H1023" s="143" t="n"/>
      <c r="I1023" s="143" t="inlineStr">
        <is>
          <t>THE DISTRIBUTION SYSTEM FOR ACETYLENE GAS GENERATED BY THE ACETYLENE PLANT IN CCN 89010.</t>
        </is>
      </c>
    </row>
    <row r="1024">
      <c r="C1024" s="143" t="inlineStr">
        <is>
          <t>890 15</t>
        </is>
      </c>
      <c r="D1024" s="143" t="inlineStr">
        <is>
          <t>NITROGEN PLANT</t>
        </is>
      </c>
      <c r="E1024" s="143" t="inlineStr">
        <is>
          <t>EA</t>
        </is>
      </c>
      <c r="F1024" s="143" t="n"/>
      <c r="G1024" s="143" t="n"/>
      <c r="H1024" s="143" t="n"/>
      <c r="I1024" s="143" t="inlineStr">
        <is>
          <t>NITROGEN IS USED WHERE AN INERT GAS IS REQUIRED. A NITROGEN PLANT IS REQUIRED FOR THE PROVISION OF LARGE QUANTITIES OF NITROGEN FOR SPECIAL APPLICATIONS.</t>
        </is>
      </c>
    </row>
    <row r="1025">
      <c r="C1025" s="143" t="inlineStr">
        <is>
          <t>890 18</t>
        </is>
      </c>
      <c r="D1025" s="143" t="inlineStr">
        <is>
          <t>UTILITY VAULT</t>
        </is>
      </c>
      <c r="E1025" s="143" t="inlineStr">
        <is>
          <t>EA</t>
        </is>
      </c>
      <c r="F1025" s="143" t="n"/>
      <c r="G1025" s="143" t="n"/>
      <c r="H1025" s="143" t="n"/>
      <c r="I1025" s="143" t="inlineStr">
        <is>
          <t>A UTILITY VAULT IS AN ENCLOSED STRUCTURE GENERALLY MADE OF CONCRETE THAT CONTAINS UTILITY EQUIPMENT, CONNECTIONS AND/OR LINES. A UTILITY VAULT IS TYPICALLY AN UNDERGROUND STRUCTURE.</t>
        </is>
      </c>
    </row>
    <row r="1026">
      <c r="C1026" s="143" t="inlineStr">
        <is>
          <t>890 20</t>
        </is>
      </c>
      <c r="D1026" s="143" t="inlineStr">
        <is>
          <t>COMPRESSED AIR PLANT</t>
        </is>
      </c>
      <c r="E1026" s="143" t="inlineStr">
        <is>
          <t>EA</t>
        </is>
      </c>
      <c r="F1026" s="143" t="n"/>
      <c r="G1026" s="143" t="n"/>
      <c r="H1026" s="143" t="n"/>
      <c r="I1026" s="143" t="inlineStr">
        <is>
          <t>COMPRESSED AIR IS USED BY THE NAVY IN NUMEROUS APPLICATIONS, SUCH AS FOR PNEUMATIC TOOLS, LAUNDRY EQUIPMENT, INSTRUMENTATION AND CONTROL EQUIPMENT, AND IN HOSPITALS AND LABORATORIES.</t>
        </is>
      </c>
    </row>
    <row r="1027">
      <c r="C1027" s="143" t="inlineStr">
        <is>
          <t>890 21</t>
        </is>
      </c>
      <c r="D1027" s="143" t="inlineStr">
        <is>
          <t>COMPD AIR DISTRBTN SYSTEM</t>
        </is>
      </c>
      <c r="E1027" s="143" t="inlineStr">
        <is>
          <t>LF</t>
        </is>
      </c>
      <c r="F1027" s="143" t="n"/>
      <c r="G1027" s="143" t="n"/>
      <c r="H1027" s="143" t="n"/>
      <c r="I1027" s="143" t="inlineStr">
        <is>
          <t>COMPRESSED AIR IS USED BY THE NAVY IN NUMEROUS APPLICATIONS, SUCH AS FOR PNEUMATIC TOOLS, LAUNDRY EQUIPMENT, INSTRUMENTATION AND CONTROL EQUIPMENT, AND IN HOSPITALS AND LABORATORIES.</t>
        </is>
      </c>
    </row>
    <row r="1028">
      <c r="C1028" s="143" t="inlineStr">
        <is>
          <t>890 25</t>
        </is>
      </c>
      <c r="D1028" s="143" t="inlineStr">
        <is>
          <t>CARBON DIOXIDE PLANT</t>
        </is>
      </c>
      <c r="E1028" s="143" t="inlineStr">
        <is>
          <t>EA</t>
        </is>
      </c>
      <c r="F1028" s="143" t="n"/>
      <c r="G1028" s="143" t="n"/>
      <c r="H1028" s="143" t="n"/>
      <c r="I1028" s="143" t="inlineStr">
        <is>
          <t>A CARBON DIOXIDE PLANT AT A NAVAL ACTIVITY PROVIDES SPACE FOR THE STORAGE AND TRANSFER OF CARBON DIOXIDE. THE SPACE CONTAINS A STORAGE TANK AND A DISTRIBUTION SYSTEM USED FOR REFILLING CARBON DIOXIDE FIRE EXTINGUISHERS.</t>
        </is>
      </c>
    </row>
    <row r="1029">
      <c r="C1029" s="143" t="inlineStr">
        <is>
          <t>890 27</t>
        </is>
      </c>
      <c r="D1029" s="143" t="inlineStr">
        <is>
          <t>ICE-MAKING PLANT</t>
        </is>
      </c>
      <c r="E1029" s="143" t="inlineStr">
        <is>
          <t>SF</t>
        </is>
      </c>
      <c r="F1029" s="143" t="n"/>
      <c r="G1029" s="143" t="n"/>
      <c r="H1029" s="143" t="n"/>
      <c r="I1029" s="143" t="inlineStr">
        <is>
          <t>FACILITY FOR THE CREATION AND DISTRIBUTION OF ICE.</t>
        </is>
      </c>
    </row>
    <row r="1030">
      <c r="C1030" s="143" t="inlineStr">
        <is>
          <t>890 30</t>
        </is>
      </c>
      <c r="D1030" s="143" t="inlineStr">
        <is>
          <t>INDUSTRIAL OXYGEN PLANT</t>
        </is>
      </c>
      <c r="E1030" s="143" t="inlineStr">
        <is>
          <t>EA</t>
        </is>
      </c>
      <c r="F1030" s="143" t="n"/>
      <c r="G1030" s="143" t="n"/>
      <c r="H1030" s="143" t="n"/>
      <c r="I1030" s="143" t="inlineStr">
        <is>
          <t>FACILITY USED TO GENERATE OXYGEN (NON-BREATHABLE) FOR INDUSTRIAL USE WHERE IT IS OTHERWISE UNAVAILABLE.</t>
        </is>
      </c>
    </row>
    <row r="1031">
      <c r="C1031" s="143" t="inlineStr">
        <is>
          <t>890 31</t>
        </is>
      </c>
      <c r="D1031" s="143" t="inlineStr">
        <is>
          <t>OXYGEN DISTRIBUTION SYSTEM</t>
        </is>
      </c>
      <c r="E1031" s="143" t="inlineStr">
        <is>
          <t>LF</t>
        </is>
      </c>
      <c r="F1031" s="143" t="n"/>
      <c r="G1031" s="143" t="n"/>
      <c r="H1031" s="143" t="n"/>
      <c r="I1031" s="143" t="inlineStr">
        <is>
          <t>PUMPS, PIPES AND LINES ASSOCIATED WITH THE DISTRIBUTION OF INDUSTRIAL OXYGEN PRODUCED BY THE INDUSTRIAL OXYGEN PLANT IN CCN 89030.</t>
        </is>
      </c>
    </row>
    <row r="1032">
      <c r="C1032" s="143" t="inlineStr">
        <is>
          <t>890 45</t>
        </is>
      </c>
      <c r="D1032" s="143" t="inlineStr">
        <is>
          <t>VALVE HSE,OTHER ENCLOSURE</t>
        </is>
      </c>
      <c r="E1032" s="143" t="inlineStr">
        <is>
          <t>SF</t>
        </is>
      </c>
      <c r="F1032" s="143" t="n"/>
      <c r="G1032" s="143" t="n"/>
      <c r="H1032" s="143" t="n"/>
      <c r="I1032" s="143" t="inlineStr">
        <is>
          <t>THIS CATEGORY CODE IS USED FOR ANY ENCLOSURE USED FOR HOUSING VALVES OR OTHER UTILITY EQUIPMENT THAT IS NOT CONTAINED IN ANY OTHER CCN.</t>
        </is>
      </c>
    </row>
    <row r="1033">
      <c r="C1033" s="143" t="inlineStr">
        <is>
          <t>890 46</t>
        </is>
      </c>
      <c r="D1033" s="143" t="inlineStr">
        <is>
          <t>UTILITY TUNNEL</t>
        </is>
      </c>
      <c r="E1033" s="143" t="inlineStr">
        <is>
          <t>LF</t>
        </is>
      </c>
      <c r="F1033" s="143" t="n"/>
      <c r="G1033" s="143" t="n"/>
      <c r="H1033" s="143" t="n"/>
      <c r="I1033" s="143" t="inlineStr">
        <is>
          <t>THIS CATEGORY CODE IS USED FOR A TUNNEL IN WHICH UTILITY SYSTEMS ARE ROUTED. THERE MAY BE MULTIPLE UTILITY SYSTEMS IN A SINGLE TUNNEL NETWORK.</t>
        </is>
      </c>
    </row>
    <row r="1034">
      <c r="C1034" s="143" t="inlineStr">
        <is>
          <t>890 50</t>
        </is>
      </c>
      <c r="D1034" s="143" t="inlineStr">
        <is>
          <t>ICS COMM LINES</t>
        </is>
      </c>
      <c r="E1034" s="143" t="inlineStr">
        <is>
          <t>MI</t>
        </is>
      </c>
      <c r="F1034" s="143" t="n"/>
      <c r="G1034" s="143" t="n"/>
      <c r="H1034" s="143" t="n"/>
      <c r="I1034" s="143" t="inlineStr">
        <is>
          <t>This CCN applies to the communication links portion of an Industrial Control System (ICS). An ICS manages and moves data to provide real-time operational capability, real time consumption, demand management, energy reduction and maintenance savings opportunities, and increases the reliability and efficiency associated with building and utility systems at shore installations.</t>
        </is>
      </c>
    </row>
    <row r="1035">
      <c r="C1035" s="143" t="inlineStr">
        <is>
          <t>890 51</t>
        </is>
      </c>
      <c r="D1035" s="143" t="inlineStr">
        <is>
          <t>ICS MON STA</t>
        </is>
      </c>
      <c r="E1035" s="143" t="inlineStr">
        <is>
          <t>SF</t>
        </is>
      </c>
      <c r="F1035" s="143" t="n"/>
      <c r="G1035" s="143" t="n"/>
      <c r="H1035" s="143" t="n"/>
      <c r="I1035" s="143" t="inlineStr">
        <is>
          <t>AN ICS MONITORING STATION IS USED TO MONITOR AND CONTROL MECHANICAL SYSTEMS OF FACILITIES AT REMOTE LOCATIONS.</t>
        </is>
      </c>
    </row>
    <row r="1036">
      <c r="C1036" s="143" t="inlineStr">
        <is>
          <t>890 56</t>
        </is>
      </c>
      <c r="D1036" s="143" t="inlineStr">
        <is>
          <t>WEIGHTING FACILITY</t>
        </is>
      </c>
      <c r="E1036" s="143" t="inlineStr">
        <is>
          <t>EA</t>
        </is>
      </c>
      <c r="F1036" s="143" t="n"/>
      <c r="G1036" s="143" t="n"/>
      <c r="H1036" s="143" t="n"/>
      <c r="I1036" s="143" t="inlineStr">
        <is>
          <t>VEHICULAR SCALES TYPICALLY USED FOR WEIGHING TRANSPORT TRUCKS AND CONTAINERS AT AN INSTALLATION.</t>
        </is>
      </c>
    </row>
    <row r="1037">
      <c r="C1037" s="143" t="inlineStr">
        <is>
          <t>890 77</t>
        </is>
      </c>
      <c r="D1037" s="143" t="inlineStr">
        <is>
          <t>UTILITY SYSTEM STRG(MISC)</t>
        </is>
      </c>
      <c r="E1037" s="143" t="inlineStr">
        <is>
          <t>SF</t>
        </is>
      </c>
      <c r="F1037" s="143" t="n"/>
      <c r="G1037" s="143" t="n"/>
      <c r="H1037" s="143" t="n"/>
      <c r="I1037" s="143" t="inlineStr">
        <is>
          <t>THIS CATEGORY CODE IS USED FOR INVENTORY PURPOSES ONLY. USE CATEGORY CODE 890 09 FOR MISCELLANEOUS UTILITY BUILDINGS.</t>
        </is>
      </c>
    </row>
    <row r="1038">
      <c r="C1038" s="143" t="inlineStr">
        <is>
          <t>892 10</t>
        </is>
      </c>
      <c r="D1038" s="143" t="inlineStr">
        <is>
          <t>MONITORING WELLS</t>
        </is>
      </c>
      <c r="E1038" s="143" t="inlineStr">
        <is>
          <t>EA</t>
        </is>
      </c>
      <c r="F1038" s="143" t="n"/>
      <c r="G1038" s="143" t="n"/>
      <c r="H1038" s="143" t="n"/>
      <c r="I1038" s="143" t="inlineStr">
        <is>
          <t>WELLS INSTALLED AROUND A SITE IN ORDER TO DETECT THE DISCHARGE OF ANY LEACHATE. SAMPLES FROM THE WELLS SHOULD BE ANALYZED PRIOR TO THE DISPOSAL OF ANY WASTE IN ORDER TO ESTABLISH BASELINE DATA.</t>
        </is>
      </c>
    </row>
    <row r="1039">
      <c r="C1039" s="143" t="inlineStr">
        <is>
          <t>893 20</t>
        </is>
      </c>
      <c r="D1039" s="143" t="inlineStr">
        <is>
          <t>UTILITY CHANNEL</t>
        </is>
      </c>
      <c r="E1039" s="143" t="inlineStr">
        <is>
          <t>LF</t>
        </is>
      </c>
      <c r="F1039" s="143" t="n"/>
      <c r="G1039" s="143" t="n"/>
      <c r="H1039" s="143" t="n"/>
      <c r="I1039" s="143" t="inlineStr">
        <is>
          <t>A UTILITY CHANNEL IS AN ENCLOSED UNDERGROUND CHANNEL FOR UTILITY, COMMUNICATION OR OTHER LINES THAT BOTH PROTECTS THE LINES, AND PROVIDES RELATIVELY EASY ACCESS FOR THEIR MAINTENANCE.</t>
        </is>
      </c>
    </row>
    <row r="1040">
      <c r="C1040" s="143" t="inlineStr">
        <is>
          <t>911 10</t>
        </is>
      </c>
      <c r="D1040" s="143" t="inlineStr">
        <is>
          <t>LAND - PURCHASE</t>
        </is>
      </c>
      <c r="E1040" s="143" t="inlineStr">
        <is>
          <t>AC</t>
        </is>
      </c>
      <c r="F1040" s="143" t="n"/>
      <c r="G1040" s="143" t="n"/>
      <c r="H1040" s="143" t="n"/>
      <c r="I1040" s="143" t="inlineStr">
        <is>
          <t>LAND ACQUIRED IN FEE BY PURCHASE IS A NEGOTIATED SALE OF THE PROPERTY FROM PRIVATE OWNERS TO THE FEDERAL GOVERNMENT BY CONVEYANCE OF DEED.</t>
        </is>
      </c>
    </row>
    <row r="1041">
      <c r="C1041" s="143" t="inlineStr">
        <is>
          <t>911 20</t>
        </is>
      </c>
      <c r="D1041" s="143" t="inlineStr">
        <is>
          <t>LAND - DONATION</t>
        </is>
      </c>
      <c r="E1041" s="143" t="inlineStr">
        <is>
          <t>AC</t>
        </is>
      </c>
      <c r="F1041" s="143" t="n"/>
      <c r="G1041" s="143" t="n"/>
      <c r="H1041" s="143" t="n"/>
      <c r="I1041" s="143" t="inlineStr">
        <is>
          <t>LAND ACQUIRED IN FEE BY DONATION USUALLY CONSISTS OF A CONVEYANCE OF FEE TITLE BY THE DONOR WITHOUT MONETARY CONSIDERATION.</t>
        </is>
      </c>
    </row>
    <row r="1042">
      <c r="C1042" s="143" t="inlineStr">
        <is>
          <t>911 30</t>
        </is>
      </c>
      <c r="D1042" s="143" t="inlineStr">
        <is>
          <t>LAND - TRANSFER</t>
        </is>
      </c>
      <c r="E1042" s="143" t="inlineStr">
        <is>
          <t>AC</t>
        </is>
      </c>
      <c r="F1042" s="143" t="n"/>
      <c r="G1042" s="143" t="n"/>
      <c r="H1042" s="143" t="n"/>
      <c r="I1042" s="143" t="inlineStr">
        <is>
          <t>TRANSFERS OF FEDERAL GOVERNMENT- OWNED LAND AMONG DEPARTMENTS AND AGENCIES OF THE FEDERAL GOVERNMENT</t>
        </is>
      </c>
    </row>
    <row r="1043">
      <c r="C1043" s="143" t="inlineStr">
        <is>
          <t>911 40</t>
        </is>
      </c>
      <c r="D1043" s="143" t="inlineStr">
        <is>
          <t>LAND - CONDEMNATION</t>
        </is>
      </c>
      <c r="E1043" s="143" t="inlineStr">
        <is>
          <t>AC</t>
        </is>
      </c>
      <c r="F1043" s="143" t="n"/>
      <c r="G1043" s="143" t="n"/>
      <c r="H1043" s="143" t="n"/>
      <c r="I1043" s="143" t="inlineStr">
        <is>
          <t>LAND IS ACQUIRED BY CONDEMNATION WHERE LAND IS ESSENTIAL FOR A PROJECT WHICH AFFECTS NATIONAL DEFENSE OR SECURITY, AND THE CONSIDERATION FOR PURCHASE CANNOT BE MUTUALLY AGREED UPON BETWEEN THE OWNER AND THE NAVY.</t>
        </is>
      </c>
    </row>
    <row r="1044">
      <c r="C1044" s="143" t="inlineStr">
        <is>
          <t>911 50</t>
        </is>
      </c>
      <c r="D1044" s="143" t="inlineStr">
        <is>
          <t>LAND - EXCHANGE</t>
        </is>
      </c>
      <c r="E1044" s="143" t="inlineStr">
        <is>
          <t>AC</t>
        </is>
      </c>
      <c r="F1044" s="143" t="n"/>
      <c r="G1044" s="143" t="n"/>
      <c r="H1044" s="143" t="n"/>
      <c r="I1044" s="143" t="inlineStr">
        <is>
          <t>LAND ACQUIRED BY EXCHANGE IS SIMILAR IN PRINCIPLE TO ACQUISITIONS BY PURCHASE EXCEPT THAT THE CONSIDERATION IS BY LAND VALUE RATHER THAN CASH.</t>
        </is>
      </c>
    </row>
    <row r="1045">
      <c r="C1045" s="143" t="inlineStr">
        <is>
          <t>912 10</t>
        </is>
      </c>
      <c r="D1045" s="143" t="inlineStr">
        <is>
          <t>LAND - PUB DOMAIN,PERM</t>
        </is>
      </c>
      <c r="E1045" s="143" t="inlineStr">
        <is>
          <t>AC</t>
        </is>
      </c>
      <c r="F1045" s="143" t="n"/>
      <c r="G1045" s="143" t="n"/>
      <c r="H1045" s="143" t="n"/>
      <c r="I1045" s="143" t="inlineStr">
        <is>
          <t>FEDERAL GOVERNMENT LAND PERMANENTLY EXCLUDED FROM SOME OR ALL FORMS OF ENTRY, USE, SALE, OR OTHER DISPOSAL UNDER THE PUBLIC LANDS LAWS AS SPECIFIED IN THE PUBLIC LAND ORDER, EXECUTIVE ORDER, OR ACT OF CONGRESS AND THOSE LANDS THAT ARE RESERVED FOR A SPECIFIED DEPARTMENT OR AGENCY FOR A SPECIFIC PUBLIC PURPOSE.</t>
        </is>
      </c>
    </row>
    <row r="1046">
      <c r="C1046" s="143" t="inlineStr">
        <is>
          <t>912 15</t>
        </is>
      </c>
      <c r="D1046" s="143" t="inlineStr">
        <is>
          <t>LAND - SET ASIDE- HAWAII</t>
        </is>
      </c>
      <c r="E1046" s="143" t="inlineStr">
        <is>
          <t>AC</t>
        </is>
      </c>
      <c r="F1046" s="143" t="n"/>
      <c r="G1046" s="143" t="n"/>
      <c r="H1046" s="143" t="n"/>
      <c r="I1046" s="143" t="inlineStr">
        <is>
          <t>FEDERAL GOVERNMENT LAND RESERVED THROUGH LAND TRUST IN STATE OF HAWAII</t>
        </is>
      </c>
    </row>
    <row r="1047">
      <c r="C1047" s="143" t="inlineStr">
        <is>
          <t>912 20</t>
        </is>
      </c>
      <c r="D1047" s="143" t="inlineStr">
        <is>
          <t>LAND-PUB DOMAIN,TEMPORY</t>
        </is>
      </c>
      <c r="E1047" s="143" t="inlineStr">
        <is>
          <t>AC</t>
        </is>
      </c>
      <c r="F1047" s="143" t="n"/>
      <c r="G1047" s="143" t="n"/>
      <c r="H1047" s="143" t="n"/>
      <c r="I1047" s="143" t="inlineStr">
        <is>
          <t>FEDERAL GOVERNMENT LAND EXCLUDED FROM SOME OR ALL FORMS OF ENTRY, USE, SALE, OR OTHER DISPOSAL UNDER THE PUBLIC LANDS LAWS AS SPECIFIED IN THE PUBLIC LAND ORDER, EXECUTIVE ORDER, OR ACT OF CONGRESS AND THOSE LANDS THAT ARE RESERVED FOR A SPECIFIC PUBLIC PURPOSE FOR A SPECIFIED PERIOD OF TIME.</t>
        </is>
      </c>
    </row>
    <row r="1048">
      <c r="C1048" s="143" t="inlineStr">
        <is>
          <t>913 10</t>
        </is>
      </c>
      <c r="D1048" s="143" t="inlineStr">
        <is>
          <t>LAND-TEMP USE,LIC,PMT,AGMT</t>
        </is>
      </c>
      <c r="E1048" s="143" t="inlineStr">
        <is>
          <t>AC</t>
        </is>
      </c>
      <c r="F1048" s="143" t="n"/>
      <c r="G1048" s="143" t="n"/>
      <c r="H1048" s="143" t="n"/>
      <c r="I1048" s="143" t="inlineStr">
        <is>
          <t>THIS LAND IS ACQUIRED FOR TEMPORARY USE UNDER LICENSE OR PERMIT. THE LICENSE OR PERMIT IS A PRIVILEGE, REVOCABLE AT WILL, TO USE THE PROPERTY OF THE LICENSER, FOR A SPECIFIED PURPOSE AND PERIOD OF TIME.</t>
        </is>
      </c>
    </row>
    <row r="1049">
      <c r="C1049" s="143" t="inlineStr">
        <is>
          <t>913 20</t>
        </is>
      </c>
      <c r="D1049" s="143" t="inlineStr">
        <is>
          <t>LAND-PUB DOMAIN -TEMP/PMT</t>
        </is>
      </c>
      <c r="E1049" s="143" t="inlineStr">
        <is>
          <t>AC</t>
        </is>
      </c>
      <c r="F1049" s="143" t="n"/>
      <c r="G1049" s="143" t="n"/>
      <c r="H1049" s="143" t="n"/>
      <c r="I1049" s="143" t="inlineStr">
        <is>
          <t>LAND FROM PUBLIC DOMAIN USED UNDER TEMPORARY PERMIT IS OBTAINED UNDER AGREEMENT BETWEEN THE NAVY DEPARTMENT, AND THE DEPARTMENT OF THE INTERIOR. THE TEMPORARY PERMIT IMPLIES NO USE DETRIMENTAL TO THE LAND SUCH AS CONTAMINATION.</t>
        </is>
      </c>
    </row>
    <row r="1050">
      <c r="C1050" s="143" t="inlineStr">
        <is>
          <t>914 10</t>
        </is>
      </c>
      <c r="D1050" s="143" t="inlineStr">
        <is>
          <t>LAND-PUBLIC- TEMPO/LNG TERM</t>
        </is>
      </c>
      <c r="E1050" s="143" t="inlineStr">
        <is>
          <t>AC</t>
        </is>
      </c>
      <c r="F1050" s="143" t="n"/>
      <c r="G1050" s="143" t="n"/>
      <c r="H1050" s="143" t="n"/>
      <c r="I1050" s="143" t="inlineStr">
        <is>
          <t>THIS CODE IS USED FOR PUBLIC LAND OF U.S. POSSESSIONS ACQUIRED AND USED UNDER LONG-TERM AGREEMENTS OR TEMPORARY AGREEMENTS.</t>
        </is>
      </c>
    </row>
    <row r="1051">
      <c r="C1051" s="143" t="inlineStr">
        <is>
          <t>914 20</t>
        </is>
      </c>
      <c r="D1051" s="143" t="inlineStr">
        <is>
          <t>LAND-PUBLIC-TEMP PERMIT</t>
        </is>
      </c>
      <c r="E1051" s="143" t="inlineStr">
        <is>
          <t>AC</t>
        </is>
      </c>
      <c r="F1051" s="143" t="n"/>
      <c r="G1051" s="143" t="n"/>
      <c r="H1051" s="143" t="n"/>
      <c r="I1051" s="143" t="inlineStr">
        <is>
          <t>THIS CODE IS USED TO DESIGNATE PUBLIC LAND OF U.S. POSSESSIONS ASSIGNED TO THE NAVY ON TEMPORARY PERMIT.</t>
        </is>
      </c>
    </row>
    <row r="1052">
      <c r="C1052" s="143" t="inlineStr">
        <is>
          <t>921 10</t>
        </is>
      </c>
      <c r="D1052" s="143" t="inlineStr">
        <is>
          <t>LND-AVTN EASEMENT- PURCHASE</t>
        </is>
      </c>
      <c r="E1052" s="143" t="inlineStr">
        <is>
          <t>AC</t>
        </is>
      </c>
      <c r="F1052" s="143" t="n"/>
      <c r="G1052" s="143" t="n"/>
      <c r="H1052" s="143" t="n"/>
      <c r="I1052" s="143" t="inlineStr">
        <is>
          <t>AN AVIATION EASEMENT IS PURCHASED TO CONVEY CERTAIN PROPERTY RIGHTS FROM THE PRIVATE OWNER TO THE FEDERAL GOVERNMENT. THIS IS DONE BY CONVEYANCE OF DEED. EASEMENTS ARE ACQUIRED TO INSURE FREE AND UNOBSTRUCTED AIRCRAFT PASSAGE THROUGH THE AIRSPACE. THE EASEMENT PROVIDES THE RIGHT TO LIMIT STRUCTURE HEIGHT AND NATURAL GROWTH.</t>
        </is>
      </c>
    </row>
    <row r="1053">
      <c r="C1053" s="143" t="inlineStr">
        <is>
          <t>921 20</t>
        </is>
      </c>
      <c r="D1053" s="143" t="inlineStr">
        <is>
          <t>LND-AVTN EASEMT- CONDEMN</t>
        </is>
      </c>
      <c r="E1053" s="143" t="inlineStr">
        <is>
          <t>AC</t>
        </is>
      </c>
      <c r="F1053" s="143" t="n"/>
      <c r="G1053" s="143" t="n"/>
      <c r="H1053" s="143" t="n"/>
      <c r="I1053" s="143" t="inlineStr">
        <is>
          <t>THIS CODE VARIES FROM 921 10 ONLY IN THE METHOD OF ACQUISITION. POSSESSION IS OBTAINED BY CONDEMNATION ONLY WHEN THE PURCHASE PRICE CANNOT BE MUTUALLY AGREED UPON BETWEEN THE OWNER AND THE NAVY.</t>
        </is>
      </c>
    </row>
    <row r="1054">
      <c r="C1054" s="143" t="inlineStr">
        <is>
          <t>921 30</t>
        </is>
      </c>
      <c r="D1054" s="143" t="inlineStr">
        <is>
          <t>LAND-OTH EASEMENT- PURCHASE</t>
        </is>
      </c>
      <c r="E1054" s="143" t="inlineStr">
        <is>
          <t>AC</t>
        </is>
      </c>
      <c r="F1054" s="143" t="n"/>
      <c r="G1054" s="143" t="n"/>
      <c r="H1054" s="143" t="n"/>
      <c r="I1054" s="143" t="inlineStr">
        <is>
          <t>EASEMENTS OTHER THAN FOR NAVIGATION ARE ACQUIRED BY NEGOTIATED SALE. THESE EASEMENTS PROVIDE RIGHTS-OF-WAY FOR TYPICAL UTILITY LINES AND ACCESS ROADS AS WELL AS MANY OTHER PURPOSES, INCLUDING RESTRICTIONS ON USE.</t>
        </is>
      </c>
    </row>
    <row r="1055">
      <c r="C1055" s="143" t="inlineStr">
        <is>
          <t>921 40</t>
        </is>
      </c>
      <c r="D1055" s="143" t="inlineStr">
        <is>
          <t>LAND-OTH EASEMENT- CONDEMNA</t>
        </is>
      </c>
      <c r="E1055" s="143" t="inlineStr">
        <is>
          <t>AC</t>
        </is>
      </c>
      <c r="F1055" s="143" t="n"/>
      <c r="G1055" s="143" t="n"/>
      <c r="H1055" s="143" t="n"/>
      <c r="I1055" s="143" t="inlineStr">
        <is>
          <t>THIS IS SIMILAR TO 921 30 BUT DIFFERS IN THAT AGREEMENT ON A NEGOTIATED EASEMENT CANNOT BE REACHED, AND THE EASEMENT IS OBTAINED BY CONDEMNATION FOR REASON OF NATIONAL DEFENSE OR SECURITY.</t>
        </is>
      </c>
    </row>
    <row r="1056">
      <c r="C1056" s="143" t="inlineStr">
        <is>
          <t>921 50</t>
        </is>
      </c>
      <c r="D1056" s="143" t="inlineStr">
        <is>
          <t>LAND-OTH EASEMENT- EXCHANGE</t>
        </is>
      </c>
      <c r="E1056" s="143" t="inlineStr">
        <is>
          <t>AC</t>
        </is>
      </c>
      <c r="F1056" s="143" t="n"/>
      <c r="G1056" s="143" t="n"/>
      <c r="H1056" s="143" t="n"/>
      <c r="I1056" s="143" t="inlineStr">
        <is>
          <t>THIS IS SIMILAR TO 92130 BUT DIFFERS IN THAT CONSIDERATION IS LAND VALUE RATHER THAN CASH.</t>
        </is>
      </c>
    </row>
    <row r="1057">
      <c r="C1057" s="143" t="inlineStr">
        <is>
          <t>922 10</t>
        </is>
      </c>
      <c r="D1057" s="143" t="inlineStr">
        <is>
          <t>LAND-IN-LEASE- PRIV ENTERPR</t>
        </is>
      </c>
      <c r="E1057" s="143" t="inlineStr">
        <is>
          <t>AC</t>
        </is>
      </c>
      <c r="F1057" s="143" t="n"/>
      <c r="G1057" s="143" t="n"/>
      <c r="H1057" s="143" t="n"/>
      <c r="I1057" s="143" t="inlineStr">
        <is>
          <t>THIS LAND IS LEASED FROM PRIVATE OWNERS FOR PERIODS UNDER 25 YEARS.</t>
        </is>
      </c>
    </row>
    <row r="1058">
      <c r="C1058" s="143" t="inlineStr">
        <is>
          <t>922 20</t>
        </is>
      </c>
      <c r="D1058" s="143" t="inlineStr">
        <is>
          <t>LAND- IN-LEASE- STAT&amp;LOC</t>
        </is>
      </c>
      <c r="E1058" s="143" t="inlineStr">
        <is>
          <t>AC</t>
        </is>
      </c>
      <c r="F1058" s="143" t="n"/>
      <c r="G1058" s="143" t="n"/>
      <c r="H1058" s="143" t="n"/>
      <c r="I1058" s="143" t="inlineStr">
        <is>
          <t>THIS LAND IS LEASED FROM STATE AND LOCAL GOVERNMENTS FOR PERIODS UNDER 25 YEARS.</t>
        </is>
      </c>
    </row>
    <row r="1059">
      <c r="C1059" s="143" t="inlineStr">
        <is>
          <t>922 30</t>
        </is>
      </c>
      <c r="D1059" s="143" t="inlineStr">
        <is>
          <t>LAND-IN LEASE- LONG TERM</t>
        </is>
      </c>
      <c r="E1059" s="143" t="inlineStr">
        <is>
          <t>AC</t>
        </is>
      </c>
      <c r="F1059" s="143" t="n"/>
      <c r="G1059" s="143" t="n"/>
      <c r="H1059" s="143" t="n"/>
      <c r="I1059" s="143" t="inlineStr">
        <is>
          <t>LAND IN-LEASE FOR 25 YEARS OR MORE IS CATEGORIZED AS "LONG-TERM". THE LAND MAY BE LEASED FROM PRIVATE ENTERPRISE, OR STATE OR LOCAL GOVERNMENTS.</t>
        </is>
      </c>
    </row>
    <row r="1060">
      <c r="C1060" s="143" t="inlineStr">
        <is>
          <t>923 10</t>
        </is>
      </c>
      <c r="D1060" s="143" t="inlineStr">
        <is>
          <t>LAND-FOREIGN 99 YR LEASE</t>
        </is>
      </c>
      <c r="E1060" s="143" t="inlineStr">
        <is>
          <t>AC</t>
        </is>
      </c>
      <c r="F1060" s="143" t="n"/>
      <c r="G1060" s="143" t="n"/>
      <c r="H1060" s="143" t="n"/>
      <c r="I1060" s="143" t="inlineStr">
        <is>
          <t>LAND - FOREIGN, 99-YEAR LEASE</t>
        </is>
      </c>
    </row>
    <row r="1061">
      <c r="C1061" s="143" t="inlineStr">
        <is>
          <t>923 20</t>
        </is>
      </c>
      <c r="D1061" s="143" t="inlineStr">
        <is>
          <t>LAND-FOREIGN, BASE RIGHTS</t>
        </is>
      </c>
      <c r="E1061" s="143" t="inlineStr">
        <is>
          <t>AC</t>
        </is>
      </c>
      <c r="F1061" s="143" t="n"/>
      <c r="G1061" s="143" t="n"/>
      <c r="H1061" s="143" t="n"/>
      <c r="I1061" s="143" t="inlineStr">
        <is>
          <t>LAND - FOREIGN, BASE RIGHTS</t>
        </is>
      </c>
    </row>
    <row r="1062">
      <c r="C1062" s="143" t="inlineStr">
        <is>
          <t>923 30</t>
        </is>
      </c>
      <c r="D1062" s="143" t="inlineStr">
        <is>
          <t>LAND-FOREIGN RECIP AID</t>
        </is>
      </c>
      <c r="E1062" s="143" t="inlineStr">
        <is>
          <t>AC</t>
        </is>
      </c>
      <c r="F1062" s="143" t="n"/>
      <c r="G1062" s="143" t="n"/>
      <c r="H1062" s="143" t="n"/>
      <c r="I1062" s="143" t="inlineStr">
        <is>
          <t>LAND - FOREIGN, RECIPROCAL AID</t>
        </is>
      </c>
    </row>
    <row r="1063">
      <c r="C1063" s="143" t="inlineStr">
        <is>
          <t>923 40</t>
        </is>
      </c>
      <c r="D1063" s="143" t="inlineStr">
        <is>
          <t>LAND - FOREIGN, OCC AREA</t>
        </is>
      </c>
      <c r="E1063" s="143" t="inlineStr">
        <is>
          <t>AC</t>
        </is>
      </c>
      <c r="F1063" s="143" t="n"/>
      <c r="G1063" s="143" t="n"/>
      <c r="H1063" s="143" t="n"/>
      <c r="I1063" s="143" t="inlineStr">
        <is>
          <t>LAND - FOREIGN, OCCUPIED AREA</t>
        </is>
      </c>
    </row>
    <row r="1064">
      <c r="C1064" s="143" t="inlineStr">
        <is>
          <t>923 50</t>
        </is>
      </c>
      <c r="D1064" s="143" t="inlineStr">
        <is>
          <t>LAND-FOREIGN, IN-LEASE</t>
        </is>
      </c>
      <c r="E1064" s="143" t="inlineStr">
        <is>
          <t>AC</t>
        </is>
      </c>
      <c r="F1064" s="143" t="n"/>
      <c r="G1064" s="143" t="n"/>
      <c r="H1064" s="143" t="n"/>
      <c r="I1064" s="143" t="inlineStr">
        <is>
          <t>LAND - FOREIGN, IN-LEASE</t>
        </is>
      </c>
    </row>
    <row r="1065">
      <c r="C1065" s="143" t="inlineStr">
        <is>
          <t>923 60</t>
        </is>
      </c>
      <c r="D1065" s="143" t="inlineStr">
        <is>
          <t>LAND- FOREIGN,MISC</t>
        </is>
      </c>
      <c r="E1065" s="143" t="inlineStr">
        <is>
          <t>AC</t>
        </is>
      </c>
      <c r="F1065" s="143" t="n"/>
      <c r="G1065" s="143" t="n"/>
      <c r="H1065" s="143" t="n"/>
      <c r="I1065" s="143" t="inlineStr">
        <is>
          <t>LAND - FOREIGN, MISCELLANEOUS</t>
        </is>
      </c>
    </row>
  </sheetData>
  <mergeCells count="2">
    <mergeCell ref="B3:I3"/>
    <mergeCell ref="B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2026-04-28T08:15:37Z</dcterms:created>
  <dcterms:modified xsi:type="dcterms:W3CDTF">2026-04-30T04:14:01Z</dcterms:modified>
  <cp:revision>0</cp:revision>
</cp:coreProperties>
</file>