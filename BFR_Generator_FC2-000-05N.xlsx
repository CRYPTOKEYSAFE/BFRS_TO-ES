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Cover" sheetId="1" state="visible" r:id="rId1"/>
    <sheet name="TFSMS_Loading" sheetId="2" state="visible" r:id="rId2"/>
    <sheet name="Personnel" sheetId="3" state="visible" r:id="rId3"/>
    <sheet name="BFR_Calculator" sheetId="4" state="visible" r:id="rId4"/>
    <sheet name="Inventory" sheetId="5" state="visible" r:id="rId5"/>
    <sheet name="Okinawa_Adj" sheetId="6" state="visible" r:id="rId6"/>
    <sheet name="BFR_Summary" sheetId="7" state="visible" r:id="rId7"/>
    <sheet name="CCN_Library" sheetId="8" state="visible" r:id="rId8"/>
  </sheets>
  <definedNames>
    <definedName name="BFR_CCN" hidden="0" function="0" vbProcedure="0">BFR_Calculator!$B$7:$B$20</definedName>
    <definedName name="BFR_NAME" hidden="0" function="0" vbProcedure="0">BFR_Calculator!$C$7:$C$20</definedName>
    <definedName name="BFR_NOTE" hidden="0" function="0" vbProcedure="0">BFR_Calculator!$J$7:$J$20</definedName>
    <definedName name="BFR_OVR" hidden="0" function="0" vbProcedure="0">BFR_Calculator!$I$7:$I$20</definedName>
    <definedName name="BFR_REQ" hidden="0" function="0" vbProcedure="0">BFR_Calculator!$H$7:$H$20</definedName>
    <definedName name="BFR_UM" hidden="0" function="0" vbProcedure="0">BFR_Calculator!$D$7:$D$20</definedName>
    <definedName name="BLDG_NO" hidden="0" function="0" vbProcedure="0">Cover!$D$8</definedName>
    <definedName name="CCN_TABLE" hidden="0" function="0" vbProcedure="0">CCN_Library!$C$6:$I$28</definedName>
    <definedName name="Contingency" hidden="0" function="0" vbProcedure="0">Okinawa_Adj!$C$10</definedName>
    <definedName name="Esc_Factor" hidden="0" function="0" vbProcedure="0">Okinawa_Adj!$C$9</definedName>
    <definedName name="HF" hidden="0" function="0" vbProcedure="0">Okinawa_Adj!$C$13</definedName>
    <definedName name="INSTALLATION" hidden="0" function="0" vbProcedure="0">Cover!$D$7</definedName>
    <definedName name="Okinawa_Navy_ACF" hidden="0" function="0" vbProcedure="0">Okinawa_Adj!$C$7</definedName>
    <definedName name="Okinawa_Sust_ACF" hidden="0" function="0" vbProcedure="0">Okinawa_Adj!$C$8</definedName>
    <definedName name="PD_Factor" hidden="0" function="0" vbProcedure="0">Okinawa_Adj!$C$12</definedName>
    <definedName name="PLANNER" hidden="0" function="0" vbProcedure="0">Cover!$D$12</definedName>
    <definedName name="PN_CIV" hidden="0" function="0" vbProcedure="0">Personnel!$C$30</definedName>
    <definedName name="PN_CTR" hidden="0" function="0" vbProcedure="0">Personnel!$C$31</definedName>
    <definedName name="PN_ENL" hidden="0" function="0" vbProcedure="0">Personnel!$C$29</definedName>
    <definedName name="PN_MIL" hidden="0" function="0" vbProcedure="0">Personnel!$C$33</definedName>
    <definedName name="PN_OFF" hidden="0" function="0" vbProcedure="0">Personnel!$C$28</definedName>
    <definedName name="PN_TOTAL" hidden="0" function="0" vbProcedure="0">Personnel!$C$32</definedName>
    <definedName name="PROG_FY" hidden="0" function="0" vbProcedure="0">Cover!$D$14</definedName>
    <definedName name="PROJ_DATE" hidden="0" function="0" vbProcedure="0">Cover!$D$13</definedName>
    <definedName name="PROJ_TITLE" hidden="0" function="0" vbProcedure="0">Cover!$D$6</definedName>
    <definedName name="REGION" hidden="0" function="0" vbProcedure="0">Cover!$D$9</definedName>
    <definedName name="SIOH" hidden="0" function="0" vbProcedure="0">Okinawa_Adj!$C$11</definedName>
    <definedName name="TENANT_UNIT" hidden="0" function="0" vbProcedure="0">Cover!$D$10</definedName>
    <definedName name="TFSMS_CIV" hidden="0" function="0" vbProcedure="0">TFSMS_Loading!$L$17</definedName>
    <definedName name="TFSMS_CTR" hidden="0" function="0" vbProcedure="0">TFSMS_Loading!$M$17</definedName>
    <definedName name="TFSMS_MAR_ENL" hidden="0" function="0" vbProcedure="0">TFSMS_Loading!$E$17</definedName>
    <definedName name="TFSMS_MAR_OFF" hidden="0" function="0" vbProcedure="0">TFSMS_Loading!$D$17</definedName>
    <definedName name="TFSMS_NAV_ENL" hidden="0" function="0" vbProcedure="0">TFSMS_Loading!$G$17</definedName>
    <definedName name="TFSMS_NAV_OFF" hidden="0" function="0" vbProcedure="0">TFSMS_Loading!$F$17</definedName>
    <definedName name="TFSMS_NC" hidden="0" function="0" vbProcedure="0">TFSMS_Loading!$N$17</definedName>
    <definedName name="TFSMS_OS_ENL" hidden="0" function="0" vbProcedure="0">TFSMS_Loading!$I$17</definedName>
    <definedName name="TFSMS_OS_OFF" hidden="0" function="0" vbProcedure="0">TFSMS_Loading!$H$17</definedName>
    <definedName name="TFSMS_RES_ENL" hidden="0" function="0" vbProcedure="0">TFSMS_Loading!$K$17</definedName>
    <definedName name="TFSMS_RES_OFF" hidden="0" function="0" vbProcedure="0">TFSMS_Loading!$J$17</definedName>
    <definedName name="TFSMS_TOTAL" hidden="0" function="0" vbProcedure="0">TFSMS_Loading!$O$17</definedName>
    <definedName name="TFSMS_UNRECONCILED" hidden="0" function="0" vbProcedure="0">TFSMS_Loading!$D$19</definedName>
    <definedName name="UIC" hidden="0" function="0" vbProcedure="0">Cover!$D$11</definedName>
    <definedName name="_xlnm.Print_Titles" localSheetId="6">'BFR_Summary'!$1:$4</definedName>
    <definedName name="_xlnm.Print_Area" localSheetId="6">'BFR_Summary'!$B$2:$J$76</definedName>
  </definedNames>
  <calcPr calcId="124519" calcMode="auto" fullCalcOnLoad="1" refMode="A1" iterate="0" iterateCount="100" iterateDelta="0.0001"/>
</workbook>
</file>

<file path=xl/styles.xml><?xml version="1.0" encoding="utf-8"?>
<styleSheet xmlns="http://schemas.openxmlformats.org/spreadsheetml/2006/main">
  <numFmts count="5">
    <numFmt numFmtId="164" formatCode="yyyy\-mm\-dd"/>
    <numFmt numFmtId="165" formatCode="\+#,##0;\-#,##0;0"/>
    <numFmt numFmtId="166" formatCode="#,##0;[RED]\-#,##0"/>
    <numFmt numFmtId="167" formatCode="0.000"/>
    <numFmt numFmtId="168" formatCode="\$#,##0"/>
  </numFmts>
  <fonts count="1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0"/>
      <b val="1"/>
      <color rgb="FFFFFFFF"/>
      <sz val="18"/>
    </font>
    <font>
      <name val="Calibri"/>
      <charset val="1"/>
      <family val="0"/>
      <i val="1"/>
      <color rgb="FFFFFFFF"/>
      <sz val="10"/>
    </font>
    <font>
      <name val="Calibri"/>
      <charset val="1"/>
      <family val="0"/>
      <b val="1"/>
      <color rgb="FFFFFFFF"/>
      <sz val="12"/>
    </font>
    <font>
      <name val="Calibri"/>
      <charset val="1"/>
      <family val="0"/>
      <b val="1"/>
      <color rgb="FF28251D"/>
      <sz val="10"/>
    </font>
    <font>
      <name val="Calibri"/>
      <charset val="1"/>
      <family val="0"/>
      <color rgb="FF28251D"/>
      <sz val="10"/>
    </font>
    <font>
      <name val="Calibri"/>
      <charset val="1"/>
      <family val="0"/>
      <b val="1"/>
      <color rgb="FF6B2A0A"/>
      <sz val="10"/>
    </font>
    <font>
      <name val="Calibri"/>
      <charset val="1"/>
      <family val="0"/>
      <b val="1"/>
      <color rgb="FF28251D"/>
      <sz val="11"/>
    </font>
    <font>
      <name val="Calibri"/>
      <charset val="1"/>
      <family val="0"/>
      <b val="1"/>
      <color rgb="FFFFFFFF"/>
      <sz val="11"/>
    </font>
    <font>
      <name val="Calibri"/>
      <charset val="1"/>
      <family val="0"/>
      <i val="1"/>
      <color rgb="FF7A7974"/>
      <sz val="9"/>
    </font>
    <font>
      <name val="Calibri"/>
      <charset val="1"/>
      <family val="0"/>
      <b val="1"/>
      <i val="1"/>
      <color rgb="FF6B2A0A"/>
      <sz val="10"/>
    </font>
    <font>
      <name val="Calibri"/>
      <charset val="1"/>
      <family val="0"/>
      <b val="1"/>
      <sz val="11"/>
    </font>
  </fonts>
  <fills count="10">
    <fill>
      <patternFill/>
    </fill>
    <fill>
      <patternFill patternType="gray125"/>
    </fill>
    <fill>
      <patternFill patternType="solid">
        <fgColor rgb="FF0C2340"/>
        <bgColor rgb="FF28251D"/>
      </patternFill>
    </fill>
    <fill>
      <patternFill patternType="solid">
        <fgColor rgb="FF1B3A5C"/>
        <bgColor rgb="FF0C2340"/>
      </patternFill>
    </fill>
    <fill>
      <patternFill patternType="solid">
        <fgColor rgb="FFEAEAE3"/>
        <bgColor rgb="FFEAF3F4"/>
      </patternFill>
    </fill>
    <fill>
      <patternFill patternType="solid">
        <fgColor rgb="FFFFF8DC"/>
        <bgColor rgb="FFF7F6F2"/>
      </patternFill>
    </fill>
    <fill>
      <patternFill patternType="solid">
        <fgColor rgb="FFF8E2D6"/>
        <bgColor rgb="FFEAEAE3"/>
      </patternFill>
    </fill>
    <fill>
      <patternFill patternType="solid">
        <fgColor rgb="FFEAF3F4"/>
        <bgColor rgb="FFF7F6F2"/>
      </patternFill>
    </fill>
    <fill>
      <patternFill patternType="solid">
        <fgColor rgb="FFDCE7C8"/>
        <bgColor rgb="FFEAEAE3"/>
      </patternFill>
    </fill>
    <fill>
      <patternFill patternType="solid">
        <fgColor rgb="FFF7F6F2"/>
        <bgColor rgb="FFEAF3F4"/>
      </patternFill>
    </fill>
  </fills>
  <borders count="11">
    <border>
      <left/>
      <right/>
      <top/>
      <bottom/>
      <diagonal/>
    </border>
    <border>
      <left style="thin">
        <color rgb="FFD4D1CA"/>
      </left>
      <right style="thin">
        <color rgb="FFD4D1CA"/>
      </right>
      <top style="thin">
        <color rgb="FFD4D1CA"/>
      </top>
      <bottom style="thin">
        <color rgb="FFD4D1CA"/>
      </bottom>
      <diagonal/>
    </border>
    <border>
      <left style="thin">
        <color rgb="FFD4D1CA"/>
      </left>
      <right/>
      <top style="thin">
        <color rgb="FFD4D1CA"/>
      </top>
      <bottom style="thin">
        <color rgb="FFD4D1CA"/>
      </bottom>
      <diagonal/>
    </border>
    <border>
      <left/>
      <right/>
      <top/>
      <bottom style="thin">
        <color rgb="FFD4D1CA"/>
      </bottom>
      <diagonal/>
    </border>
    <border>
      <left/>
      <right/>
      <top style="thin">
        <color rgb="FFD4D1CA"/>
      </top>
      <bottom style="thin">
        <color rgb="FFD4D1CA"/>
      </bottom>
      <diagonal/>
    </border>
    <border>
      <left style="thin">
        <color rgb="FFD4D1CA"/>
      </left>
      <right style="thin">
        <color rgb="FFD4D1CA"/>
      </right>
      <top/>
      <bottom/>
      <diagonal/>
    </border>
    <border>
      <left style="thin">
        <color rgb="FFD4D1CA"/>
      </left>
      <right/>
      <top style="thin">
        <color rgb="FFD4D1CA"/>
      </top>
      <bottom/>
      <diagonal/>
    </border>
    <border>
      <left/>
      <right/>
      <top style="thin">
        <color rgb="FFD4D1CA"/>
      </top>
      <bottom/>
      <diagonal/>
    </border>
    <border>
      <left/>
      <right style="thin">
        <color rgb="FFD4D1CA"/>
      </right>
      <top style="thin">
        <color rgb="FFD4D1CA"/>
      </top>
      <bottom/>
      <diagonal/>
    </border>
    <border>
      <left/>
      <right style="thin">
        <color rgb="FFD4D1CA"/>
      </right>
      <top style="thin">
        <color rgb="FFD4D1CA"/>
      </top>
      <bottom style="thin">
        <color rgb="FFD4D1CA"/>
      </bottom>
      <diagonal/>
    </border>
    <border>
      <left style="thin">
        <color rgb="FFD4D1CA"/>
      </left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37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left" vertical="center" wrapText="1"/>
    </xf>
    <xf numFmtId="0" fontId="5" fillId="3" borderId="0" applyAlignment="1" pivotButton="0" quotePrefix="0" xfId="0">
      <alignment horizontal="left" vertical="center" wrapText="1"/>
    </xf>
    <xf numFmtId="0" fontId="6" fillId="2" borderId="0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left" vertical="center" wrapText="1"/>
    </xf>
    <xf numFmtId="0" fontId="8" fillId="5" borderId="2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top" wrapText="1"/>
    </xf>
    <xf numFmtId="0" fontId="9" fillId="6" borderId="2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0" fillId="7" borderId="1" applyAlignment="1" pivotButton="0" quotePrefix="0" xfId="0">
      <alignment horizontal="general" vertical="bottom"/>
    </xf>
    <xf numFmtId="0" fontId="0" fillId="8" borderId="1" applyAlignment="1" pivotButton="0" quotePrefix="0" xfId="0">
      <alignment horizontal="general" vertical="bottom"/>
    </xf>
    <xf numFmtId="0" fontId="0" fillId="6" borderId="1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0" fillId="0" borderId="3" applyAlignment="1" pivotButton="0" quotePrefix="0" xfId="0">
      <alignment horizontal="general" vertical="bottom"/>
    </xf>
    <xf numFmtId="0" fontId="10" fillId="4" borderId="2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general" vertical="bottom"/>
    </xf>
    <xf numFmtId="0" fontId="0" fillId="0" borderId="5" applyAlignment="1" pivotButton="0" quotePrefix="0" xfId="0">
      <alignment horizontal="general" vertical="bottom"/>
    </xf>
    <xf numFmtId="0" fontId="7" fillId="4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left" vertical="center" wrapText="1"/>
    </xf>
    <xf numFmtId="3" fontId="8" fillId="5" borderId="1" applyAlignment="1" pivotButton="0" quotePrefix="0" xfId="0">
      <alignment horizontal="right" vertical="center" wrapText="1"/>
    </xf>
    <xf numFmtId="3" fontId="7" fillId="8" borderId="1" applyAlignment="1" pivotButton="0" quotePrefix="0" xfId="0">
      <alignment horizontal="right" vertical="center" wrapText="1"/>
    </xf>
    <xf numFmtId="164" fontId="8" fillId="5" borderId="1" applyAlignment="1" pivotButton="0" quotePrefix="0" xfId="0">
      <alignment horizontal="center" vertical="center" wrapText="1"/>
    </xf>
    <xf numFmtId="165" fontId="8" fillId="5" borderId="1" applyAlignment="1" pivotButton="0" quotePrefix="0" xfId="0">
      <alignment horizontal="center" vertical="center" wrapText="1"/>
    </xf>
    <xf numFmtId="0" fontId="11" fillId="2" borderId="0" applyAlignment="1" pivotButton="0" quotePrefix="0" xfId="0">
      <alignment horizontal="left" vertical="center" wrapText="1"/>
    </xf>
    <xf numFmtId="0" fontId="7" fillId="4" borderId="2" applyAlignment="1" pivotButton="0" quotePrefix="0" xfId="0">
      <alignment horizontal="left" vertical="center" wrapText="1"/>
    </xf>
    <xf numFmtId="0" fontId="13" fillId="0" borderId="0" applyAlignment="1" pivotButton="0" quotePrefix="0" xfId="0">
      <alignment horizontal="left" vertical="center" wrapText="1"/>
    </xf>
    <xf numFmtId="0" fontId="10" fillId="4" borderId="1" applyAlignment="1" pivotButton="0" quotePrefix="0" xfId="0">
      <alignment horizontal="center" vertical="center" wrapText="1"/>
    </xf>
    <xf numFmtId="3" fontId="8" fillId="5" borderId="1" applyAlignment="1" pivotButton="0" quotePrefix="0" xfId="0">
      <alignment horizontal="left" vertical="center" wrapText="1"/>
    </xf>
    <xf numFmtId="3" fontId="8" fillId="7" borderId="1" applyAlignment="1" pivotButton="0" quotePrefix="0" xfId="0">
      <alignment horizontal="right" vertical="center" wrapText="1"/>
    </xf>
    <xf numFmtId="0" fontId="11" fillId="2" borderId="1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0" fontId="11" fillId="2" borderId="1" applyAlignment="1" pivotButton="0" quotePrefix="0" xfId="0">
      <alignment horizontal="center" vertical="center" wrapText="1"/>
    </xf>
    <xf numFmtId="0" fontId="14" fillId="4" borderId="1" applyAlignment="1" pivotButton="0" quotePrefix="0" xfId="0">
      <alignment horizontal="center" vertical="center" wrapText="1"/>
    </xf>
    <xf numFmtId="4" fontId="8" fillId="5" borderId="1" applyAlignment="1" pivotButton="0" quotePrefix="0" xfId="0">
      <alignment horizontal="left" vertical="center" wrapText="1"/>
    </xf>
    <xf numFmtId="2" fontId="8" fillId="5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general" vertical="bottom"/>
    </xf>
    <xf numFmtId="3" fontId="0" fillId="0" borderId="1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166" fontId="7" fillId="8" borderId="1" applyAlignment="1" pivotButton="0" quotePrefix="0" xfId="0">
      <alignment horizontal="right" vertical="center" wrapText="1"/>
    </xf>
    <xf numFmtId="167" fontId="8" fillId="5" borderId="1" applyAlignment="1" pivotButton="0" quotePrefix="0" xfId="0">
      <alignment horizontal="left" vertical="center" wrapText="1"/>
    </xf>
    <xf numFmtId="0" fontId="12" fillId="0" borderId="1" applyAlignment="1" pivotButton="0" quotePrefix="0" xfId="0">
      <alignment horizontal="left" vertical="center" wrapText="1"/>
    </xf>
    <xf numFmtId="0" fontId="8" fillId="9" borderId="2" applyAlignment="1" pivotButton="0" quotePrefix="0" xfId="0">
      <alignment horizontal="left" vertical="center" wrapText="1"/>
    </xf>
    <xf numFmtId="168" fontId="8" fillId="5" borderId="1" applyAlignment="1" pivotButton="0" quotePrefix="0" xfId="0">
      <alignment horizontal="left" vertical="center" wrapText="1"/>
    </xf>
    <xf numFmtId="168" fontId="8" fillId="7" borderId="1" applyAlignment="1" pivotButton="0" quotePrefix="0" xfId="0">
      <alignment horizontal="right" vertical="center" wrapText="1"/>
    </xf>
    <xf numFmtId="2" fontId="8" fillId="7" borderId="1" applyAlignment="1" pivotButton="0" quotePrefix="0" xfId="0">
      <alignment horizontal="right" vertical="center" wrapText="1"/>
    </xf>
    <xf numFmtId="168" fontId="7" fillId="8" borderId="1" applyAlignment="1" pivotButton="0" quotePrefix="0" xfId="0">
      <alignment horizontal="right" vertical="center" wrapText="1"/>
    </xf>
    <xf numFmtId="0" fontId="8" fillId="9" borderId="6" applyAlignment="1" pivotButton="0" quotePrefix="0" xfId="0">
      <alignment horizontal="left" vertical="top" wrapText="1"/>
    </xf>
    <xf numFmtId="0" fontId="14" fillId="9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left" vertical="center" wrapText="1"/>
    </xf>
    <xf numFmtId="0" fontId="0" fillId="9" borderId="1" applyAlignment="1" pivotButton="0" quotePrefix="0" xfId="0">
      <alignment horizontal="center" vertical="center" wrapText="1"/>
    </xf>
    <xf numFmtId="4" fontId="8" fillId="9" borderId="1" applyAlignment="1" pivotButton="0" quotePrefix="0" xfId="0">
      <alignment horizontal="center" vertical="center" wrapText="1"/>
    </xf>
    <xf numFmtId="2" fontId="0" fillId="9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2" fontId="0" fillId="4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center" vertical="center" wrapText="1"/>
    </xf>
    <xf numFmtId="4" fontId="8" fillId="4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left" vertical="center" wrapText="1"/>
    </xf>
    <xf numFmtId="0" fontId="5" fillId="3" borderId="0" applyAlignment="1" pivotButton="0" quotePrefix="0" xfId="0">
      <alignment horizontal="left" vertical="center" wrapText="1"/>
    </xf>
    <xf numFmtId="0" fontId="6" fillId="2" borderId="0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left" vertical="center" wrapText="1"/>
    </xf>
    <xf numFmtId="0" fontId="8" fillId="5" borderId="2" applyAlignment="1" pivotButton="0" quotePrefix="0" xfId="0">
      <alignment horizontal="left" vertical="center" wrapText="1"/>
    </xf>
    <xf numFmtId="0" fontId="0" fillId="0" borderId="4" pivotButton="0" quotePrefix="0" xfId="0"/>
    <xf numFmtId="0" fontId="8" fillId="0" borderId="0" applyAlignment="1" pivotButton="0" quotePrefix="0" xfId="0">
      <alignment horizontal="left" vertical="top" wrapText="1"/>
    </xf>
    <xf numFmtId="0" fontId="9" fillId="6" borderId="2" applyAlignment="1" pivotButton="0" quotePrefix="0" xfId="0">
      <alignment horizontal="left" vertical="top" wrapText="1"/>
    </xf>
    <xf numFmtId="0" fontId="0" fillId="5" borderId="1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0" fillId="7" borderId="1" applyAlignment="1" pivotButton="0" quotePrefix="0" xfId="0">
      <alignment horizontal="general" vertical="bottom"/>
    </xf>
    <xf numFmtId="0" fontId="0" fillId="8" borderId="1" applyAlignment="1" pivotButton="0" quotePrefix="0" xfId="0">
      <alignment horizontal="general" vertical="bottom"/>
    </xf>
    <xf numFmtId="0" fontId="0" fillId="6" borderId="1" applyAlignment="1" pivotButton="0" quotePrefix="0" xfId="0">
      <alignment horizontal="general" vertical="bottom"/>
    </xf>
    <xf numFmtId="0" fontId="8" fillId="0" borderId="0" applyAlignment="1" pivotButton="0" quotePrefix="0" xfId="0">
      <alignment horizontal="left" vertical="center" wrapText="1"/>
    </xf>
    <xf numFmtId="0" fontId="0" fillId="0" borderId="3" applyAlignment="1" pivotButton="0" quotePrefix="0" xfId="0">
      <alignment horizontal="general" vertical="bottom"/>
    </xf>
    <xf numFmtId="0" fontId="10" fillId="4" borderId="2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general" vertical="bottom"/>
    </xf>
    <xf numFmtId="0" fontId="0" fillId="0" borderId="3" pivotButton="0" quotePrefix="0" xfId="0"/>
    <xf numFmtId="0" fontId="0" fillId="0" borderId="5" applyAlignment="1" pivotButton="0" quotePrefix="0" xfId="0">
      <alignment horizontal="general" vertical="bottom"/>
    </xf>
    <xf numFmtId="0" fontId="7" fillId="4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left" vertical="center" wrapText="1"/>
    </xf>
    <xf numFmtId="3" fontId="8" fillId="5" borderId="1" applyAlignment="1" pivotButton="0" quotePrefix="0" xfId="0">
      <alignment horizontal="right" vertical="center" wrapText="1"/>
    </xf>
    <xf numFmtId="3" fontId="7" fillId="8" borderId="1" applyAlignment="1" pivotButton="0" quotePrefix="0" xfId="0">
      <alignment horizontal="right" vertical="center" wrapText="1"/>
    </xf>
    <xf numFmtId="164" fontId="8" fillId="5" borderId="1" applyAlignment="1" pivotButton="0" quotePrefix="0" xfId="0">
      <alignment horizontal="center" vertical="center" wrapText="1"/>
    </xf>
    <xf numFmtId="165" fontId="8" fillId="5" borderId="1" applyAlignment="1" pivotButton="0" quotePrefix="0" xfId="0">
      <alignment horizontal="center" vertical="center" wrapText="1"/>
    </xf>
    <xf numFmtId="0" fontId="0" fillId="0" borderId="9" pivotButton="0" quotePrefix="0" xfId="0"/>
    <xf numFmtId="0" fontId="11" fillId="2" borderId="0" applyAlignment="1" pivotButton="0" quotePrefix="0" xfId="0">
      <alignment horizontal="left" vertical="center" wrapText="1"/>
    </xf>
    <xf numFmtId="0" fontId="7" fillId="4" borderId="2" applyAlignment="1" pivotButton="0" quotePrefix="0" xfId="0">
      <alignment horizontal="left" vertical="center" wrapText="1"/>
    </xf>
    <xf numFmtId="0" fontId="13" fillId="0" borderId="0" applyAlignment="1" pivotButton="0" quotePrefix="0" xfId="0">
      <alignment horizontal="left" vertical="center" wrapText="1"/>
    </xf>
    <xf numFmtId="0" fontId="10" fillId="4" borderId="1" applyAlignment="1" pivotButton="0" quotePrefix="0" xfId="0">
      <alignment horizontal="center" vertical="center" wrapText="1"/>
    </xf>
    <xf numFmtId="3" fontId="8" fillId="5" borderId="1" applyAlignment="1" pivotButton="0" quotePrefix="0" xfId="0">
      <alignment horizontal="left" vertical="center" wrapText="1"/>
    </xf>
    <xf numFmtId="3" fontId="8" fillId="7" borderId="1" applyAlignment="1" pivotButton="0" quotePrefix="0" xfId="0">
      <alignment horizontal="right" vertical="center" wrapText="1"/>
    </xf>
    <xf numFmtId="0" fontId="11" fillId="2" borderId="1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0" fontId="11" fillId="2" borderId="1" applyAlignment="1" pivotButton="0" quotePrefix="0" xfId="0">
      <alignment horizontal="center" vertical="center" wrapText="1"/>
    </xf>
    <xf numFmtId="0" fontId="14" fillId="4" borderId="1" applyAlignment="1" pivotButton="0" quotePrefix="0" xfId="0">
      <alignment horizontal="center" vertical="center" wrapText="1"/>
    </xf>
    <xf numFmtId="4" fontId="8" fillId="5" borderId="1" applyAlignment="1" pivotButton="0" quotePrefix="0" xfId="0">
      <alignment horizontal="left" vertical="center" wrapText="1"/>
    </xf>
    <xf numFmtId="2" fontId="8" fillId="5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general" vertical="bottom"/>
    </xf>
    <xf numFmtId="3" fontId="0" fillId="0" borderId="1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166" fontId="7" fillId="8" borderId="1" applyAlignment="1" pivotButton="0" quotePrefix="0" xfId="0">
      <alignment horizontal="right" vertical="center" wrapText="1"/>
    </xf>
    <xf numFmtId="167" fontId="8" fillId="5" borderId="1" applyAlignment="1" pivotButton="0" quotePrefix="0" xfId="0">
      <alignment horizontal="left" vertical="center" wrapText="1"/>
    </xf>
    <xf numFmtId="0" fontId="12" fillId="0" borderId="1" applyAlignment="1" pivotButton="0" quotePrefix="0" xfId="0">
      <alignment horizontal="left" vertical="center" wrapText="1"/>
    </xf>
    <xf numFmtId="0" fontId="8" fillId="9" borderId="2" applyAlignment="1" pivotButton="0" quotePrefix="0" xfId="0">
      <alignment horizontal="left" vertical="center" wrapText="1"/>
    </xf>
    <xf numFmtId="168" fontId="8" fillId="5" borderId="1" applyAlignment="1" pivotButton="0" quotePrefix="0" xfId="0">
      <alignment horizontal="left" vertical="center" wrapText="1"/>
    </xf>
    <xf numFmtId="168" fontId="8" fillId="7" borderId="1" applyAlignment="1" pivotButton="0" quotePrefix="0" xfId="0">
      <alignment horizontal="right" vertical="center" wrapText="1"/>
    </xf>
    <xf numFmtId="2" fontId="8" fillId="7" borderId="1" applyAlignment="1" pivotButton="0" quotePrefix="0" xfId="0">
      <alignment horizontal="right" vertical="center" wrapText="1"/>
    </xf>
    <xf numFmtId="168" fontId="7" fillId="8" borderId="1" applyAlignment="1" pivotButton="0" quotePrefix="0" xfId="0">
      <alignment horizontal="right" vertical="center" wrapText="1"/>
    </xf>
    <xf numFmtId="0" fontId="8" fillId="9" borderId="6" applyAlignment="1" pivotButton="0" quotePrefix="0" xfId="0">
      <alignment horizontal="left" vertical="top" wrapText="1"/>
    </xf>
    <xf numFmtId="0" fontId="0" fillId="0" borderId="7" pivotButton="0" quotePrefix="0" xfId="0"/>
    <xf numFmtId="0" fontId="0" fillId="0" borderId="10" pivotButton="0" quotePrefix="0" xfId="0"/>
    <xf numFmtId="0" fontId="14" fillId="9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left" vertical="center" wrapText="1"/>
    </xf>
    <xf numFmtId="0" fontId="0" fillId="9" borderId="1" applyAlignment="1" pivotButton="0" quotePrefix="0" xfId="0">
      <alignment horizontal="center" vertical="center" wrapText="1"/>
    </xf>
    <xf numFmtId="4" fontId="8" fillId="9" borderId="1" applyAlignment="1" pivotButton="0" quotePrefix="0" xfId="0">
      <alignment horizontal="center" vertical="center" wrapText="1"/>
    </xf>
    <xf numFmtId="2" fontId="0" fillId="9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2" fontId="0" fillId="4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center" vertical="center" wrapText="1"/>
    </xf>
    <xf numFmtId="4" fontId="8" fillId="4" borderId="1" applyAlignment="1" pivotButton="0" quotePrefix="0" xfId="0">
      <alignment horizontal="center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3">
    <dxf>
      <fill>
        <patternFill>
          <bgColor rgb="FFF8E2D6"/>
        </patternFill>
      </fill>
    </dxf>
    <dxf>
      <fill>
        <patternFill>
          <bgColor rgb="FFF8E2D6"/>
        </patternFill>
      </fill>
    </dxf>
    <dxf>
      <fill>
        <patternFill>
          <bgColor rgb="FFDCE7C8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4D1CA"/>
      <rgbColor rgb="FF7A7974"/>
      <rgbColor rgb="FF9999FF"/>
      <rgbColor rgb="FF993366"/>
      <rgbColor rgb="FFFFF8DC"/>
      <rgbColor rgb="FFEAF3F4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EAE3"/>
      <rgbColor rgb="FFDCE7C8"/>
      <rgbColor rgb="FFF7F6F2"/>
      <rgbColor rgb="FF99CCFF"/>
      <rgbColor rgb="FFFF99CC"/>
      <rgbColor rgb="FFCC99FF"/>
      <rgbColor rgb="FFF8E2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B3A5C"/>
      <rgbColor rgb="FF339966"/>
      <rgbColor rgb="FF0C2340"/>
      <rgbColor rgb="FF333300"/>
      <rgbColor rgb="FF6B2A0A"/>
      <rgbColor rgb="FF993366"/>
      <rgbColor rgb="FF333399"/>
      <rgbColor rgb="FF28251D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B2:G42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3" customWidth="1" style="68" min="1" max="2"/>
    <col width="24" customWidth="1" style="68" min="3" max="7"/>
  </cols>
  <sheetData>
    <row r="1" ht="7.5" customHeight="1" s="69"/>
    <row r="2" ht="30" customHeight="1" s="69">
      <c r="B2" s="70" t="inlineStr">
        <is>
          <t>Marine Corps Basic Facility Requirement (BFR) Generator</t>
        </is>
      </c>
    </row>
    <row r="3" ht="18" customHeight="1" s="69">
      <c r="B3" s="71" t="inlineStr">
        <is>
          <t>FC 2-000-05N · Series 100 — Operational &amp; Training Facilities · MCIPAC · Okinawa, Japan</t>
        </is>
      </c>
    </row>
    <row r="5" ht="21.75" customHeight="1" s="69">
      <c r="B5" s="72" t="inlineStr">
        <is>
          <t>Project Information</t>
        </is>
      </c>
    </row>
    <row r="6" ht="15" customHeight="1" s="69">
      <c r="C6" s="73" t="inlineStr">
        <is>
          <t>Project Title</t>
        </is>
      </c>
      <c r="D6" s="74" t="n"/>
      <c r="E6" s="75" t="n"/>
      <c r="F6" s="75" t="n"/>
      <c r="G6" s="75" t="n"/>
    </row>
    <row r="7" ht="15" customHeight="1" s="69">
      <c r="C7" s="73" t="inlineStr">
        <is>
          <t>Installation</t>
        </is>
      </c>
      <c r="D7" s="74" t="inlineStr">
        <is>
          <t>Camp Foster, Okinawa, JP</t>
        </is>
      </c>
      <c r="E7" s="75" t="n"/>
      <c r="F7" s="75" t="n"/>
      <c r="G7" s="75" t="n"/>
    </row>
    <row r="8" ht="15" customHeight="1" s="69">
      <c r="C8" s="73" t="inlineStr">
        <is>
          <t>Building No.</t>
        </is>
      </c>
      <c r="D8" s="74" t="n"/>
      <c r="E8" s="75" t="n"/>
      <c r="F8" s="75" t="n"/>
      <c r="G8" s="75" t="n"/>
    </row>
    <row r="9" ht="15" customHeight="1" s="69">
      <c r="C9" s="73" t="inlineStr">
        <is>
          <t>Region / Command</t>
        </is>
      </c>
      <c r="D9" s="74" t="inlineStr">
        <is>
          <t>MCIPAC — 3d MLG / CLR-3</t>
        </is>
      </c>
      <c r="E9" s="75" t="n"/>
      <c r="F9" s="75" t="n"/>
      <c r="G9" s="75" t="n"/>
    </row>
    <row r="10" ht="15" customHeight="1" s="69">
      <c r="C10" s="73" t="inlineStr">
        <is>
          <t>Tenant Unit (Activity)</t>
        </is>
      </c>
      <c r="D10" s="74" t="inlineStr">
        <is>
          <t>CLB-4 (UIC M29110)</t>
        </is>
      </c>
      <c r="E10" s="75" t="n"/>
      <c r="F10" s="75" t="n"/>
      <c r="G10" s="75" t="n"/>
    </row>
    <row r="11" ht="15" customHeight="1" s="69">
      <c r="C11" s="73" t="inlineStr">
        <is>
          <t>UIC / RUC</t>
        </is>
      </c>
      <c r="D11" s="74" t="inlineStr">
        <is>
          <t>M29110 (CLB-4 — composite of M29111/12/13/14)</t>
        </is>
      </c>
      <c r="E11" s="75" t="n"/>
      <c r="F11" s="75" t="n"/>
      <c r="G11" s="75" t="n"/>
    </row>
    <row r="12" ht="15" customHeight="1" s="69">
      <c r="C12" s="73" t="inlineStr">
        <is>
          <t>Planner (Name / Office)</t>
        </is>
      </c>
      <c r="D12" s="74" t="n"/>
      <c r="E12" s="75" t="n"/>
      <c r="F12" s="75" t="n"/>
      <c r="G12" s="75" t="n"/>
    </row>
    <row r="13" ht="15" customHeight="1" s="69">
      <c r="C13" s="73" t="inlineStr">
        <is>
          <t>Date Prepared</t>
        </is>
      </c>
      <c r="D13" s="74" t="n"/>
      <c r="E13" s="75" t="n"/>
      <c r="F13" s="75" t="n"/>
      <c r="G13" s="75" t="n"/>
    </row>
    <row r="14" ht="15" customHeight="1" s="69">
      <c r="C14" s="73" t="inlineStr">
        <is>
          <t>FY (Program Year)</t>
        </is>
      </c>
      <c r="D14" s="74" t="n"/>
      <c r="E14" s="75" t="n"/>
      <c r="F14" s="75" t="n"/>
      <c r="G14" s="75" t="n"/>
    </row>
    <row r="15" ht="15" customHeight="1" s="69">
      <c r="C15" s="73" t="n"/>
      <c r="D15" s="74" t="n"/>
      <c r="E15" s="75" t="n"/>
      <c r="F15" s="75" t="n"/>
      <c r="G15" s="75" t="n"/>
    </row>
    <row r="17" ht="21.75" customHeight="1" s="69">
      <c r="B17" s="72" t="inlineStr">
        <is>
          <t>How to Use This Workbook</t>
        </is>
      </c>
    </row>
    <row r="18" ht="30" customHeight="1" s="69">
      <c r="B18" s="76" t="inlineStr">
        <is>
          <t>1. Fill in Project Information above.</t>
        </is>
      </c>
    </row>
    <row r="19" ht="30" customHeight="1" s="69">
      <c r="B19" s="76" t="inlineStr">
        <is>
          <t>2. Go to the Personnel sheet and enter unit personnel loading (officers, enlisted, civilians, contractors). The Authorized Strength Report (ASR) / TFSD projection is the official source per FC 2-000-05N §61010-3.</t>
        </is>
      </c>
    </row>
    <row r="20" ht="30" customHeight="1" s="69">
      <c r="B20" s="76" t="inlineStr">
        <is>
          <t>3. Open the BFR Calculator. Each row references a Series 100 Category Code (CCN). Enter quantity drivers (e.g., # of vehicles by type, # of student stations, # of weapons). Required SF / SY / EA is computed automatically using the planning factors stored in the CCN Library.</t>
        </is>
      </c>
    </row>
    <row r="21" ht="30" customHeight="1" s="69">
      <c r="B21" s="76" t="inlineStr">
        <is>
          <t>4. Open the Inventory sheet and enter existing iNFADS assets for each CCN. Surplus / Deficit is computed automatically.</t>
        </is>
      </c>
    </row>
    <row r="22" ht="30" customHeight="1" s="69">
      <c r="B22" s="76" t="inlineStr">
        <is>
          <t>5. Open the Okinawa Adjustments sheet. Confirm the MILCON Area Cost Factor (Okinawa Navy ACF), ATFP setbacks (UFC 4-010-01), seismic/typhoon premiums, and any host-nation siting constraints.</t>
        </is>
      </c>
    </row>
    <row r="23" ht="30" customHeight="1" s="69">
      <c r="B23" s="76" t="inlineStr">
        <is>
          <t>6. Open the BFR Summary. This is the print-ready output: total requirements, deficits, programmed cost, and justification narrative for the DD Form 1391 attachment.</t>
        </is>
      </c>
    </row>
    <row r="24" ht="30" customHeight="1" s="69">
      <c r="B24" s="76" t="inlineStr">
        <is>
          <t>7. Cell colors: cream = INPUT (you fill in), light teal = CALCULATED, light green = OUTPUT / TOTAL.</t>
        </is>
      </c>
    </row>
    <row r="25" ht="30" customHeight="1" s="69">
      <c r="B25" s="76" t="inlineStr">
        <is>
          <t>8. Do not overwrite formula cells. To add a CCN that is not listed, copy a row in the BFR Calculator and add the CCN code from the CCN Library.</t>
        </is>
      </c>
    </row>
    <row r="26" ht="36" customHeight="1" s="69">
      <c r="B26" s="77" t="inlineStr">
        <is>
          <t>DATA QUALITY: Treat all TFSMS / TO&amp;E exports as DRAFT. Reconcile every UIC row on TFSMS_Loading against the current Authorized Strength Report (ASR) before relying on BFR outputs. Unreconciled rows are flagged on the Personnel sheet header.</t>
        </is>
      </c>
      <c r="C26" s="75" t="n"/>
      <c r="D26" s="75" t="n"/>
      <c r="E26" s="75" t="n"/>
      <c r="F26" s="75" t="n"/>
      <c r="G26" s="75" t="n"/>
    </row>
    <row r="27" ht="21.75" customHeight="1" s="69">
      <c r="B27" s="68" t="n"/>
    </row>
    <row r="28" ht="15" customHeight="1" s="69">
      <c r="B28" s="72" t="inlineStr">
        <is>
          <t>Cell Color Legend</t>
        </is>
      </c>
      <c r="D28" s="68" t="n"/>
    </row>
    <row r="29" ht="15" customHeight="1" s="69">
      <c r="C29" s="78" t="inlineStr">
        <is>
          <t> </t>
        </is>
      </c>
      <c r="D29" s="79" t="inlineStr">
        <is>
          <t>INPUT — user-editable</t>
        </is>
      </c>
    </row>
    <row r="30" ht="15" customHeight="1" s="69">
      <c r="C30" s="80" t="inlineStr">
        <is>
          <t> </t>
        </is>
      </c>
      <c r="D30" s="79" t="inlineStr">
        <is>
          <t>CALCULATED — formula</t>
        </is>
      </c>
    </row>
    <row r="31" ht="15" customHeight="1" s="69">
      <c r="C31" s="81" t="inlineStr">
        <is>
          <t> </t>
        </is>
      </c>
      <c r="D31" s="79" t="inlineStr">
        <is>
          <t>OUTPUT / TOTAL</t>
        </is>
      </c>
    </row>
    <row r="32" ht="15" customHeight="1" s="69">
      <c r="C32" s="82" t="inlineStr">
        <is>
          <t> </t>
        </is>
      </c>
      <c r="D32" s="79" t="inlineStr">
        <is>
          <t>REVIEW REQUIRED</t>
        </is>
      </c>
    </row>
    <row r="33" ht="21.75" customHeight="1" s="69">
      <c r="B33" s="68" t="n"/>
    </row>
    <row r="34" ht="18" customHeight="1" s="69">
      <c r="B34" s="72" t="inlineStr">
        <is>
          <t>Authoritative References</t>
        </is>
      </c>
    </row>
    <row r="35" ht="18" customHeight="1" s="69">
      <c r="B35" s="83" t="inlineStr">
        <is>
          <t>• FC 2-000-05N — Facility Planning for Navy and Marine Corps Shore Installations (formerly NAVFAC P-80) — Series 100, dated 11 Feb 2026</t>
        </is>
      </c>
    </row>
    <row r="36" ht="18" customHeight="1" s="69">
      <c r="B36" s="83" t="inlineStr">
        <is>
          <t>• MCO 11000.12 — Real Property Facilities Manual, Facilities Planning and Programming</t>
        </is>
      </c>
    </row>
    <row r="37" ht="18" customHeight="1" s="69">
      <c r="B37" s="83" t="inlineStr">
        <is>
          <t>• MCO P11000.5x — Real Property Facilities Manual series</t>
        </is>
      </c>
    </row>
    <row r="38" ht="18" customHeight="1" s="69">
      <c r="B38" s="83" t="inlineStr">
        <is>
          <t>• UFC 4-010-01 — DoD Minimum Antiterrorism Standards for Buildings</t>
        </is>
      </c>
    </row>
    <row r="39" ht="18" customHeight="1" s="69">
      <c r="B39" s="83" t="inlineStr">
        <is>
          <t>• UFC 4-020-01 — DoD Security Engineering Facilities Planning Manual</t>
        </is>
      </c>
    </row>
    <row r="40" ht="18" customHeight="1" s="69">
      <c r="B40" s="83" t="inlineStr">
        <is>
          <t>• UFS 3-701-01 — DoD Facilities Pricing Guide (ACFs in Table 4-1)</t>
        </is>
      </c>
    </row>
    <row r="41" ht="18" customHeight="1" s="69">
      <c r="B41" s="83" t="inlineStr">
        <is>
          <t>• UFS 3-730-01 — Programming Cost Estimates for Military Construction</t>
        </is>
      </c>
    </row>
    <row r="42" ht="314.9" customHeight="1" s="69">
      <c r="B42" s="83" t="inlineStr">
        <is>
          <t>• DoD Real Property Classification System (RPCS) / iNFADS CCN module</t>
        </is>
      </c>
    </row>
  </sheetData>
  <mergeCells count="37">
    <mergeCell ref="B2:G2"/>
    <mergeCell ref="D9:G9"/>
    <mergeCell ref="D12:G12"/>
    <mergeCell ref="D8:G8"/>
    <mergeCell ref="B17:G17"/>
    <mergeCell ref="B23:G23"/>
    <mergeCell ref="D30:G30"/>
    <mergeCell ref="D15:G15"/>
    <mergeCell ref="D29:G29"/>
    <mergeCell ref="D14:G14"/>
    <mergeCell ref="B38:G38"/>
    <mergeCell ref="B19:G19"/>
    <mergeCell ref="B34:G34"/>
    <mergeCell ref="B37:G37"/>
    <mergeCell ref="B40:G40"/>
    <mergeCell ref="D10:G10"/>
    <mergeCell ref="B33:G33"/>
    <mergeCell ref="B24:G24"/>
    <mergeCell ref="B20:G20"/>
    <mergeCell ref="D31:G31"/>
    <mergeCell ref="B5:G5"/>
    <mergeCell ref="B36:G36"/>
    <mergeCell ref="D6:G6"/>
    <mergeCell ref="B41:G41"/>
    <mergeCell ref="B35:G35"/>
    <mergeCell ref="B26:G26"/>
    <mergeCell ref="D11:G11"/>
    <mergeCell ref="D13:G13"/>
    <mergeCell ref="D28:G28"/>
    <mergeCell ref="B25:G25"/>
    <mergeCell ref="B3:G3"/>
    <mergeCell ref="B22:G22"/>
    <mergeCell ref="B27:G27"/>
    <mergeCell ref="D7:G7"/>
    <mergeCell ref="B18:G18"/>
    <mergeCell ref="B21:G21"/>
    <mergeCell ref="B39:G39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B2:S2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baseColWidth="8" defaultColWidth="8.6796875" defaultRowHeight="15" customHeight="1" zeroHeight="0" outlineLevelRow="0"/>
  <cols>
    <col width="3" customWidth="1" style="68" min="1" max="1"/>
    <col width="12" customWidth="1" style="68" min="2" max="2"/>
    <col width="36" customWidth="1" style="68" min="3" max="3"/>
    <col width="10" customWidth="1" style="68" min="4" max="14"/>
    <col width="12" customWidth="1" style="68" min="15" max="15"/>
    <col width="14" customWidth="1" style="68" min="16" max="18"/>
    <col width="50" customWidth="1" style="68" min="19" max="19"/>
  </cols>
  <sheetData>
    <row r="1" ht="7.5" customHeight="1" s="69"/>
    <row r="2" ht="30" customHeight="1" s="69">
      <c r="B2" s="70" t="inlineStr">
        <is>
          <t>TFSMS / TO&amp;E Loading by Sub-Unit (UIC)</t>
        </is>
      </c>
    </row>
    <row r="3" ht="18" customHeight="1" s="69">
      <c r="B3" s="71" t="inlineStr">
        <is>
          <t>Paste RecapMCC chargeable + non-chargeable counts. Roll-up populates the Personnel sheet automatically.</t>
        </is>
      </c>
    </row>
    <row r="5" ht="42" customHeight="1" s="69">
      <c r="B5" s="77" t="inlineStr">
        <is>
          <t>DATA QUALITY NOTICE — TFSMS exports are 'Published Average' snapshots and may include stale T/O lines, mis-coded FAP/collateral billets, or units detached from the parent UIC. Reconcile every row against the current Authorized Strength Report (ASR) and on-hand strength before treating these numbers as authoritative for the BFR.</t>
        </is>
      </c>
      <c r="C5" s="75" t="n"/>
      <c r="D5" s="75" t="n"/>
      <c r="E5" s="75" t="n"/>
      <c r="F5" s="75" t="n"/>
      <c r="G5" s="75" t="n"/>
      <c r="H5" s="75" t="n"/>
      <c r="I5" s="75" t="n"/>
      <c r="J5" s="75" t="n"/>
      <c r="K5" s="75" t="n"/>
      <c r="L5" s="75" t="n"/>
      <c r="M5" s="75" t="n"/>
      <c r="N5" s="75" t="n"/>
      <c r="O5" s="75" t="n"/>
    </row>
    <row r="6" ht="15" customHeight="1" s="69">
      <c r="B6" s="72" t="inlineStr">
        <is>
          <t>Per-UIC Loading</t>
        </is>
      </c>
      <c r="C6" s="68" t="n"/>
      <c r="D6" s="68" t="n"/>
      <c r="F6" s="68" t="n"/>
      <c r="H6" s="68" t="n"/>
      <c r="J6" s="68" t="n"/>
      <c r="L6" s="68" t="n"/>
      <c r="M6" s="68" t="n"/>
      <c r="N6" s="68" t="n"/>
      <c r="O6" s="68" t="n"/>
      <c r="P6" s="84" t="n"/>
      <c r="Q6" s="84" t="n"/>
      <c r="R6" s="84" t="n"/>
      <c r="S6" s="84" t="n"/>
    </row>
    <row r="7" ht="15" customHeight="1" s="69">
      <c r="D7" s="85" t="inlineStr">
        <is>
          <t>Marine Active</t>
        </is>
      </c>
      <c r="E7" s="86" t="n"/>
      <c r="F7" s="85" t="inlineStr">
        <is>
          <t>Navy Active</t>
        </is>
      </c>
      <c r="G7" s="86" t="n"/>
      <c r="H7" s="85" t="inlineStr">
        <is>
          <t>Other Service</t>
        </is>
      </c>
      <c r="I7" s="86" t="n"/>
      <c r="J7" s="85" t="inlineStr">
        <is>
          <t>Reserve / FAP</t>
        </is>
      </c>
      <c r="K7" s="86" t="n"/>
      <c r="P7" s="87" t="n"/>
      <c r="Q7" s="87" t="n"/>
      <c r="R7" s="87" t="n"/>
      <c r="S7" s="87" t="n"/>
    </row>
    <row r="8" ht="19.5" customHeight="1" s="69">
      <c r="B8" s="88" t="n"/>
      <c r="C8" s="88" t="n"/>
      <c r="D8" s="89" t="inlineStr">
        <is>
          <t>Off</t>
        </is>
      </c>
      <c r="E8" s="89" t="inlineStr">
        <is>
          <t>Enl</t>
        </is>
      </c>
      <c r="F8" s="89" t="inlineStr">
        <is>
          <t>Off</t>
        </is>
      </c>
      <c r="G8" s="89" t="inlineStr">
        <is>
          <t>Enl</t>
        </is>
      </c>
      <c r="H8" s="89" t="inlineStr">
        <is>
          <t>Off</t>
        </is>
      </c>
      <c r="I8" s="89" t="inlineStr">
        <is>
          <t>Enl</t>
        </is>
      </c>
      <c r="J8" s="89" t="inlineStr">
        <is>
          <t>Off</t>
        </is>
      </c>
      <c r="K8" s="89" t="inlineStr">
        <is>
          <t>Enl</t>
        </is>
      </c>
      <c r="L8" s="88" t="n"/>
      <c r="M8" s="88" t="n"/>
      <c r="N8" s="88" t="n"/>
      <c r="O8" s="88" t="n"/>
    </row>
    <row r="9" ht="19.5" customHeight="1" s="69">
      <c r="B9" s="90" t="inlineStr">
        <is>
          <t>M29111</t>
        </is>
      </c>
      <c r="C9" s="91" t="inlineStr">
        <is>
          <t>HQ Co CLB-4 / CLR-3 / 3d MLG</t>
        </is>
      </c>
      <c r="D9" s="92" t="n">
        <v>12</v>
      </c>
      <c r="E9" s="92" t="n">
        <v>60</v>
      </c>
      <c r="F9" s="92" t="n">
        <v>2</v>
      </c>
      <c r="G9" s="92" t="n">
        <v>11</v>
      </c>
      <c r="H9" s="92" t="n">
        <v>0</v>
      </c>
      <c r="I9" s="92" t="n">
        <v>0</v>
      </c>
      <c r="J9" s="92" t="n">
        <v>0</v>
      </c>
      <c r="K9" s="92" t="n">
        <v>0</v>
      </c>
      <c r="L9" s="92" t="n">
        <v>0</v>
      </c>
      <c r="M9" s="92" t="n">
        <v>0</v>
      </c>
      <c r="N9" s="92" t="n">
        <v>0</v>
      </c>
      <c r="O9" s="93">
        <f>SUM(D8:N8)</f>
        <v/>
      </c>
      <c r="P9" s="94" t="inlineStr">
        <is>
          <t>2026-02-25</t>
        </is>
      </c>
      <c r="Q9" s="90" t="inlineStr">
        <is>
          <t>Pending</t>
        </is>
      </c>
      <c r="R9" s="95" t="n"/>
      <c r="S9" s="91" t="inlineStr">
        <is>
          <t>TFSMS export 25 Feb 2026; HQ Co — verify Navy RP/Chaplain billets are still chargeable to CLB-4 vs. detached.</t>
        </is>
      </c>
    </row>
    <row r="10" ht="19.5" customHeight="1" s="69">
      <c r="B10" s="90" t="inlineStr">
        <is>
          <t>M29112</t>
        </is>
      </c>
      <c r="C10" s="91" t="inlineStr">
        <is>
          <t>CLC A CLB-4 / CLR-3 / 3d MLG</t>
        </is>
      </c>
      <c r="D10" s="92" t="n">
        <v>3</v>
      </c>
      <c r="E10" s="92" t="n">
        <v>55</v>
      </c>
      <c r="F10" s="92" t="n">
        <v>0</v>
      </c>
      <c r="G10" s="92" t="n">
        <v>0</v>
      </c>
      <c r="H10" s="92" t="n">
        <v>0</v>
      </c>
      <c r="I10" s="92" t="n">
        <v>0</v>
      </c>
      <c r="J10" s="92" t="n">
        <v>0</v>
      </c>
      <c r="K10" s="92" t="n">
        <v>0</v>
      </c>
      <c r="L10" s="92" t="n">
        <v>0</v>
      </c>
      <c r="M10" s="92" t="n">
        <v>0</v>
      </c>
      <c r="N10" s="92" t="n">
        <v>0</v>
      </c>
      <c r="O10" s="93">
        <f>SUM(D9:N9)</f>
        <v/>
      </c>
      <c r="P10" s="94" t="inlineStr">
        <is>
          <t>2026-02-25</t>
        </is>
      </c>
      <c r="Q10" s="90" t="inlineStr">
        <is>
          <t>Pending</t>
        </is>
      </c>
      <c r="R10" s="95" t="n"/>
      <c r="S10" s="91" t="inlineStr">
        <is>
          <t>TFSMS export 25 Feb 2026; CLC A — confirm operations chief billet (3537/0477) is filled per current ASR.</t>
        </is>
      </c>
    </row>
    <row r="11" ht="19.5" customHeight="1" s="69">
      <c r="B11" s="90" t="inlineStr">
        <is>
          <t>M29113</t>
        </is>
      </c>
      <c r="C11" s="91" t="inlineStr">
        <is>
          <t>CLC B CLB-4 / CLR-3 / 3d MLG</t>
        </is>
      </c>
      <c r="D11" s="92" t="n">
        <v>3</v>
      </c>
      <c r="E11" s="92" t="n">
        <v>55</v>
      </c>
      <c r="F11" s="92" t="n">
        <v>0</v>
      </c>
      <c r="G11" s="92" t="n">
        <v>0</v>
      </c>
      <c r="H11" s="92" t="n">
        <v>0</v>
      </c>
      <c r="I11" s="92" t="n">
        <v>0</v>
      </c>
      <c r="J11" s="92" t="n">
        <v>0</v>
      </c>
      <c r="K11" s="92" t="n">
        <v>0</v>
      </c>
      <c r="L11" s="92" t="n">
        <v>0</v>
      </c>
      <c r="M11" s="92" t="n">
        <v>0</v>
      </c>
      <c r="N11" s="92" t="n">
        <v>0</v>
      </c>
      <c r="O11" s="93">
        <f>SUM(D10:N10)</f>
        <v/>
      </c>
      <c r="P11" s="94" t="inlineStr">
        <is>
          <t>2026-02-25</t>
        </is>
      </c>
      <c r="Q11" s="90" t="inlineStr">
        <is>
          <t>Pending</t>
        </is>
      </c>
      <c r="R11" s="95" t="n"/>
      <c r="S11" s="91" t="inlineStr">
        <is>
          <t>TFSMS export 25 Feb 2026; CLC B — verify it is identical to CLC A as published; reconcile against on-hand.</t>
        </is>
      </c>
    </row>
    <row r="12" ht="19.5" customHeight="1" s="69">
      <c r="B12" s="90" t="inlineStr">
        <is>
          <t>M29114</t>
        </is>
      </c>
      <c r="C12" s="91" t="inlineStr">
        <is>
          <t>GS Co CLB-4 / CLR-3 / 3d MLG</t>
        </is>
      </c>
      <c r="D12" s="92" t="n">
        <v>4</v>
      </c>
      <c r="E12" s="92" t="n">
        <v>79</v>
      </c>
      <c r="F12" s="92" t="n">
        <v>6</v>
      </c>
      <c r="G12" s="92" t="n">
        <v>17</v>
      </c>
      <c r="H12" s="92" t="n">
        <v>0</v>
      </c>
      <c r="I12" s="92" t="n">
        <v>0</v>
      </c>
      <c r="J12" s="92" t="n">
        <v>0</v>
      </c>
      <c r="K12" s="92" t="n">
        <v>0</v>
      </c>
      <c r="L12" s="92" t="n">
        <v>0</v>
      </c>
      <c r="M12" s="92" t="n">
        <v>0</v>
      </c>
      <c r="N12" s="92" t="n">
        <v>3</v>
      </c>
      <c r="O12" s="93">
        <f>SUM(D11:N11)</f>
        <v/>
      </c>
      <c r="P12" s="94" t="inlineStr">
        <is>
          <t>2026-02-25</t>
        </is>
      </c>
      <c r="Q12" s="90" t="inlineStr">
        <is>
          <t>Pending</t>
        </is>
      </c>
      <c r="R12" s="95" t="n"/>
      <c r="S12" s="91" t="inlineStr">
        <is>
          <t>TFSMS export 25 Feb 2026; GS Co — confirm 3 collateral-duty enlisted (K15) are not double-counted in chargeable.</t>
        </is>
      </c>
    </row>
    <row r="13" ht="19.5" customHeight="1" s="69">
      <c r="B13" s="90" t="n"/>
      <c r="C13" s="91" t="n"/>
      <c r="D13" s="92" t="n">
        <v>0</v>
      </c>
      <c r="E13" s="92" t="n">
        <v>0</v>
      </c>
      <c r="F13" s="92" t="n">
        <v>0</v>
      </c>
      <c r="G13" s="92" t="n">
        <v>0</v>
      </c>
      <c r="H13" s="92" t="n">
        <v>0</v>
      </c>
      <c r="I13" s="92" t="n">
        <v>0</v>
      </c>
      <c r="J13" s="92" t="n">
        <v>0</v>
      </c>
      <c r="K13" s="92" t="n">
        <v>0</v>
      </c>
      <c r="L13" s="92" t="n">
        <v>0</v>
      </c>
      <c r="M13" s="92" t="n">
        <v>0</v>
      </c>
      <c r="N13" s="92" t="n">
        <v>0</v>
      </c>
      <c r="O13" s="93">
        <f>SUM(D12:N12)</f>
        <v/>
      </c>
      <c r="P13" s="94" t="n"/>
      <c r="Q13" s="90" t="n"/>
      <c r="R13" s="95" t="n"/>
      <c r="S13" s="91" t="n"/>
    </row>
    <row r="14" ht="19.5" customHeight="1" s="69">
      <c r="B14" s="90" t="n"/>
      <c r="C14" s="91" t="n"/>
      <c r="D14" s="92" t="n">
        <v>0</v>
      </c>
      <c r="E14" s="92" t="n">
        <v>0</v>
      </c>
      <c r="F14" s="92" t="n">
        <v>0</v>
      </c>
      <c r="G14" s="92" t="n">
        <v>0</v>
      </c>
      <c r="H14" s="92" t="n">
        <v>0</v>
      </c>
      <c r="I14" s="92" t="n">
        <v>0</v>
      </c>
      <c r="J14" s="92" t="n">
        <v>0</v>
      </c>
      <c r="K14" s="92" t="n">
        <v>0</v>
      </c>
      <c r="L14" s="92" t="n">
        <v>0</v>
      </c>
      <c r="M14" s="92" t="n">
        <v>0</v>
      </c>
      <c r="N14" s="92" t="n">
        <v>0</v>
      </c>
      <c r="O14" s="93">
        <f>SUM(D13:N13)</f>
        <v/>
      </c>
      <c r="P14" s="94" t="n"/>
      <c r="Q14" s="90" t="n"/>
      <c r="R14" s="95" t="n"/>
      <c r="S14" s="91" t="n"/>
    </row>
    <row r="15" ht="19.5" customHeight="1" s="69">
      <c r="B15" s="90" t="n"/>
      <c r="C15" s="91" t="n"/>
      <c r="D15" s="92" t="n">
        <v>0</v>
      </c>
      <c r="E15" s="92" t="n">
        <v>0</v>
      </c>
      <c r="F15" s="92" t="n">
        <v>0</v>
      </c>
      <c r="G15" s="92" t="n">
        <v>0</v>
      </c>
      <c r="H15" s="92" t="n">
        <v>0</v>
      </c>
      <c r="I15" s="92" t="n">
        <v>0</v>
      </c>
      <c r="J15" s="92" t="n">
        <v>0</v>
      </c>
      <c r="K15" s="92" t="n">
        <v>0</v>
      </c>
      <c r="L15" s="92" t="n">
        <v>0</v>
      </c>
      <c r="M15" s="92" t="n">
        <v>0</v>
      </c>
      <c r="N15" s="92" t="n">
        <v>0</v>
      </c>
      <c r="O15" s="93">
        <f>SUM(D14:N14)</f>
        <v/>
      </c>
      <c r="P15" s="94" t="n"/>
      <c r="Q15" s="90" t="n"/>
      <c r="R15" s="95" t="n"/>
      <c r="S15" s="91" t="n"/>
    </row>
    <row r="16" ht="24" customHeight="1" s="69">
      <c r="B16" s="90" t="n"/>
      <c r="C16" s="96" t="n"/>
      <c r="D16" s="92" t="n">
        <v>0</v>
      </c>
      <c r="E16" s="92" t="n">
        <v>0</v>
      </c>
      <c r="F16" s="92" t="n">
        <v>0</v>
      </c>
      <c r="G16" s="92" t="n">
        <v>0</v>
      </c>
      <c r="H16" s="92" t="n">
        <v>0</v>
      </c>
      <c r="I16" s="92" t="n">
        <v>0</v>
      </c>
      <c r="J16" s="92" t="n">
        <v>0</v>
      </c>
      <c r="K16" s="92" t="n">
        <v>0</v>
      </c>
      <c r="L16" s="92" t="n">
        <v>0</v>
      </c>
      <c r="M16" s="92" t="n">
        <v>0</v>
      </c>
      <c r="N16" s="92" t="n">
        <v>0</v>
      </c>
      <c r="O16" s="93">
        <f>SUM(D15:N15)</f>
        <v/>
      </c>
      <c r="P16" s="94" t="n"/>
      <c r="Q16" s="90" t="n"/>
      <c r="R16" s="95" t="n"/>
      <c r="S16" s="91" t="n"/>
    </row>
    <row r="17" ht="28.35" customHeight="1" s="69">
      <c r="B17" s="97" t="inlineStr">
        <is>
          <t>UNIT TOTAL (e.g., CLB-4)</t>
        </is>
      </c>
      <c r="D17" s="93">
        <f>SUM(D8:D15)</f>
        <v/>
      </c>
      <c r="E17" s="93">
        <f>SUM(E8:E15)</f>
        <v/>
      </c>
      <c r="F17" s="93">
        <f>SUM(F8:F15)</f>
        <v/>
      </c>
      <c r="G17" s="93">
        <f>SUM(G8:G15)</f>
        <v/>
      </c>
      <c r="H17" s="93">
        <f>SUM(H8:H15)</f>
        <v/>
      </c>
      <c r="I17" s="93">
        <f>SUM(I8:I15)</f>
        <v/>
      </c>
      <c r="J17" s="93">
        <f>SUM(J8:J15)</f>
        <v/>
      </c>
      <c r="K17" s="93">
        <f>SUM(K8:K15)</f>
        <v/>
      </c>
      <c r="L17" s="93">
        <f>SUM(L8:L15)</f>
        <v/>
      </c>
      <c r="M17" s="93">
        <f>SUM(M8:M15)</f>
        <v/>
      </c>
      <c r="N17" s="93">
        <f>SUM(N8:N15)</f>
        <v/>
      </c>
      <c r="O17" s="93">
        <f>SUM(O8:O15)</f>
        <v/>
      </c>
    </row>
    <row r="18" ht="15" customHeight="1" s="69"/>
    <row r="19" ht="21.75" customHeight="1" s="69">
      <c r="B19" s="98" t="inlineStr">
        <is>
          <t>Reconciliation Gate</t>
        </is>
      </c>
      <c r="C19" s="75" t="n"/>
      <c r="D19" s="75" t="n"/>
      <c r="E19" s="75" t="n"/>
      <c r="F19" s="75" t="n"/>
      <c r="G19" s="75" t="n"/>
      <c r="H19" s="75" t="n"/>
      <c r="I19" s="75" t="n"/>
      <c r="J19" s="75" t="n"/>
      <c r="K19" s="75" t="n"/>
      <c r="L19" s="75" t="n"/>
      <c r="M19" s="75" t="n"/>
      <c r="N19" s="75" t="n"/>
      <c r="O19" s="75" t="n"/>
    </row>
    <row r="20" ht="15" customHeight="1" s="69">
      <c r="B20" s="72" t="inlineStr">
        <is>
          <t>How to Populate This Sheet</t>
        </is>
      </c>
    </row>
    <row r="21" ht="15" customHeight="1" s="69"/>
    <row r="22" ht="15" customHeight="1" s="69"/>
    <row r="23" ht="15" customHeight="1" s="69"/>
    <row r="24" ht="15" customHeight="1" s="69"/>
    <row r="25" ht="15" customHeight="1" s="69"/>
  </sheetData>
  <mergeCells count="20">
    <mergeCell ref="B16:C16"/>
    <mergeCell ref="B20:O24"/>
    <mergeCell ref="B3:O3"/>
    <mergeCell ref="F6:G6"/>
    <mergeCell ref="P6:P7"/>
    <mergeCell ref="R6:R7"/>
    <mergeCell ref="D6:E6"/>
    <mergeCell ref="H6:I6"/>
    <mergeCell ref="J6:K6"/>
    <mergeCell ref="B2:O2"/>
    <mergeCell ref="M6:M7"/>
    <mergeCell ref="Q6:Q7"/>
    <mergeCell ref="B6:B7"/>
    <mergeCell ref="S6:S7"/>
    <mergeCell ref="L6:L7"/>
    <mergeCell ref="B19:O19"/>
    <mergeCell ref="N6:N7"/>
    <mergeCell ref="B5:O5"/>
    <mergeCell ref="C6:C7"/>
    <mergeCell ref="O6:O7"/>
  </mergeCells>
  <conditionalFormatting sqref="Q8:Q15">
    <cfRule type="expression" rank="0" priority="2" equalAverage="0" aboveAverage="0" dxfId="0" text="" percent="0" bottom="0">
      <formula>NOT(OR(Q8="Yes",Q8="N/A"))</formula>
    </cfRule>
  </conditionalFormatting>
  <conditionalFormatting sqref="R8:R15">
    <cfRule type="cellIs" rank="0" priority="3" equalAverage="0" operator="notEqual" aboveAverage="0" dxfId="0" text="" percent="0" bottom="0">
      <formula>0</formula>
    </cfRule>
  </conditionalFormatting>
  <dataValidations count="1">
    <dataValidation sqref="Q8:Q15" showDropDown="0" showInputMessage="0" showErrorMessage="0" allowBlank="1" type="list" errorStyle="stop" operator="between">
      <formula1>"Yes,No,Pending,N/A"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B2:I4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baseColWidth="8" defaultColWidth="8.6796875" defaultRowHeight="15" customHeight="1" zeroHeight="0" outlineLevelRow="0"/>
  <cols>
    <col width="3" customWidth="1" style="68" min="1" max="2"/>
    <col width="34" customWidth="1" style="68" min="3" max="3"/>
    <col width="14" customWidth="1" style="68" min="4" max="7"/>
    <col width="18" customWidth="1" style="68" min="8" max="8"/>
  </cols>
  <sheetData>
    <row r="1" ht="7.5" customHeight="1" s="69"/>
    <row r="2" ht="30" customHeight="1" s="69">
      <c r="B2" s="70" t="inlineStr">
        <is>
          <t>Unit Personnel Loading</t>
        </is>
      </c>
    </row>
    <row r="3" ht="18" customHeight="1" s="69">
      <c r="B3" s="71" t="inlineStr">
        <is>
          <t>Per FC 2-000-05N §61010-3 — Personnel loading must come from an official source (ASR / TFSD).</t>
        </is>
      </c>
    </row>
    <row r="4" ht="68.25" customHeight="1" s="69">
      <c r="B4" s="73" t="inlineStr">
        <is>
          <t>Loading Source</t>
        </is>
      </c>
      <c r="C4" s="90" t="inlineStr">
        <is>
          <t>TFSMS</t>
        </is>
      </c>
      <c r="D4" s="99">
        <f>IF(TFSMS_UNRECONCILED&gt;0,"⚠ "&amp;TFSMS_UNRECONCILED&amp;" TFSMS rows are NOT yet reconciled against the ASR — review before treating BFR outputs as authoritative.","TFSMS data marked reconciled or not in use.")</f>
        <v/>
      </c>
    </row>
    <row r="5" ht="21.75" customHeight="1" s="69">
      <c r="B5" s="72" t="inlineStr">
        <is>
          <t>Personnel by Category</t>
        </is>
      </c>
    </row>
    <row r="6" ht="41.25" customHeight="1" s="69">
      <c r="B6" s="100" t="inlineStr">
        <is>
          <t>Group</t>
        </is>
      </c>
      <c r="C6" s="100" t="inlineStr">
        <is>
          <t>Category</t>
        </is>
      </c>
      <c r="D6" s="100" t="inlineStr">
        <is>
          <t>Officers</t>
        </is>
      </c>
      <c r="E6" s="100" t="inlineStr">
        <is>
          <t>Enlisted</t>
        </is>
      </c>
      <c r="F6" s="100" t="inlineStr">
        <is>
          <t>Civilians</t>
        </is>
      </c>
      <c r="G6" s="100" t="inlineStr">
        <is>
          <t>Contractors</t>
        </is>
      </c>
      <c r="H6" s="100" t="inlineStr">
        <is>
          <t>Total</t>
        </is>
      </c>
    </row>
    <row r="7" ht="147" customHeight="1" s="69">
      <c r="B7" s="73" t="inlineStr">
        <is>
          <t>Headquarters / Command Element</t>
        </is>
      </c>
      <c r="C7" s="101" t="n">
        <v>2</v>
      </c>
      <c r="D7" s="101" t="n">
        <v>12</v>
      </c>
      <c r="E7" s="101" t="n">
        <v>2</v>
      </c>
      <c r="F7" s="101" t="n">
        <v>1</v>
      </c>
      <c r="G7" s="102">
        <f>SUM(C7:F7)</f>
        <v/>
      </c>
    </row>
    <row r="8" ht="147" customHeight="1" s="69">
      <c r="B8" s="73" t="inlineStr">
        <is>
          <t>Operations (S-3) / Line Companies</t>
        </is>
      </c>
      <c r="C8" s="101" t="n">
        <v>4</v>
      </c>
      <c r="D8" s="101" t="n">
        <v>120</v>
      </c>
      <c r="E8" s="101" t="n">
        <v>0</v>
      </c>
      <c r="F8" s="101" t="n">
        <v>0</v>
      </c>
      <c r="G8" s="102">
        <f>SUM(C8:F8)</f>
        <v/>
      </c>
    </row>
    <row r="9" ht="79.5" customHeight="1" s="69">
      <c r="B9" s="73" t="inlineStr">
        <is>
          <t>Intelligence (S-2)</t>
        </is>
      </c>
      <c r="C9" s="101" t="n">
        <v>1</v>
      </c>
      <c r="D9" s="101" t="n">
        <v>8</v>
      </c>
      <c r="E9" s="101" t="n">
        <v>1</v>
      </c>
      <c r="F9" s="101" t="n">
        <v>0</v>
      </c>
      <c r="G9" s="102">
        <f>SUM(C9:F9)</f>
        <v/>
      </c>
    </row>
    <row r="10" ht="113.25" customHeight="1" s="69">
      <c r="B10" s="73" t="inlineStr">
        <is>
          <t>Logistics (S-4) / Supply</t>
        </is>
      </c>
      <c r="C10" s="101" t="n">
        <v>2</v>
      </c>
      <c r="D10" s="101" t="n">
        <v>24</v>
      </c>
      <c r="E10" s="101" t="n">
        <v>3</v>
      </c>
      <c r="F10" s="101" t="n">
        <v>2</v>
      </c>
      <c r="G10" s="102">
        <f>SUM(C10:F10)</f>
        <v/>
      </c>
    </row>
    <row r="11" ht="102" customHeight="1" s="69">
      <c r="B11" s="73" t="inlineStr">
        <is>
          <t>Communications (S-6)</t>
        </is>
      </c>
      <c r="C11" s="101" t="n">
        <v>1</v>
      </c>
      <c r="D11" s="101" t="n">
        <v>14</v>
      </c>
      <c r="E11" s="101" t="n">
        <v>1</v>
      </c>
      <c r="F11" s="101" t="n">
        <v>1</v>
      </c>
      <c r="G11" s="102">
        <f>SUM(C11:F11)</f>
        <v/>
      </c>
    </row>
    <row r="12" ht="113.25" customHeight="1" s="69">
      <c r="B12" s="73" t="inlineStr">
        <is>
          <t>Maintenance / Motor T</t>
        </is>
      </c>
      <c r="C12" s="101" t="n">
        <v>1</v>
      </c>
      <c r="D12" s="101" t="n">
        <v>18</v>
      </c>
      <c r="E12" s="101" t="n">
        <v>0</v>
      </c>
      <c r="F12" s="101" t="n">
        <v>4</v>
      </c>
      <c r="G12" s="102">
        <f>SUM(C12:F12)</f>
        <v/>
      </c>
    </row>
    <row r="13" ht="113.25" customHeight="1" s="69">
      <c r="B13" s="73" t="inlineStr">
        <is>
          <t>Medical / Dental Section</t>
        </is>
      </c>
      <c r="C13" s="101" t="n">
        <v>1</v>
      </c>
      <c r="D13" s="101" t="n">
        <v>6</v>
      </c>
      <c r="E13" s="101" t="n">
        <v>2</v>
      </c>
      <c r="F13" s="101" t="n">
        <v>0</v>
      </c>
      <c r="G13" s="102">
        <f>SUM(C13:F13)</f>
        <v/>
      </c>
    </row>
    <row r="14" ht="79.5" customHeight="1" s="69">
      <c r="B14" s="73" t="inlineStr">
        <is>
          <t>Other / Attached</t>
        </is>
      </c>
      <c r="C14" s="101" t="n">
        <v>0</v>
      </c>
      <c r="D14" s="101" t="n">
        <v>0</v>
      </c>
      <c r="E14" s="101" t="n">
        <v>0</v>
      </c>
      <c r="F14" s="101" t="n">
        <v>0</v>
      </c>
      <c r="G14" s="102">
        <f>SUM(C14:F14)</f>
        <v/>
      </c>
    </row>
    <row r="15" ht="162" customHeight="1" s="69">
      <c r="B15" s="103" t="inlineStr">
        <is>
          <t>TOTAL UNIT PERSONNEL</t>
        </is>
      </c>
      <c r="C15" s="93">
        <f>SUM(C7:C14)</f>
        <v/>
      </c>
      <c r="D15" s="93">
        <f>SUM(D7:D14)</f>
        <v/>
      </c>
      <c r="E15" s="93">
        <f>SUM(E7:E14)</f>
        <v/>
      </c>
      <c r="F15" s="93">
        <f>SUM(F7:F14)</f>
        <v/>
      </c>
      <c r="G15" s="93">
        <f>SUM(G7:G14)</f>
        <v/>
      </c>
    </row>
    <row r="18" ht="21.75" customHeight="1" s="69">
      <c r="B18" s="72" t="inlineStr">
        <is>
          <t>Derived Loading Metrics</t>
        </is>
      </c>
    </row>
    <row r="19" ht="135.75" customHeight="1" s="69">
      <c r="B19" s="73" t="inlineStr">
        <is>
          <t>Total Military Strength (Off + Enl)</t>
        </is>
      </c>
      <c r="C19" s="93">
        <f>C15+D15</f>
        <v/>
      </c>
    </row>
    <row r="20" ht="191.25" customHeight="1" s="69">
      <c r="B20" s="73" t="inlineStr">
        <is>
          <t>Personnel Loading (PN) for BFR (FC §61010-3)</t>
        </is>
      </c>
      <c r="C20" s="93">
        <f>G15</f>
        <v/>
      </c>
      <c r="D20" s="104" t="inlineStr">
        <is>
          <t>All military, civilian, and other personnel associated with the organization.</t>
        </is>
      </c>
    </row>
    <row r="23" ht="21.75" customHeight="1" s="69">
      <c r="B23" s="72" t="inlineStr">
        <is>
          <t>Loading Source &amp; Notes</t>
        </is>
      </c>
    </row>
    <row r="24" ht="15" customHeight="1" s="69">
      <c r="B24" s="76" t="inlineStr">
        <is>
          <t>Authoritative source for personnel loading per FC 2-000-05N §61010-3: Authorized Strength Report (ASR) validated by Total Force Structure Division (TFSD) per MCO 11000.12. Tenant loading reports must be provided as a separate attachment for project-level BFRs.</t>
        </is>
      </c>
    </row>
    <row r="25" ht="15" customHeight="1" s="69"/>
    <row r="26" ht="15" customHeight="1" s="69"/>
    <row r="27" ht="21.75" customHeight="1" s="69">
      <c r="B27" s="72" t="inlineStr">
        <is>
          <t>Effective Loading (used by BFR formulas)</t>
        </is>
      </c>
    </row>
    <row r="28" ht="79.5" customHeight="1" s="69">
      <c r="B28" s="73" t="inlineStr">
        <is>
          <t>Officers (effective)</t>
        </is>
      </c>
      <c r="C28" s="93">
        <f>IF($C$4="TFSMS",TFSMS_MAR_OFF+TFSMS_NAV_OFF+TFSMS_OS_OFF+TFSMS_RES_OFF,C15)</f>
        <v/>
      </c>
    </row>
    <row r="29" ht="79.5" customHeight="1" s="69">
      <c r="B29" s="73" t="inlineStr">
        <is>
          <t>Enlisted (effective)</t>
        </is>
      </c>
      <c r="C29" s="93">
        <f>IF($C$4="TFSMS",TFSMS_MAR_ENL+TFSMS_NAV_ENL+TFSMS_OS_ENL+TFSMS_RES_ENL,D15)</f>
        <v/>
      </c>
    </row>
    <row r="30" ht="79.5" customHeight="1" s="69">
      <c r="B30" s="73" t="inlineStr">
        <is>
          <t>Civilians (effective)</t>
        </is>
      </c>
      <c r="C30" s="93">
        <f>IF($C$4="TFSMS",TFSMS_CIV,E15)</f>
        <v/>
      </c>
    </row>
    <row r="31" ht="90.75" customHeight="1" s="69">
      <c r="B31" s="73" t="inlineStr">
        <is>
          <t>Contractors (effective)</t>
        </is>
      </c>
      <c r="C31" s="93">
        <f>IF($C$4="TFSMS",TFSMS_CTR,F15)</f>
        <v/>
      </c>
    </row>
    <row r="32" ht="79.5" customHeight="1" s="69">
      <c r="B32" s="73" t="inlineStr">
        <is>
          <t>Total PN (effective)</t>
        </is>
      </c>
      <c r="C32" s="93">
        <f>IF($C$4="TFSMS",TFSMS_TOTAL,G15)</f>
        <v/>
      </c>
    </row>
    <row r="33" ht="113.25" customHeight="1" s="69">
      <c r="B33" s="73" t="inlineStr">
        <is>
          <t>Military Strength (effective)</t>
        </is>
      </c>
      <c r="C33" s="93">
        <f>IF($C$4="TFSMS",TFSMS_MAR_OFF+TFSMS_MAR_ENL+TFSMS_NAV_OFF+TFSMS_NAV_ENL+TFSMS_OS_OFF+TFSMS_OS_ENL+TFSMS_RES_OFF+TFSMS_RES_ENL,C15+D15)</f>
        <v/>
      </c>
    </row>
    <row r="36" ht="21.75" customHeight="1" s="69">
      <c r="B36" s="72" t="inlineStr">
        <is>
          <t>Sub-Unit Snapshot (from TFSMS_Loading)</t>
        </is>
      </c>
    </row>
    <row r="37" ht="27.75" customHeight="1" s="69">
      <c r="B37" s="100" t="inlineStr">
        <is>
          <t>UIC</t>
        </is>
      </c>
      <c r="C37" s="100" t="inlineStr">
        <is>
          <t>Sub-Unit</t>
        </is>
      </c>
      <c r="D37" s="100" t="inlineStr">
        <is>
          <t>Mar Off</t>
        </is>
      </c>
      <c r="E37" s="100" t="inlineStr">
        <is>
          <t>Mar Enl</t>
        </is>
      </c>
      <c r="F37" s="100" t="inlineStr">
        <is>
          <t>Navy Off</t>
        </is>
      </c>
      <c r="G37" s="100" t="inlineStr">
        <is>
          <t>Navy Enl</t>
        </is>
      </c>
      <c r="H37" s="100" t="inlineStr">
        <is>
          <t>Civ</t>
        </is>
      </c>
      <c r="I37" s="100" t="inlineStr">
        <is>
          <t>Total PN</t>
        </is>
      </c>
    </row>
    <row r="38" ht="34.5" customHeight="1" s="69">
      <c r="B38" s="105">
        <f>TFSMS_Loading!B8</f>
        <v/>
      </c>
      <c r="C38" s="106">
        <f>TFSMS_Loading!C8</f>
        <v/>
      </c>
      <c r="D38" s="102">
        <f>TFSMS_Loading!D8</f>
        <v/>
      </c>
      <c r="E38" s="102">
        <f>TFSMS_Loading!E8</f>
        <v/>
      </c>
      <c r="F38" s="102">
        <f>TFSMS_Loading!F8</f>
        <v/>
      </c>
      <c r="G38" s="102">
        <f>TFSMS_Loading!G8</f>
        <v/>
      </c>
      <c r="H38" s="102">
        <f>TFSMS_Loading!L8</f>
        <v/>
      </c>
    </row>
    <row r="39" ht="34.5" customHeight="1" s="69">
      <c r="B39" s="105">
        <f>TFSMS_Loading!B9</f>
        <v/>
      </c>
      <c r="C39" s="106">
        <f>TFSMS_Loading!C9</f>
        <v/>
      </c>
      <c r="D39" s="102">
        <f>TFSMS_Loading!D9</f>
        <v/>
      </c>
      <c r="E39" s="102">
        <f>TFSMS_Loading!E9</f>
        <v/>
      </c>
      <c r="F39" s="102">
        <f>TFSMS_Loading!F9</f>
        <v/>
      </c>
      <c r="G39" s="102">
        <f>TFSMS_Loading!G9</f>
        <v/>
      </c>
      <c r="H39" s="102">
        <f>TFSMS_Loading!L9</f>
        <v/>
      </c>
    </row>
    <row r="40" ht="34.5" customHeight="1" s="69">
      <c r="B40" s="105">
        <f>TFSMS_Loading!B10</f>
        <v/>
      </c>
      <c r="C40" s="106">
        <f>TFSMS_Loading!C10</f>
        <v/>
      </c>
      <c r="D40" s="102">
        <f>TFSMS_Loading!D10</f>
        <v/>
      </c>
      <c r="E40" s="102">
        <f>TFSMS_Loading!E10</f>
        <v/>
      </c>
      <c r="F40" s="102">
        <f>TFSMS_Loading!F10</f>
        <v/>
      </c>
      <c r="G40" s="102">
        <f>TFSMS_Loading!G10</f>
        <v/>
      </c>
      <c r="H40" s="102">
        <f>TFSMS_Loading!L10</f>
        <v/>
      </c>
    </row>
    <row r="41" ht="34.5" customHeight="1" s="69">
      <c r="B41" s="105">
        <f>TFSMS_Loading!B11</f>
        <v/>
      </c>
      <c r="C41" s="106">
        <f>TFSMS_Loading!C11</f>
        <v/>
      </c>
      <c r="D41" s="102">
        <f>TFSMS_Loading!D11</f>
        <v/>
      </c>
      <c r="E41" s="102">
        <f>TFSMS_Loading!E11</f>
        <v/>
      </c>
      <c r="F41" s="102">
        <f>TFSMS_Loading!F11</f>
        <v/>
      </c>
      <c r="G41" s="102">
        <f>TFSMS_Loading!G11</f>
        <v/>
      </c>
      <c r="H41" s="102">
        <f>TFSMS_Loading!L11</f>
        <v/>
      </c>
    </row>
  </sheetData>
  <mergeCells count="10">
    <mergeCell ref="B36:H36"/>
    <mergeCell ref="D20:H20"/>
    <mergeCell ref="B27:H27"/>
    <mergeCell ref="B18:H18"/>
    <mergeCell ref="B2:H2"/>
    <mergeCell ref="B24:H26"/>
    <mergeCell ref="D4:H4"/>
    <mergeCell ref="B3:H3"/>
    <mergeCell ref="B5:H5"/>
    <mergeCell ref="B23:H23"/>
  </mergeCells>
  <dataValidations count="1">
    <dataValidation sqref="C4" showDropDown="0" showInputMessage="0" showErrorMessage="0" allowBlank="0" type="list" errorStyle="stop" operator="between">
      <formula1>"Manual,TFSMS"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B2:J3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baseColWidth="8" defaultColWidth="8.6796875" defaultRowHeight="15" customHeight="1" zeroHeight="0" outlineLevelRow="0"/>
  <cols>
    <col width="3" customWidth="1" style="68" min="1" max="2"/>
    <col width="10" customWidth="1" style="68" min="3" max="3"/>
    <col width="36" customWidth="1" style="68" min="4" max="4"/>
    <col width="8" customWidth="1" style="68" min="5" max="5"/>
    <col width="12" customWidth="1" style="68" min="6" max="9"/>
    <col width="34" customWidth="1" style="68" min="10" max="10"/>
  </cols>
  <sheetData>
    <row r="1" ht="7.5" customHeight="1" s="69"/>
    <row r="2" ht="30" customHeight="1" s="69">
      <c r="B2" s="70" t="inlineStr">
        <is>
          <t>BFR Calculator — Series 100</t>
        </is>
      </c>
    </row>
    <row r="3" ht="18" customHeight="1" s="69">
      <c r="B3" s="71" t="inlineStr">
        <is>
          <t>Required = Driver × Planning Factor × NTG. Enter quantities in the cream cells.</t>
        </is>
      </c>
    </row>
    <row r="5" ht="21.75" customHeight="1" s="69">
      <c r="B5" s="72" t="inlineStr">
        <is>
          <t>Per-CCN Requirements</t>
        </is>
      </c>
    </row>
    <row r="6" ht="41.25" customHeight="1" s="69">
      <c r="B6" s="107" t="inlineStr">
        <is>
          <t>CCN</t>
        </is>
      </c>
      <c r="C6" s="107" t="inlineStr">
        <is>
          <t>Facility Name</t>
        </is>
      </c>
      <c r="D6" s="107" t="inlineStr">
        <is>
          <t>UM</t>
        </is>
      </c>
      <c r="E6" s="107" t="inlineStr">
        <is>
          <t>Driver Qty</t>
        </is>
      </c>
      <c r="F6" s="107" t="inlineStr">
        <is>
          <t>Factor</t>
        </is>
      </c>
      <c r="G6" s="107" t="inlineStr">
        <is>
          <t>NTG</t>
        </is>
      </c>
      <c r="H6" s="107" t="inlineStr">
        <is>
          <t>Required</t>
        </is>
      </c>
      <c r="I6" s="107" t="inlineStr">
        <is>
          <t>Total Required (UM)</t>
        </is>
      </c>
      <c r="J6" s="107" t="inlineStr">
        <is>
          <t>Justification / Notes</t>
        </is>
      </c>
    </row>
    <row r="7" ht="21.75" customHeight="1" s="69">
      <c r="B7" s="108" t="inlineStr">
        <is>
          <t>143 10</t>
        </is>
      </c>
      <c r="C7" s="106">
        <f>IFERROR(VLOOKUP(B7,CCN_TABLE,2,FALSE()),"")</f>
        <v/>
      </c>
      <c r="D7" s="105">
        <f>IFERROR(VLOOKUP(B7,CCN_TABLE,3,FALSE()),"")</f>
        <v/>
      </c>
      <c r="E7" s="109" t="n">
        <v>0</v>
      </c>
      <c r="F7" s="109" t="n"/>
      <c r="G7" s="110" t="n">
        <v>1</v>
      </c>
      <c r="H7" s="102">
        <f>IFERROR(E7*F7*G7,0)</f>
        <v/>
      </c>
      <c r="I7" s="101" t="n"/>
      <c r="J7" s="106" t="inlineStr">
        <is>
          <t>Emergency Vehicle Garage — engineering analysis required.</t>
        </is>
      </c>
    </row>
    <row r="8" ht="21.75" customHeight="1" s="69">
      <c r="B8" s="108" t="inlineStr">
        <is>
          <t>143 11</t>
        </is>
      </c>
      <c r="C8" s="106">
        <f>IFERROR(VLOOKUP(B8,CCN_TABLE,2,FALSE()),"")</f>
        <v/>
      </c>
      <c r="D8" s="105">
        <f>IFERROR(VLOOKUP(B8,CCN_TABLE,3,FALSE()),"")</f>
        <v/>
      </c>
      <c r="E8" s="109" t="n">
        <v>1</v>
      </c>
      <c r="F8" s="109">
        <f>BFR_Calculator!G33</f>
        <v/>
      </c>
      <c r="G8" s="110" t="n">
        <v>1.2</v>
      </c>
      <c r="H8" s="102">
        <f>IFERROR(E8*F8*G8,0)</f>
        <v/>
      </c>
      <c r="I8" s="101" t="n"/>
      <c r="J8" s="106" t="inlineStr">
        <is>
          <t>Operational Vehicle Garage — sum of all type allowances + 250 SF mech room.</t>
        </is>
      </c>
    </row>
    <row r="9" ht="21.75" customHeight="1" s="69">
      <c r="B9" s="108" t="inlineStr">
        <is>
          <t>143 12</t>
        </is>
      </c>
      <c r="C9" s="106">
        <f>IFERROR(VLOOKUP(B9,CCN_TABLE,2,FALSE()),"")</f>
        <v/>
      </c>
      <c r="D9" s="105">
        <f>IFERROR(VLOOKUP(B9,CCN_TABLE,3,FALSE()),"")</f>
        <v/>
      </c>
      <c r="E9" s="109" t="n">
        <v>1</v>
      </c>
      <c r="F9" s="109">
        <f>BFR_Calculator!H33</f>
        <v/>
      </c>
      <c r="G9" s="110" t="n">
        <v>1</v>
      </c>
      <c r="H9" s="102">
        <f>IFERROR(E9*F9*G9,0)</f>
        <v/>
      </c>
      <c r="I9" s="101" t="n"/>
      <c r="J9" s="106" t="inlineStr">
        <is>
          <t>Operational Vehicle Laydown Area (SY).</t>
        </is>
      </c>
    </row>
    <row r="10" ht="21.75" customHeight="1" s="69">
      <c r="B10" s="108" t="inlineStr">
        <is>
          <t>143 24</t>
        </is>
      </c>
      <c r="C10" s="106">
        <f>IFERROR(VLOOKUP(B10,CCN_TABLE,2,FALSE()),"")</f>
        <v/>
      </c>
      <c r="D10" s="105">
        <f>IFERROR(VLOOKUP(B10,CCN_TABLE,3,FALSE()),"")</f>
        <v/>
      </c>
      <c r="E10" s="109" t="n">
        <v>1</v>
      </c>
      <c r="F10" s="109" t="n">
        <v>7204</v>
      </c>
      <c r="G10" s="110" t="n">
        <v>1</v>
      </c>
      <c r="H10" s="102">
        <f>IFERROR(E10*F10*G10,0)</f>
        <v/>
      </c>
      <c r="I10" s="101" t="n"/>
      <c r="J10" s="106" t="inlineStr">
        <is>
          <t>Marine Corps EOD Facility — 7,000 GSF EOD bldg + 204 GSF Haz/Flam.</t>
        </is>
      </c>
    </row>
    <row r="11" ht="21.75" customHeight="1" s="69">
      <c r="B11" s="108" t="inlineStr">
        <is>
          <t>143 45</t>
        </is>
      </c>
      <c r="C11" s="106">
        <f>IFERROR(VLOOKUP(B11,CCN_TABLE,2,FALSE()),"")</f>
        <v/>
      </c>
      <c r="D11" s="105">
        <f>IFERROR(VLOOKUP(B11,CCN_TABLE,3,FALSE()),"")</f>
        <v/>
      </c>
      <c r="E11" s="109">
        <f>PN_MIL</f>
        <v/>
      </c>
      <c r="F11" s="109" t="n"/>
      <c r="G11" s="110" t="n">
        <v>1</v>
      </c>
      <c r="H11" s="102">
        <f>IFERROR(E11*F11*G11,0)</f>
        <v/>
      </c>
      <c r="I11" s="101" t="n"/>
      <c r="J11" s="106" t="inlineStr">
        <is>
          <t>Armory — sized via Table 14345-1; engineering analysis if outside scope.</t>
        </is>
      </c>
    </row>
    <row r="12" ht="21.75" customHeight="1" s="69">
      <c r="B12" s="108" t="inlineStr">
        <is>
          <t>143 46</t>
        </is>
      </c>
      <c r="C12" s="106">
        <f>IFERROR(VLOOKUP(B12,CCN_TABLE,2,FALSE()),"")</f>
        <v/>
      </c>
      <c r="D12" s="105">
        <f>IFERROR(VLOOKUP(B12,CCN_TABLE,3,FALSE()),"")</f>
        <v/>
      </c>
      <c r="E12" s="109" t="n">
        <v>0</v>
      </c>
      <c r="F12" s="109" t="n"/>
      <c r="G12" s="110" t="n">
        <v>1</v>
      </c>
      <c r="H12" s="102">
        <f>IFERROR(E12*F12*G12,0)</f>
        <v/>
      </c>
      <c r="I12" s="101" t="n"/>
      <c r="J12" s="106" t="inlineStr">
        <is>
          <t>Marine Barracks — only if barracking is required.</t>
        </is>
      </c>
    </row>
    <row r="13" ht="21.75" customHeight="1" s="69">
      <c r="B13" s="108" t="inlineStr">
        <is>
          <t>171 10</t>
        </is>
      </c>
      <c r="C13" s="106">
        <f>IFERROR(VLOOKUP(B13,CCN_TABLE,2,FALSE()),"")</f>
        <v/>
      </c>
      <c r="D13" s="105">
        <f>IFERROR(VLOOKUP(B13,CCN_TABLE,3,FALSE()),"")</f>
        <v/>
      </c>
      <c r="E13" s="109" t="n">
        <v>0</v>
      </c>
      <c r="F13" s="109" t="n">
        <v>45</v>
      </c>
      <c r="G13" s="110" t="n">
        <v>1.33</v>
      </c>
      <c r="H13" s="102">
        <f>IFERROR(E13*F13*G13,0)</f>
        <v/>
      </c>
      <c r="I13" s="101" t="n"/>
      <c r="J13" s="106" t="inlineStr">
        <is>
          <t>Academic Instruction — # of student stations × 45 GSF.</t>
        </is>
      </c>
    </row>
    <row r="14" ht="21.75" customHeight="1" s="69">
      <c r="B14" s="108" t="inlineStr">
        <is>
          <t>171 20</t>
        </is>
      </c>
      <c r="C14" s="106">
        <f>IFERROR(VLOOKUP(B14,CCN_TABLE,2,FALSE()),"")</f>
        <v/>
      </c>
      <c r="D14" s="105">
        <f>IFERROR(VLOOKUP(B14,CCN_TABLE,3,FALSE()),"")</f>
        <v/>
      </c>
      <c r="E14" s="109" t="n">
        <v>0</v>
      </c>
      <c r="F14" s="109" t="n">
        <v>150</v>
      </c>
      <c r="G14" s="110" t="n">
        <v>1.25</v>
      </c>
      <c r="H14" s="102">
        <f>IFERROR(E14*F14*G14,0)</f>
        <v/>
      </c>
      <c r="I14" s="101" t="n"/>
      <c r="J14" s="106" t="inlineStr">
        <is>
          <t>Applied Instruction — # of student stations × 150 GSF.</t>
        </is>
      </c>
    </row>
    <row r="15" ht="21.75" customHeight="1" s="69">
      <c r="B15" s="108" t="inlineStr">
        <is>
          <t>171 50</t>
        </is>
      </c>
      <c r="C15" s="106">
        <f>IFERROR(VLOOKUP(B15,CCN_TABLE,2,FALSE()),"")</f>
        <v/>
      </c>
      <c r="D15" s="105">
        <f>IFERROR(VLOOKUP(B15,CCN_TABLE,3,FALSE()),"")</f>
        <v/>
      </c>
      <c r="E15" s="109" t="n">
        <v>0</v>
      </c>
      <c r="F15" s="109" t="n"/>
      <c r="G15" s="110" t="n">
        <v>1</v>
      </c>
      <c r="H15" s="102">
        <f>IFERROR(E15*F15*G15,0)</f>
        <v/>
      </c>
      <c r="I15" s="101" t="n"/>
      <c r="J15" s="106" t="inlineStr">
        <is>
          <t>Indoor Small Arms Range — engineering analysis.</t>
        </is>
      </c>
    </row>
    <row r="16" ht="21.75" customHeight="1" s="69">
      <c r="B16" s="108" t="inlineStr">
        <is>
          <t>173 10</t>
        </is>
      </c>
      <c r="C16" s="106">
        <f>IFERROR(VLOOKUP(B16,CCN_TABLE,2,FALSE()),"")</f>
        <v/>
      </c>
      <c r="D16" s="105">
        <f>IFERROR(VLOOKUP(B16,CCN_TABLE,3,FALSE()),"")</f>
        <v/>
      </c>
      <c r="E16" s="109" t="n">
        <v>0</v>
      </c>
      <c r="F16" s="109" t="n"/>
      <c r="G16" s="110" t="n">
        <v>1</v>
      </c>
      <c r="H16" s="102">
        <f>IFERROR(E16*F16*G16,0)</f>
        <v/>
      </c>
      <c r="I16" s="101" t="n"/>
      <c r="J16" s="106" t="inlineStr">
        <is>
          <t>Range Operations Building — engineering analysis.</t>
        </is>
      </c>
    </row>
    <row r="17" ht="21.75" customHeight="1" s="69">
      <c r="B17" s="108" t="inlineStr">
        <is>
          <t>173 11</t>
        </is>
      </c>
      <c r="C17" s="106">
        <f>IFERROR(VLOOKUP(B17,CCN_TABLE,2,FALSE()),"")</f>
        <v/>
      </c>
      <c r="D17" s="105">
        <f>IFERROR(VLOOKUP(B17,CCN_TABLE,3,FALSE()),"")</f>
        <v/>
      </c>
      <c r="E17" s="109" t="n">
        <v>0</v>
      </c>
      <c r="F17" s="109" t="n"/>
      <c r="G17" s="110" t="n">
        <v>1</v>
      </c>
      <c r="H17" s="102">
        <f>IFERROR(E17*F17*G17,0)</f>
        <v/>
      </c>
      <c r="I17" s="101" t="n"/>
      <c r="J17" s="106" t="inlineStr">
        <is>
          <t>Range Support Building — engineering analysis.</t>
        </is>
      </c>
    </row>
    <row r="18" ht="21.75" customHeight="1" s="69">
      <c r="B18" s="108" t="inlineStr">
        <is>
          <t>179 60</t>
        </is>
      </c>
      <c r="C18" s="106">
        <f>IFERROR(VLOOKUP(B18,CCN_TABLE,2,FALSE()),"")</f>
        <v/>
      </c>
      <c r="D18" s="105">
        <f>IFERROR(VLOOKUP(B18,CCN_TABLE,3,FALSE()),"")</f>
        <v/>
      </c>
      <c r="E18" s="109">
        <f>PN_TOTAL</f>
        <v/>
      </c>
      <c r="F18" s="109">
        <f>1/125</f>
        <v/>
      </c>
      <c r="G18" s="110" t="n">
        <v>1</v>
      </c>
      <c r="H18" s="102">
        <f>IFERROR(E18*F18*G18,0)</f>
        <v/>
      </c>
      <c r="I18" s="101" t="n"/>
      <c r="J18" s="106" t="inlineStr">
        <is>
          <t>Parade &amp; Drill Field — 1 AC per 125 personnel.</t>
        </is>
      </c>
    </row>
    <row r="19" ht="21.75" customHeight="1" s="69">
      <c r="B19" s="108" t="inlineStr">
        <is>
          <t>179 91</t>
        </is>
      </c>
      <c r="C19" s="106">
        <f>IFERROR(VLOOKUP(B19,CCN_TABLE,2,FALSE()),"")</f>
        <v/>
      </c>
      <c r="D19" s="105">
        <f>IFERROR(VLOOKUP(B19,CCN_TABLE,3,FALSE()),"")</f>
        <v/>
      </c>
      <c r="E19" s="109" t="n">
        <v>0</v>
      </c>
      <c r="F19" s="109" t="n">
        <v>1</v>
      </c>
      <c r="G19" s="110" t="n">
        <v>1</v>
      </c>
      <c r="H19" s="102">
        <f>IFERROR(E19*F19*G19,0)</f>
        <v/>
      </c>
      <c r="I19" s="101" t="n"/>
      <c r="J19" s="106" t="inlineStr">
        <is>
          <t>Confidence Course — 1 EA per complete course.</t>
        </is>
      </c>
    </row>
    <row r="20" ht="21.75" customHeight="1" s="69">
      <c r="B20" s="108" t="inlineStr">
        <is>
          <t>179 92</t>
        </is>
      </c>
      <c r="C20" s="106">
        <f>IFERROR(VLOOKUP(B20,CCN_TABLE,2,FALSE()),"")</f>
        <v/>
      </c>
      <c r="D20" s="105">
        <f>IFERROR(VLOOKUP(B20,CCN_TABLE,3,FALSE()),"")</f>
        <v/>
      </c>
      <c r="E20" s="109" t="n">
        <v>0</v>
      </c>
      <c r="F20" s="109" t="n"/>
      <c r="G20" s="110" t="n">
        <v>1</v>
      </c>
      <c r="H20" s="102">
        <f>IFERROR(E20*F20*G20,0)</f>
        <v/>
      </c>
      <c r="I20" s="101" t="n"/>
      <c r="J20" s="106" t="inlineStr">
        <is>
          <t>Obstacle Course — case-by-case engineering analysis.</t>
        </is>
      </c>
    </row>
    <row r="24" ht="21.75" customHeight="1" s="69">
      <c r="B24" s="72" t="inlineStr">
        <is>
          <t>Vehicle Sub-Schedule (drives 143 11 Garage SF and 143 12 Laydown SY)</t>
        </is>
      </c>
    </row>
    <row r="25" ht="27.75" customHeight="1" s="69">
      <c r="B25" s="100" t="inlineStr">
        <is>
          <t>Type</t>
        </is>
      </c>
      <c r="C25" s="100" t="inlineStr">
        <is>
          <t>Description</t>
        </is>
      </c>
      <c r="D25" s="100" t="inlineStr">
        <is>
          <t># Vehicles</t>
        </is>
      </c>
      <c r="E25" s="100" t="inlineStr">
        <is>
          <t>Garage NSF/EA</t>
        </is>
      </c>
      <c r="F25" s="100" t="inlineStr">
        <is>
          <t>Laydown GSY/EA</t>
        </is>
      </c>
      <c r="G25" s="100" t="inlineStr">
        <is>
          <t>Garage NSF</t>
        </is>
      </c>
      <c r="H25" s="100" t="inlineStr">
        <is>
          <t>Laydown GSY</t>
        </is>
      </c>
    </row>
    <row r="26" ht="15" customHeight="1" s="69">
      <c r="B26" s="111" t="inlineStr">
        <is>
          <t>A</t>
        </is>
      </c>
      <c r="C26" s="112" t="inlineStr">
        <is>
          <t>Sedan / light truck</t>
        </is>
      </c>
      <c r="D26" s="101" t="n">
        <v>0</v>
      </c>
      <c r="E26" s="113" t="n">
        <v>108</v>
      </c>
      <c r="F26" s="113" t="n">
        <v>19</v>
      </c>
      <c r="G26" s="102">
        <f>D26*E26</f>
        <v/>
      </c>
      <c r="H26" s="102">
        <f>D26*F26</f>
        <v/>
      </c>
    </row>
    <row r="27" ht="15" customHeight="1" s="69">
      <c r="B27" s="111" t="inlineStr">
        <is>
          <t>B</t>
        </is>
      </c>
      <c r="C27" s="112" t="inlineStr">
        <is>
          <t>Pickup / 4-pass van</t>
        </is>
      </c>
      <c r="D27" s="101" t="n">
        <v>0</v>
      </c>
      <c r="E27" s="113" t="n">
        <v>180</v>
      </c>
      <c r="F27" s="113" t="n">
        <v>29</v>
      </c>
      <c r="G27" s="102">
        <f>D27*E27</f>
        <v/>
      </c>
      <c r="H27" s="102">
        <f>D27*F27</f>
        <v/>
      </c>
    </row>
    <row r="28" ht="15" customHeight="1" s="69">
      <c r="B28" s="111" t="inlineStr">
        <is>
          <t>C</t>
        </is>
      </c>
      <c r="C28" s="112" t="inlineStr">
        <is>
          <t>Cargo / shop van / 7-ton</t>
        </is>
      </c>
      <c r="D28" s="101" t="n">
        <v>0</v>
      </c>
      <c r="E28" s="113" t="n">
        <v>288</v>
      </c>
      <c r="F28" s="113" t="n">
        <v>42</v>
      </c>
      <c r="G28" s="102">
        <f>D28*E28</f>
        <v/>
      </c>
      <c r="H28" s="102">
        <f>D28*F28</f>
        <v/>
      </c>
    </row>
    <row r="29" ht="15" customHeight="1" s="69">
      <c r="B29" s="111" t="inlineStr">
        <is>
          <t>D</t>
        </is>
      </c>
      <c r="C29" s="112" t="inlineStr">
        <is>
          <t>Bus / box truck</t>
        </is>
      </c>
      <c r="D29" s="101" t="n">
        <v>0</v>
      </c>
      <c r="E29" s="113" t="n">
        <v>420</v>
      </c>
      <c r="F29" s="113" t="n">
        <v>57</v>
      </c>
      <c r="G29" s="102">
        <f>D29*E29</f>
        <v/>
      </c>
      <c r="H29" s="102">
        <f>D29*F29</f>
        <v/>
      </c>
    </row>
    <row r="30" ht="15" customHeight="1" s="69">
      <c r="B30" s="111" t="inlineStr">
        <is>
          <t>E</t>
        </is>
      </c>
      <c r="C30" s="112" t="inlineStr">
        <is>
          <t>Tractor + trailer / wrecker</t>
        </is>
      </c>
      <c r="D30" s="101" t="n">
        <v>0</v>
      </c>
      <c r="E30" s="113" t="n">
        <v>588</v>
      </c>
      <c r="F30" s="113" t="n">
        <v>71</v>
      </c>
      <c r="G30" s="102">
        <f>D30*E30</f>
        <v/>
      </c>
      <c r="H30" s="102">
        <f>D30*F30</f>
        <v/>
      </c>
    </row>
    <row r="31" ht="15" customHeight="1" s="69">
      <c r="B31" s="111" t="inlineStr">
        <is>
          <t>F</t>
        </is>
      </c>
      <c r="C31" s="112" t="inlineStr">
        <is>
          <t>HEMTT / heavy wrecker</t>
        </is>
      </c>
      <c r="D31" s="101" t="n">
        <v>0</v>
      </c>
      <c r="E31" s="113" t="n">
        <v>720</v>
      </c>
      <c r="F31" s="113" t="n">
        <v>85</v>
      </c>
      <c r="G31" s="102">
        <f>D31*E31</f>
        <v/>
      </c>
      <c r="H31" s="102">
        <f>D31*F31</f>
        <v/>
      </c>
    </row>
    <row r="32" ht="15" customHeight="1" s="69">
      <c r="B32" s="111" t="inlineStr">
        <is>
          <t>G</t>
        </is>
      </c>
      <c r="C32" s="112" t="inlineStr">
        <is>
          <t>Oversize / specialty</t>
        </is>
      </c>
      <c r="D32" s="101" t="n">
        <v>0</v>
      </c>
      <c r="E32" s="113" t="n">
        <v>888</v>
      </c>
      <c r="F32" s="113" t="n">
        <v>99</v>
      </c>
      <c r="G32" s="102">
        <f>D32*E32</f>
        <v/>
      </c>
      <c r="H32" s="102">
        <f>D32*F32</f>
        <v/>
      </c>
    </row>
    <row r="33" ht="15" customHeight="1" s="69">
      <c r="B33" s="107" t="inlineStr">
        <is>
          <t>TOTAL</t>
        </is>
      </c>
      <c r="C33" s="75" t="n"/>
      <c r="D33" s="96" t="n"/>
      <c r="E33" s="114" t="inlineStr">
        <is>
          <t>+ 250 SF mech room (143 11)</t>
        </is>
      </c>
      <c r="G33" s="93">
        <f>IF(SUM(G26:G32)=0,0,SUM(G26:G32)+250)</f>
        <v/>
      </c>
      <c r="H33" s="93">
        <f>SUM(H26:H32)</f>
        <v/>
      </c>
    </row>
  </sheetData>
  <mergeCells count="6">
    <mergeCell ref="B33:D33"/>
    <mergeCell ref="B3:J3"/>
    <mergeCell ref="B5:J5"/>
    <mergeCell ref="E33:F33"/>
    <mergeCell ref="B24:J24"/>
    <mergeCell ref="B2:J2"/>
  </mergeCells>
  <conditionalFormatting sqref="F7:F20">
    <cfRule type="cellIs" rank="0" priority="2" equalAverage="0" operator="equal" aboveAverage="0" dxfId="0" text="" percent="0" bottom="0">
      <formula>""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B2:J2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baseColWidth="8" defaultColWidth="8.6796875" defaultRowHeight="15" customHeight="1" zeroHeight="0" outlineLevelRow="0"/>
  <cols>
    <col width="3" customWidth="1" style="68" min="1" max="2"/>
    <col width="10" customWidth="1" style="68" min="3" max="3"/>
    <col width="36" customWidth="1" style="68" min="4" max="4"/>
    <col width="8" customWidth="1" style="68" min="5" max="5"/>
    <col width="14" customWidth="1" style="68" min="6" max="9"/>
    <col width="40" customWidth="1" style="68" min="10" max="10"/>
  </cols>
  <sheetData>
    <row r="1" ht="7.5" customHeight="1" s="69"/>
    <row r="2" ht="30" customHeight="1" s="69">
      <c r="B2" s="70" t="inlineStr">
        <is>
          <t>Existing Inventory &amp; Deficit Analysis</t>
        </is>
      </c>
    </row>
    <row r="3" ht="18" customHeight="1" s="69">
      <c r="B3" s="71" t="inlineStr">
        <is>
          <t>Compare iNFADS / RPI assets against the calculated BFR. Surplus (+) / Deficit (-).</t>
        </is>
      </c>
    </row>
    <row r="5" ht="21.75" customHeight="1" s="69">
      <c r="B5" s="72" t="inlineStr">
        <is>
          <t>Inventory by CCN</t>
        </is>
      </c>
    </row>
    <row r="6" ht="27.75" customHeight="1" s="69">
      <c r="B6" s="107" t="inlineStr">
        <is>
          <t>CCN</t>
        </is>
      </c>
      <c r="C6" s="107" t="inlineStr">
        <is>
          <t>Facility Name</t>
        </is>
      </c>
      <c r="D6" s="107" t="inlineStr">
        <is>
          <t>UM</t>
        </is>
      </c>
      <c r="E6" s="107" t="inlineStr">
        <is>
          <t>Required</t>
        </is>
      </c>
      <c r="F6" s="107" t="inlineStr">
        <is>
          <t>Existing (iNFADS)</t>
        </is>
      </c>
      <c r="G6" s="107" t="inlineStr">
        <is>
          <t>Adequate</t>
        </is>
      </c>
      <c r="H6" s="107" t="inlineStr">
        <is>
          <t>Inadequate</t>
        </is>
      </c>
      <c r="I6" s="107" t="inlineStr">
        <is>
          <t>Deficit (-) / Surplus (+)</t>
        </is>
      </c>
      <c r="J6" s="107" t="inlineStr">
        <is>
          <t>Recommended Action</t>
        </is>
      </c>
    </row>
    <row r="7" ht="21.75" customHeight="1" s="69">
      <c r="B7" s="108" t="inlineStr">
        <is>
          <t>143 10</t>
        </is>
      </c>
      <c r="C7" s="106">
        <f>IFERROR(VLOOKUP(B7,CCN_TABLE,2,FALSE()),"")</f>
        <v/>
      </c>
      <c r="D7" s="105">
        <f>IFERROR(VLOOKUP(B7,CCN_TABLE,3,FALSE()),"")</f>
        <v/>
      </c>
      <c r="E7" s="102">
        <f>IF(BFR_Calculator!I7="",BFR_Calculator!H7,BFR_Calculator!I7)</f>
        <v/>
      </c>
      <c r="F7" s="102">
        <f>G7+H7</f>
        <v/>
      </c>
      <c r="G7" s="101" t="n">
        <v>0</v>
      </c>
      <c r="H7" s="101" t="n">
        <v>0</v>
      </c>
      <c r="I7" s="115">
        <f>G7-E7</f>
        <v/>
      </c>
      <c r="J7" s="106">
        <f>IF(I7&lt;0,"NEW or RENOVATE — deficit of "&amp;TEXT(ABS(I7),"#,##0")&amp;" "&amp;D7,IF(H7&gt;0,"REHAB — inadequate assets exist","NO ACTION — adequate"))</f>
        <v/>
      </c>
    </row>
    <row r="8" ht="21.75" customHeight="1" s="69">
      <c r="B8" s="108" t="inlineStr">
        <is>
          <t>143 11</t>
        </is>
      </c>
      <c r="C8" s="106">
        <f>IFERROR(VLOOKUP(B8,CCN_TABLE,2,FALSE()),"")</f>
        <v/>
      </c>
      <c r="D8" s="105">
        <f>IFERROR(VLOOKUP(B8,CCN_TABLE,3,FALSE()),"")</f>
        <v/>
      </c>
      <c r="E8" s="102">
        <f>IF(BFR_Calculator!I8="",BFR_Calculator!H8,BFR_Calculator!I8)</f>
        <v/>
      </c>
      <c r="F8" s="102">
        <f>G8+H8</f>
        <v/>
      </c>
      <c r="G8" s="101" t="n">
        <v>0</v>
      </c>
      <c r="H8" s="101" t="n">
        <v>0</v>
      </c>
      <c r="I8" s="115">
        <f>G8-E8</f>
        <v/>
      </c>
      <c r="J8" s="106">
        <f>IF(I8&lt;0,"NEW or RENOVATE — deficit of "&amp;TEXT(ABS(I8),"#,##0")&amp;" "&amp;D8,IF(H8&gt;0,"REHAB — inadequate assets exist","NO ACTION — adequate"))</f>
        <v/>
      </c>
    </row>
    <row r="9" ht="21.75" customHeight="1" s="69">
      <c r="B9" s="108" t="inlineStr">
        <is>
          <t>143 12</t>
        </is>
      </c>
      <c r="C9" s="106">
        <f>IFERROR(VLOOKUP(B9,CCN_TABLE,2,FALSE()),"")</f>
        <v/>
      </c>
      <c r="D9" s="105">
        <f>IFERROR(VLOOKUP(B9,CCN_TABLE,3,FALSE()),"")</f>
        <v/>
      </c>
      <c r="E9" s="102">
        <f>IF(BFR_Calculator!I9="",BFR_Calculator!H9,BFR_Calculator!I9)</f>
        <v/>
      </c>
      <c r="F9" s="102">
        <f>G9+H9</f>
        <v/>
      </c>
      <c r="G9" s="101" t="n">
        <v>0</v>
      </c>
      <c r="H9" s="101" t="n">
        <v>0</v>
      </c>
      <c r="I9" s="115">
        <f>G9-E9</f>
        <v/>
      </c>
      <c r="J9" s="106">
        <f>IF(I9&lt;0,"NEW or RENOVATE — deficit of "&amp;TEXT(ABS(I9),"#,##0")&amp;" "&amp;D9,IF(H9&gt;0,"REHAB — inadequate assets exist","NO ACTION — adequate"))</f>
        <v/>
      </c>
    </row>
    <row r="10" ht="21.75" customHeight="1" s="69">
      <c r="B10" s="108" t="inlineStr">
        <is>
          <t>143 24</t>
        </is>
      </c>
      <c r="C10" s="106">
        <f>IFERROR(VLOOKUP(B10,CCN_TABLE,2,FALSE()),"")</f>
        <v/>
      </c>
      <c r="D10" s="105">
        <f>IFERROR(VLOOKUP(B10,CCN_TABLE,3,FALSE()),"")</f>
        <v/>
      </c>
      <c r="E10" s="102">
        <f>IF(BFR_Calculator!I10="",BFR_Calculator!H10,BFR_Calculator!I10)</f>
        <v/>
      </c>
      <c r="F10" s="102">
        <f>G10+H10</f>
        <v/>
      </c>
      <c r="G10" s="101" t="n">
        <v>0</v>
      </c>
      <c r="H10" s="101" t="n">
        <v>0</v>
      </c>
      <c r="I10" s="115">
        <f>G10-E10</f>
        <v/>
      </c>
      <c r="J10" s="106">
        <f>IF(I10&lt;0,"NEW or RENOVATE — deficit of "&amp;TEXT(ABS(I10),"#,##0")&amp;" "&amp;D10,IF(H10&gt;0,"REHAB — inadequate assets exist","NO ACTION — adequate"))</f>
        <v/>
      </c>
    </row>
    <row r="11" ht="21.75" customHeight="1" s="69">
      <c r="B11" s="108" t="inlineStr">
        <is>
          <t>143 45</t>
        </is>
      </c>
      <c r="C11" s="106">
        <f>IFERROR(VLOOKUP(B11,CCN_TABLE,2,FALSE()),"")</f>
        <v/>
      </c>
      <c r="D11" s="105">
        <f>IFERROR(VLOOKUP(B11,CCN_TABLE,3,FALSE()),"")</f>
        <v/>
      </c>
      <c r="E11" s="102">
        <f>IF(BFR_Calculator!I11="",BFR_Calculator!H11,BFR_Calculator!I11)</f>
        <v/>
      </c>
      <c r="F11" s="102">
        <f>G11+H11</f>
        <v/>
      </c>
      <c r="G11" s="101" t="n">
        <v>0</v>
      </c>
      <c r="H11" s="101" t="n">
        <v>0</v>
      </c>
      <c r="I11" s="115">
        <f>G11-E11</f>
        <v/>
      </c>
      <c r="J11" s="106">
        <f>IF(I11&lt;0,"NEW or RENOVATE — deficit of "&amp;TEXT(ABS(I11),"#,##0")&amp;" "&amp;D11,IF(H11&gt;0,"REHAB — inadequate assets exist","NO ACTION — adequate"))</f>
        <v/>
      </c>
    </row>
    <row r="12" ht="21.75" customHeight="1" s="69">
      <c r="B12" s="108" t="inlineStr">
        <is>
          <t>143 46</t>
        </is>
      </c>
      <c r="C12" s="106">
        <f>IFERROR(VLOOKUP(B12,CCN_TABLE,2,FALSE()),"")</f>
        <v/>
      </c>
      <c r="D12" s="105">
        <f>IFERROR(VLOOKUP(B12,CCN_TABLE,3,FALSE()),"")</f>
        <v/>
      </c>
      <c r="E12" s="102">
        <f>IF(BFR_Calculator!I12="",BFR_Calculator!H12,BFR_Calculator!I12)</f>
        <v/>
      </c>
      <c r="F12" s="102">
        <f>G12+H12</f>
        <v/>
      </c>
      <c r="G12" s="101" t="n">
        <v>0</v>
      </c>
      <c r="H12" s="101" t="n">
        <v>0</v>
      </c>
      <c r="I12" s="115">
        <f>G12-E12</f>
        <v/>
      </c>
      <c r="J12" s="106">
        <f>IF(I12&lt;0,"NEW or RENOVATE — deficit of "&amp;TEXT(ABS(I12),"#,##0")&amp;" "&amp;D12,IF(H12&gt;0,"REHAB — inadequate assets exist","NO ACTION — adequate"))</f>
        <v/>
      </c>
    </row>
    <row r="13" ht="21.75" customHeight="1" s="69">
      <c r="B13" s="108" t="inlineStr">
        <is>
          <t>171 10</t>
        </is>
      </c>
      <c r="C13" s="106">
        <f>IFERROR(VLOOKUP(B13,CCN_TABLE,2,FALSE()),"")</f>
        <v/>
      </c>
      <c r="D13" s="105">
        <f>IFERROR(VLOOKUP(B13,CCN_TABLE,3,FALSE()),"")</f>
        <v/>
      </c>
      <c r="E13" s="102">
        <f>IF(BFR_Calculator!I13="",BFR_Calculator!H13,BFR_Calculator!I13)</f>
        <v/>
      </c>
      <c r="F13" s="102">
        <f>G13+H13</f>
        <v/>
      </c>
      <c r="G13" s="101" t="n">
        <v>0</v>
      </c>
      <c r="H13" s="101" t="n">
        <v>0</v>
      </c>
      <c r="I13" s="115">
        <f>G13-E13</f>
        <v/>
      </c>
      <c r="J13" s="106">
        <f>IF(I13&lt;0,"NEW or RENOVATE — deficit of "&amp;TEXT(ABS(I13),"#,##0")&amp;" "&amp;D13,IF(H13&gt;0,"REHAB — inadequate assets exist","NO ACTION — adequate"))</f>
        <v/>
      </c>
    </row>
    <row r="14" ht="21.75" customHeight="1" s="69">
      <c r="B14" s="108" t="inlineStr">
        <is>
          <t>171 20</t>
        </is>
      </c>
      <c r="C14" s="106">
        <f>IFERROR(VLOOKUP(B14,CCN_TABLE,2,FALSE()),"")</f>
        <v/>
      </c>
      <c r="D14" s="105">
        <f>IFERROR(VLOOKUP(B14,CCN_TABLE,3,FALSE()),"")</f>
        <v/>
      </c>
      <c r="E14" s="102">
        <f>IF(BFR_Calculator!I14="",BFR_Calculator!H14,BFR_Calculator!I14)</f>
        <v/>
      </c>
      <c r="F14" s="102">
        <f>G14+H14</f>
        <v/>
      </c>
      <c r="G14" s="101" t="n">
        <v>0</v>
      </c>
      <c r="H14" s="101" t="n">
        <v>0</v>
      </c>
      <c r="I14" s="115">
        <f>G14-E14</f>
        <v/>
      </c>
      <c r="J14" s="106">
        <f>IF(I14&lt;0,"NEW or RENOVATE — deficit of "&amp;TEXT(ABS(I14),"#,##0")&amp;" "&amp;D14,IF(H14&gt;0,"REHAB — inadequate assets exist","NO ACTION — adequate"))</f>
        <v/>
      </c>
    </row>
    <row r="15" ht="21.75" customHeight="1" s="69">
      <c r="B15" s="108" t="inlineStr">
        <is>
          <t>171 50</t>
        </is>
      </c>
      <c r="C15" s="106">
        <f>IFERROR(VLOOKUP(B15,CCN_TABLE,2,FALSE()),"")</f>
        <v/>
      </c>
      <c r="D15" s="105">
        <f>IFERROR(VLOOKUP(B15,CCN_TABLE,3,FALSE()),"")</f>
        <v/>
      </c>
      <c r="E15" s="102">
        <f>IF(BFR_Calculator!I15="",BFR_Calculator!H15,BFR_Calculator!I15)</f>
        <v/>
      </c>
      <c r="F15" s="102">
        <f>G15+H15</f>
        <v/>
      </c>
      <c r="G15" s="101" t="n">
        <v>0</v>
      </c>
      <c r="H15" s="101" t="n">
        <v>0</v>
      </c>
      <c r="I15" s="115">
        <f>G15-E15</f>
        <v/>
      </c>
      <c r="J15" s="106">
        <f>IF(I15&lt;0,"NEW or RENOVATE — deficit of "&amp;TEXT(ABS(I15),"#,##0")&amp;" "&amp;D15,IF(H15&gt;0,"REHAB — inadequate assets exist","NO ACTION — adequate"))</f>
        <v/>
      </c>
    </row>
    <row r="16" ht="21.75" customHeight="1" s="69">
      <c r="B16" s="108" t="inlineStr">
        <is>
          <t>173 10</t>
        </is>
      </c>
      <c r="C16" s="106">
        <f>IFERROR(VLOOKUP(B16,CCN_TABLE,2,FALSE()),"")</f>
        <v/>
      </c>
      <c r="D16" s="105">
        <f>IFERROR(VLOOKUP(B16,CCN_TABLE,3,FALSE()),"")</f>
        <v/>
      </c>
      <c r="E16" s="102">
        <f>IF(BFR_Calculator!I16="",BFR_Calculator!H16,BFR_Calculator!I16)</f>
        <v/>
      </c>
      <c r="F16" s="102">
        <f>G16+H16</f>
        <v/>
      </c>
      <c r="G16" s="101" t="n">
        <v>0</v>
      </c>
      <c r="H16" s="101" t="n">
        <v>0</v>
      </c>
      <c r="I16" s="115">
        <f>G16-E16</f>
        <v/>
      </c>
      <c r="J16" s="106">
        <f>IF(I16&lt;0,"NEW or RENOVATE — deficit of "&amp;TEXT(ABS(I16),"#,##0")&amp;" "&amp;D16,IF(H16&gt;0,"REHAB — inadequate assets exist","NO ACTION — adequate"))</f>
        <v/>
      </c>
    </row>
    <row r="17" ht="21.75" customHeight="1" s="69">
      <c r="B17" s="108" t="inlineStr">
        <is>
          <t>173 11</t>
        </is>
      </c>
      <c r="C17" s="106">
        <f>IFERROR(VLOOKUP(B17,CCN_TABLE,2,FALSE()),"")</f>
        <v/>
      </c>
      <c r="D17" s="105">
        <f>IFERROR(VLOOKUP(B17,CCN_TABLE,3,FALSE()),"")</f>
        <v/>
      </c>
      <c r="E17" s="102">
        <f>IF(BFR_Calculator!I17="",BFR_Calculator!H17,BFR_Calculator!I17)</f>
        <v/>
      </c>
      <c r="F17" s="102">
        <f>G17+H17</f>
        <v/>
      </c>
      <c r="G17" s="101" t="n">
        <v>0</v>
      </c>
      <c r="H17" s="101" t="n">
        <v>0</v>
      </c>
      <c r="I17" s="115">
        <f>G17-E17</f>
        <v/>
      </c>
      <c r="J17" s="106">
        <f>IF(I17&lt;0,"NEW or RENOVATE — deficit of "&amp;TEXT(ABS(I17),"#,##0")&amp;" "&amp;D17,IF(H17&gt;0,"REHAB — inadequate assets exist","NO ACTION — adequate"))</f>
        <v/>
      </c>
    </row>
    <row r="18" ht="21.75" customHeight="1" s="69">
      <c r="B18" s="108" t="inlineStr">
        <is>
          <t>179 60</t>
        </is>
      </c>
      <c r="C18" s="106">
        <f>IFERROR(VLOOKUP(B18,CCN_TABLE,2,FALSE()),"")</f>
        <v/>
      </c>
      <c r="D18" s="105">
        <f>IFERROR(VLOOKUP(B18,CCN_TABLE,3,FALSE()),"")</f>
        <v/>
      </c>
      <c r="E18" s="102">
        <f>IF(BFR_Calculator!I18="",BFR_Calculator!H18,BFR_Calculator!I18)</f>
        <v/>
      </c>
      <c r="F18" s="102">
        <f>G18+H18</f>
        <v/>
      </c>
      <c r="G18" s="101" t="n">
        <v>0</v>
      </c>
      <c r="H18" s="101" t="n">
        <v>0</v>
      </c>
      <c r="I18" s="115">
        <f>G18-E18</f>
        <v/>
      </c>
      <c r="J18" s="106">
        <f>IF(I18&lt;0,"NEW or RENOVATE — deficit of "&amp;TEXT(ABS(I18),"#,##0")&amp;" "&amp;D18,IF(H18&gt;0,"REHAB — inadequate assets exist","NO ACTION — adequate"))</f>
        <v/>
      </c>
    </row>
    <row r="19" ht="21.75" customHeight="1" s="69">
      <c r="B19" s="108" t="inlineStr">
        <is>
          <t>179 91</t>
        </is>
      </c>
      <c r="C19" s="106">
        <f>IFERROR(VLOOKUP(B19,CCN_TABLE,2,FALSE()),"")</f>
        <v/>
      </c>
      <c r="D19" s="105">
        <f>IFERROR(VLOOKUP(B19,CCN_TABLE,3,FALSE()),"")</f>
        <v/>
      </c>
      <c r="E19" s="102">
        <f>IF(BFR_Calculator!I19="",BFR_Calculator!H19,BFR_Calculator!I19)</f>
        <v/>
      </c>
      <c r="F19" s="102">
        <f>G19+H19</f>
        <v/>
      </c>
      <c r="G19" s="101" t="n">
        <v>0</v>
      </c>
      <c r="H19" s="101" t="n">
        <v>0</v>
      </c>
      <c r="I19" s="115">
        <f>G19-E19</f>
        <v/>
      </c>
      <c r="J19" s="106">
        <f>IF(I19&lt;0,"NEW or RENOVATE — deficit of "&amp;TEXT(ABS(I19),"#,##0")&amp;" "&amp;D19,IF(H19&gt;0,"REHAB — inadequate assets exist","NO ACTION — adequate"))</f>
        <v/>
      </c>
    </row>
    <row r="20" ht="21.75" customHeight="1" s="69">
      <c r="B20" s="108" t="inlineStr">
        <is>
          <t>179 92</t>
        </is>
      </c>
      <c r="C20" s="106">
        <f>IFERROR(VLOOKUP(B20,CCN_TABLE,2,FALSE()),"")</f>
        <v/>
      </c>
      <c r="D20" s="105">
        <f>IFERROR(VLOOKUP(B20,CCN_TABLE,3,FALSE()),"")</f>
        <v/>
      </c>
      <c r="E20" s="102">
        <f>IF(BFR_Calculator!I20="",BFR_Calculator!H20,BFR_Calculator!I20)</f>
        <v/>
      </c>
      <c r="F20" s="102">
        <f>G20+H20</f>
        <v/>
      </c>
      <c r="G20" s="101" t="n">
        <v>0</v>
      </c>
      <c r="H20" s="101" t="n">
        <v>0</v>
      </c>
      <c r="I20" s="115">
        <f>G20-E20</f>
        <v/>
      </c>
      <c r="J20" s="106">
        <f>IF(I20&lt;0,"NEW or RENOVATE — deficit of "&amp;TEXT(ABS(I20),"#,##0")&amp;" "&amp;D20,IF(H20&gt;0,"REHAB — inadequate assets exist","NO ACTION — adequate"))</f>
        <v/>
      </c>
    </row>
  </sheetData>
  <mergeCells count="3">
    <mergeCell ref="B3:J3"/>
    <mergeCell ref="B5:J5"/>
    <mergeCell ref="B2:J2"/>
  </mergeCells>
  <conditionalFormatting sqref="I7:I20">
    <cfRule type="cellIs" rank="0" priority="2" equalAverage="0" operator="lessThan" aboveAverage="0" dxfId="0" text="" percent="0" bottom="0">
      <formula>0</formula>
    </cfRule>
    <cfRule type="cellIs" rank="0" priority="3" equalAverage="0" operator="greaterThan" aboveAverage="0" dxfId="2" text="" percent="0" bottom="0">
      <formula>0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B2:E2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baseColWidth="8" defaultColWidth="8.6796875" defaultRowHeight="15" customHeight="1" zeroHeight="0" outlineLevelRow="0"/>
  <cols>
    <col width="3" customWidth="1" style="68" min="1" max="2"/>
    <col width="40" customWidth="1" style="68" min="3" max="3"/>
    <col width="18" customWidth="1" style="68" min="4" max="4"/>
    <col width="50" customWidth="1" style="68" min="5" max="5"/>
  </cols>
  <sheetData>
    <row r="1" ht="7.5" customHeight="1" s="69"/>
    <row r="2" ht="30" customHeight="1" s="69">
      <c r="B2" s="70" t="inlineStr">
        <is>
          <t>Okinawa / MCIPAC Adjustments</t>
        </is>
      </c>
    </row>
    <row r="3" ht="18" customHeight="1" s="69">
      <c r="B3" s="71" t="inlineStr">
        <is>
          <t>Cost factors, ATFP, seismic/typhoon, and host-nation siting considerations.</t>
        </is>
      </c>
    </row>
    <row r="5" ht="21.75" customHeight="1" s="69">
      <c r="B5" s="72" t="inlineStr">
        <is>
          <t>MILCON Cost Adjustment Factors (UFS 3-701-01 Table 4-1 / PAX Newsletter 3.2.1)</t>
        </is>
      </c>
    </row>
    <row r="6" ht="41.25" customHeight="1" s="69">
      <c r="B6" s="100" t="inlineStr">
        <is>
          <t>Factor</t>
        </is>
      </c>
      <c r="C6" s="100" t="inlineStr">
        <is>
          <t>Value</t>
        </is>
      </c>
      <c r="D6" s="100" t="inlineStr">
        <is>
          <t>Notes</t>
        </is>
      </c>
    </row>
    <row r="7" ht="168.75" customHeight="1" s="69">
      <c r="B7" s="73" t="inlineStr">
        <is>
          <t>MILCON Area Cost Factor (Okinawa, Navy)</t>
        </is>
      </c>
      <c r="C7" s="116" t="n">
        <v>2.34</v>
      </c>
      <c r="D7" s="117" t="inlineStr">
        <is>
          <t>PAX Newsletter 3.2.1; updated annually. Applies to MILCON construction cost.</t>
        </is>
      </c>
      <c r="E7" s="96" t="n"/>
    </row>
    <row r="8" ht="168.75" customHeight="1" s="69">
      <c r="B8" s="73" t="inlineStr">
        <is>
          <t>Sustainment Area Cost Factor (Okinawa)</t>
        </is>
      </c>
      <c r="C8" s="116" t="n">
        <v>2.1</v>
      </c>
      <c r="D8" s="117" t="inlineStr">
        <is>
          <t>Sustainment ACF — used for SR per UFS 3-701-01 §3-3.</t>
        </is>
      </c>
      <c r="E8" s="96" t="n"/>
    </row>
    <row r="9" ht="124.5" customHeight="1" s="69">
      <c r="B9" s="73" t="inlineStr">
        <is>
          <t>Programmed Escalation Factor</t>
        </is>
      </c>
      <c r="C9" s="116" t="n">
        <v>1</v>
      </c>
      <c r="D9" s="117" t="inlineStr">
        <is>
          <t>Set per program FY (UFS 3-730-01 Table 2). Update each FY.</t>
        </is>
      </c>
      <c r="E9" s="96" t="n"/>
    </row>
    <row r="10" ht="79.5" customHeight="1" s="69">
      <c r="B10" s="73" t="inlineStr">
        <is>
          <t>Contingency Factor</t>
        </is>
      </c>
      <c r="C10" s="116" t="n">
        <v>1.05</v>
      </c>
      <c r="D10" s="117" t="inlineStr">
        <is>
          <t>OCONUS contingency (UFS 3-730-01).</t>
        </is>
      </c>
      <c r="E10" s="96" t="n"/>
    </row>
    <row r="11" ht="102" customHeight="1" s="69">
      <c r="B11" s="73" t="inlineStr">
        <is>
          <t>SIOH (OCONUS — Japan)</t>
        </is>
      </c>
      <c r="C11" s="116" t="n">
        <v>1.065</v>
      </c>
      <c r="D11" s="117" t="inlineStr">
        <is>
          <t>Supervision, Inspection &amp; Overhead.</t>
        </is>
      </c>
      <c r="E11" s="96" t="n"/>
    </row>
    <row r="12" ht="102" customHeight="1" s="69">
      <c r="B12" s="73" t="inlineStr">
        <is>
          <t>Planning &amp; Design Factor</t>
        </is>
      </c>
      <c r="C12" s="116" t="n">
        <v>1.09</v>
      </c>
      <c r="D12" s="117" t="inlineStr">
        <is>
          <t>1.09 standard / 1.13 medical (UFS 3-701-01 Eq 3-1).</t>
        </is>
      </c>
      <c r="E12" s="96" t="n"/>
    </row>
    <row r="13" ht="102" customHeight="1" s="69">
      <c r="B13" s="73" t="inlineStr">
        <is>
          <t>Historical / Cultural Factor</t>
        </is>
      </c>
      <c r="C13" s="116" t="n">
        <v>1</v>
      </c>
      <c r="D13" s="117" t="inlineStr">
        <is>
          <t>1.05 if historic district.</t>
        </is>
      </c>
      <c r="E13" s="96" t="n"/>
    </row>
    <row r="16" ht="21.75" customHeight="1" s="69">
      <c r="B16" s="72" t="inlineStr">
        <is>
          <t>ATFP / Seismic / Siting Checklist</t>
        </is>
      </c>
    </row>
    <row r="17" ht="41.25" customHeight="1" s="69">
      <c r="B17" s="100" t="inlineStr">
        <is>
          <t>Status</t>
        </is>
      </c>
      <c r="C17" s="100" t="inlineStr">
        <is>
          <t>Item</t>
        </is>
      </c>
      <c r="D17" s="100" t="inlineStr">
        <is>
          <t>Notes</t>
        </is>
      </c>
      <c r="E17" s="96" t="n"/>
    </row>
    <row r="18" ht="34.5" customHeight="1" s="69">
      <c r="B18" s="91" t="inlineStr">
        <is>
          <t>TBD</t>
        </is>
      </c>
      <c r="C18" s="106" t="inlineStr">
        <is>
          <t>UFC 4-010-01 minimum standoff distances met (controlled perimeter ≥18 ft; ≥12 ft within controlled perimeter).</t>
        </is>
      </c>
      <c r="D18" s="91" t="n"/>
      <c r="E18" s="96" t="n"/>
    </row>
    <row r="19" ht="23.25" customHeight="1" s="69">
      <c r="B19" s="91" t="inlineStr">
        <is>
          <t>TBD</t>
        </is>
      </c>
      <c r="C19" s="106" t="inlineStr">
        <is>
          <t>UFC 4-020-01 Design Basis Threat (DBT) and Level Of Protection (LOP) determined for the project.</t>
        </is>
      </c>
      <c r="D19" s="91" t="n"/>
      <c r="E19" s="96" t="n"/>
    </row>
    <row r="20" ht="23.25" customHeight="1" s="69">
      <c r="B20" s="91" t="inlineStr">
        <is>
          <t>TBD</t>
        </is>
      </c>
      <c r="C20" s="106" t="inlineStr">
        <is>
          <t>Mass notification system included (UFC 4-010-01 Standard 21).</t>
        </is>
      </c>
      <c r="D20" s="91" t="n"/>
      <c r="E20" s="96" t="n"/>
    </row>
    <row r="21" ht="23.25" customHeight="1" s="69">
      <c r="B21" s="91" t="inlineStr">
        <is>
          <t>TBD</t>
        </is>
      </c>
      <c r="C21" s="106" t="inlineStr">
        <is>
          <t>Progressive collapse mitigation per UFC 4-023-03.</t>
        </is>
      </c>
      <c r="D21" s="91" t="n"/>
      <c r="E21" s="96" t="n"/>
    </row>
    <row r="22" ht="34.5" customHeight="1" s="69">
      <c r="B22" s="91" t="inlineStr">
        <is>
          <t>TBD</t>
        </is>
      </c>
      <c r="C22" s="106" t="inlineStr">
        <is>
          <t>Seismic design: Japan-specific seismic premium applied (Okinawa is in a moderate seismic zone; coordinate w/ NAVFAC FEAD).</t>
        </is>
      </c>
      <c r="D22" s="91" t="n"/>
      <c r="E22" s="96" t="n"/>
    </row>
    <row r="23" ht="23.25" customHeight="1" s="69">
      <c r="B23" s="91" t="inlineStr">
        <is>
          <t>TBD</t>
        </is>
      </c>
      <c r="C23" s="106" t="inlineStr">
        <is>
          <t>Typhoon / wind loading per ASCE 7 + Okinawa supplements (Vult ≈ 170 mph for design).</t>
        </is>
      </c>
      <c r="D23" s="91" t="n"/>
      <c r="E23" s="96" t="n"/>
    </row>
    <row r="24" ht="23.25" customHeight="1" s="69">
      <c r="B24" s="91" t="inlineStr">
        <is>
          <t>TBD</t>
        </is>
      </c>
      <c r="C24" s="106" t="inlineStr">
        <is>
          <t>Host-nation FIP / Status of Forces Agreement coordination complete.</t>
        </is>
      </c>
      <c r="D24" s="91" t="n"/>
      <c r="E24" s="96" t="n"/>
    </row>
    <row r="25" ht="23.25" customHeight="1" s="69">
      <c r="B25" s="91" t="inlineStr">
        <is>
          <t>TBD</t>
        </is>
      </c>
      <c r="C25" s="106" t="inlineStr">
        <is>
          <t>Encroachment Control Plan (ECP) and IMP land-use checked (MCO 11000.12).</t>
        </is>
      </c>
      <c r="D25" s="91" t="n"/>
      <c r="E25" s="96" t="n"/>
    </row>
    <row r="26" ht="23.25" customHeight="1" s="69">
      <c r="B26" s="91" t="inlineStr">
        <is>
          <t>TBD</t>
        </is>
      </c>
      <c r="C26" s="106" t="inlineStr">
        <is>
          <t>Cultural / archaeological survey complete (NEPA + Japan PA).</t>
        </is>
      </c>
      <c r="D26" s="91" t="n"/>
      <c r="E26" s="96" t="n"/>
    </row>
    <row r="27" ht="23.25" customHeight="1" s="69">
      <c r="B27" s="91" t="inlineStr">
        <is>
          <t>TBD</t>
        </is>
      </c>
      <c r="C27" s="106" t="inlineStr">
        <is>
          <t>Sustainability — LEED Silver minimum / DoD Federal High-Performance Sustainable Buildings.</t>
        </is>
      </c>
      <c r="D27" s="91" t="n"/>
      <c r="E27" s="96" t="n"/>
    </row>
  </sheetData>
  <mergeCells count="22">
    <mergeCell ref="D20:E20"/>
    <mergeCell ref="D10:E10"/>
    <mergeCell ref="D19:E19"/>
    <mergeCell ref="D22:E22"/>
    <mergeCell ref="B5:E5"/>
    <mergeCell ref="D21:E21"/>
    <mergeCell ref="D11:E11"/>
    <mergeCell ref="D13:E13"/>
    <mergeCell ref="D27:E27"/>
    <mergeCell ref="B16:E16"/>
    <mergeCell ref="B3:E3"/>
    <mergeCell ref="D17:E17"/>
    <mergeCell ref="D7:E7"/>
    <mergeCell ref="B2:E2"/>
    <mergeCell ref="D18:E18"/>
    <mergeCell ref="D9:E9"/>
    <mergeCell ref="D12:E12"/>
    <mergeCell ref="D8:E8"/>
    <mergeCell ref="D25:E25"/>
    <mergeCell ref="D24:E24"/>
    <mergeCell ref="D23:E23"/>
    <mergeCell ref="D26:E26"/>
  </mergeCells>
  <dataValidations count="1">
    <dataValidation sqref="B18:B27" showDropDown="0" showInputMessage="0" showErrorMessage="0" allowBlank="1" type="list" errorStyle="stop" operator="between">
      <formula1>"Yes,No,N/A,TBD"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1"/>
  </sheetPr>
  <dimension ref="B2:J7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baseColWidth="8" defaultColWidth="8.6796875" defaultRowHeight="15" customHeight="1" zeroHeight="0" outlineLevelRow="0"/>
  <cols>
    <col width="3" customWidth="1" style="68" min="1" max="2"/>
    <col width="10" customWidth="1" style="68" min="3" max="3"/>
    <col width="36" customWidth="1" style="68" min="4" max="4"/>
    <col width="8" customWidth="1" style="68" min="5" max="5"/>
    <col width="12" customWidth="1" style="68" min="6" max="8"/>
    <col width="40" customWidth="1" style="68" min="9" max="9"/>
  </cols>
  <sheetData>
    <row r="1" ht="7.5" customHeight="1" s="69"/>
    <row r="2" ht="30" customHeight="1" s="69">
      <c r="B2" s="70" t="inlineStr">
        <is>
          <t>BFR Summary — Print-Ready</t>
        </is>
      </c>
    </row>
    <row r="3" ht="18" customHeight="1" s="69">
      <c r="B3" s="71" t="inlineStr">
        <is>
          <t>Generated from Personnel + BFR Calculator + Inventory inputs.</t>
        </is>
      </c>
    </row>
    <row r="5" ht="21.75" customHeight="1" s="69">
      <c r="B5" s="72" t="inlineStr">
        <is>
          <t>Project</t>
        </is>
      </c>
    </row>
    <row r="6" ht="57" customHeight="1" s="69">
      <c r="B6" s="73" t="inlineStr">
        <is>
          <t>Project Title</t>
        </is>
      </c>
      <c r="C6" s="118">
        <f>PROJ_TITLE</f>
        <v/>
      </c>
      <c r="D6" s="75" t="n"/>
      <c r="E6" s="75" t="n"/>
      <c r="F6" s="75" t="n"/>
      <c r="G6" s="75" t="n"/>
      <c r="H6" s="75" t="n"/>
      <c r="I6" s="75" t="n"/>
    </row>
    <row r="7" ht="45.75" customHeight="1" s="69">
      <c r="B7" s="73" t="inlineStr">
        <is>
          <t>Installation</t>
        </is>
      </c>
      <c r="C7" s="118">
        <f>INSTALLATION</f>
        <v/>
      </c>
      <c r="D7" s="75" t="n"/>
      <c r="E7" s="75" t="n"/>
      <c r="F7" s="75" t="n"/>
      <c r="G7" s="75" t="n"/>
      <c r="H7" s="75" t="n"/>
      <c r="I7" s="75" t="n"/>
    </row>
    <row r="8" ht="57" customHeight="1" s="69">
      <c r="B8" s="73" t="inlineStr">
        <is>
          <t>Building No.</t>
        </is>
      </c>
      <c r="C8" s="118">
        <f>BLDG_NO</f>
        <v/>
      </c>
      <c r="D8" s="75" t="n"/>
      <c r="E8" s="75" t="n"/>
      <c r="F8" s="75" t="n"/>
      <c r="G8" s="75" t="n"/>
      <c r="H8" s="75" t="n"/>
      <c r="I8" s="75" t="n"/>
    </row>
    <row r="9" ht="79.5" customHeight="1" s="69">
      <c r="B9" s="73" t="inlineStr">
        <is>
          <t>Region / Command</t>
        </is>
      </c>
      <c r="C9" s="118">
        <f>REGION</f>
        <v/>
      </c>
      <c r="D9" s="75" t="n"/>
      <c r="E9" s="75" t="n"/>
      <c r="F9" s="75" t="n"/>
      <c r="G9" s="75" t="n"/>
      <c r="H9" s="75" t="n"/>
      <c r="I9" s="75" t="n"/>
    </row>
    <row r="10" ht="57" customHeight="1" s="69">
      <c r="B10" s="73" t="inlineStr">
        <is>
          <t>Tenant Unit</t>
        </is>
      </c>
      <c r="C10" s="118">
        <f>TENANT_UNIT</f>
        <v/>
      </c>
      <c r="D10" s="75" t="n"/>
      <c r="E10" s="75" t="n"/>
      <c r="F10" s="75" t="n"/>
      <c r="G10" s="75" t="n"/>
      <c r="H10" s="75" t="n"/>
      <c r="I10" s="75" t="n"/>
    </row>
    <row r="11" ht="45.75" customHeight="1" s="69">
      <c r="B11" s="73" t="inlineStr">
        <is>
          <t>UIC / RUC</t>
        </is>
      </c>
      <c r="C11" s="118">
        <f>UIC</f>
        <v/>
      </c>
      <c r="D11" s="75" t="n"/>
      <c r="E11" s="75" t="n"/>
      <c r="F11" s="75" t="n"/>
      <c r="G11" s="75" t="n"/>
      <c r="H11" s="75" t="n"/>
      <c r="I11" s="75" t="n"/>
    </row>
    <row r="12" ht="34.5" customHeight="1" s="69">
      <c r="B12" s="73" t="inlineStr">
        <is>
          <t>Planner</t>
        </is>
      </c>
      <c r="C12" s="118">
        <f>PLANNER</f>
        <v/>
      </c>
      <c r="D12" s="75" t="n"/>
      <c r="E12" s="75" t="n"/>
      <c r="F12" s="75" t="n"/>
      <c r="G12" s="75" t="n"/>
      <c r="H12" s="75" t="n"/>
      <c r="I12" s="75" t="n"/>
    </row>
    <row r="13" ht="68.25" customHeight="1" s="69">
      <c r="B13" s="73" t="inlineStr">
        <is>
          <t>Date Prepared</t>
        </is>
      </c>
      <c r="C13" s="118">
        <f>PROJ_DATE</f>
        <v/>
      </c>
      <c r="D13" s="75" t="n"/>
      <c r="E13" s="75" t="n"/>
      <c r="F13" s="75" t="n"/>
      <c r="G13" s="75" t="n"/>
      <c r="H13" s="75" t="n"/>
      <c r="I13" s="75" t="n"/>
    </row>
    <row r="14" ht="45.75" customHeight="1" s="69">
      <c r="B14" s="73" t="inlineStr">
        <is>
          <t>Program FY</t>
        </is>
      </c>
      <c r="C14" s="118">
        <f>PROG_FY</f>
        <v/>
      </c>
      <c r="D14" s="75" t="n"/>
      <c r="E14" s="75" t="n"/>
      <c r="F14" s="75" t="n"/>
      <c r="G14" s="75" t="n"/>
      <c r="H14" s="75" t="n"/>
      <c r="I14" s="75" t="n"/>
    </row>
    <row r="15" ht="57" customHeight="1" s="69">
      <c r="B15" s="73" t="n"/>
      <c r="C15" s="118" t="n"/>
      <c r="D15" s="75" t="n"/>
      <c r="E15" s="75" t="n"/>
      <c r="F15" s="75" t="n"/>
      <c r="G15" s="75" t="n"/>
      <c r="H15" s="75" t="n"/>
      <c r="I15" s="75" t="n"/>
    </row>
    <row r="17" ht="21.75" customHeight="1" s="69">
      <c r="B17" s="72" t="inlineStr">
        <is>
          <t>Personnel Loading Summary</t>
        </is>
      </c>
    </row>
    <row r="18" ht="90.75" customHeight="1" s="69">
      <c r="B18" s="73" t="inlineStr">
        <is>
          <t>Total Personnel (PN)</t>
        </is>
      </c>
      <c r="C18" s="93">
        <f>PN_TOTAL</f>
        <v/>
      </c>
      <c r="D18" s="75" t="n"/>
      <c r="E18" s="96" t="n"/>
      <c r="F18" s="73" t="inlineStr">
        <is>
          <t>Officers</t>
        </is>
      </c>
      <c r="G18" s="93">
        <f>PN_OFF</f>
        <v/>
      </c>
      <c r="H18" s="75" t="n"/>
      <c r="I18" s="96" t="n"/>
    </row>
    <row r="19" ht="34.5" customHeight="1" s="69">
      <c r="B19" s="73" t="inlineStr">
        <is>
          <t>Enlisted</t>
        </is>
      </c>
      <c r="C19" s="93">
        <f>PN_ENL</f>
        <v/>
      </c>
      <c r="D19" s="75" t="n"/>
      <c r="E19" s="96" t="n"/>
      <c r="F19" s="73" t="inlineStr">
        <is>
          <t>Civilians</t>
        </is>
      </c>
      <c r="G19" s="93">
        <f>PN_CIV</f>
        <v/>
      </c>
      <c r="H19" s="75" t="n"/>
      <c r="I19" s="96" t="n"/>
    </row>
    <row r="20" ht="45.75" customHeight="1" s="69">
      <c r="B20" s="73" t="inlineStr">
        <is>
          <t>Contractors</t>
        </is>
      </c>
      <c r="C20" s="93">
        <f>PN_CTR</f>
        <v/>
      </c>
      <c r="D20" s="75" t="n"/>
      <c r="E20" s="96" t="n"/>
      <c r="F20" s="73" t="inlineStr">
        <is>
          <t>Military Strength</t>
        </is>
      </c>
      <c r="G20" s="93">
        <f>PN_MIL</f>
        <v/>
      </c>
      <c r="H20" s="75" t="n"/>
      <c r="I20" s="96" t="n"/>
    </row>
    <row r="23" ht="21.75" customHeight="1" s="69">
      <c r="B23" s="72" t="inlineStr">
        <is>
          <t>Requirements by CCN</t>
        </is>
      </c>
    </row>
    <row r="24" ht="27.75" customHeight="1" s="69">
      <c r="B24" s="107" t="inlineStr">
        <is>
          <t>CCN</t>
        </is>
      </c>
      <c r="C24" s="107" t="inlineStr">
        <is>
          <t>Facility Name</t>
        </is>
      </c>
      <c r="D24" s="107" t="inlineStr">
        <is>
          <t>UM</t>
        </is>
      </c>
      <c r="E24" s="107" t="inlineStr">
        <is>
          <t>Required</t>
        </is>
      </c>
      <c r="F24" s="107" t="inlineStr">
        <is>
          <t>Existing</t>
        </is>
      </c>
      <c r="G24" s="107" t="inlineStr">
        <is>
          <t>Deficit</t>
        </is>
      </c>
      <c r="H24" s="107" t="inlineStr">
        <is>
          <t>Action</t>
        </is>
      </c>
      <c r="I24" s="107" t="inlineStr">
        <is>
          <t>Justification</t>
        </is>
      </c>
    </row>
    <row r="25" ht="24" customHeight="1" s="69">
      <c r="B25" s="108" t="inlineStr">
        <is>
          <t>143 10</t>
        </is>
      </c>
      <c r="C25" s="106">
        <f>IFERROR(VLOOKUP(B25,CCN_TABLE,2,FALSE()),"")</f>
        <v/>
      </c>
      <c r="D25" s="105">
        <f>IFERROR(VLOOKUP(B25,CCN_TABLE,3,FALSE()),"")</f>
        <v/>
      </c>
      <c r="E25" s="102">
        <f>Inventory!E7</f>
        <v/>
      </c>
      <c r="F25" s="102">
        <f>Inventory!F7</f>
        <v/>
      </c>
      <c r="G25" s="115">
        <f>Inventory!I7</f>
        <v/>
      </c>
      <c r="H25" s="106">
        <f>Inventory!J7</f>
        <v/>
      </c>
      <c r="I25" s="106">
        <f>BFR_Calculator!J7</f>
        <v/>
      </c>
    </row>
    <row r="26" ht="24" customHeight="1" s="69">
      <c r="B26" s="108" t="inlineStr">
        <is>
          <t>143 11</t>
        </is>
      </c>
      <c r="C26" s="106">
        <f>IFERROR(VLOOKUP(B26,CCN_TABLE,2,FALSE()),"")</f>
        <v/>
      </c>
      <c r="D26" s="105">
        <f>IFERROR(VLOOKUP(B26,CCN_TABLE,3,FALSE()),"")</f>
        <v/>
      </c>
      <c r="E26" s="102">
        <f>Inventory!E8</f>
        <v/>
      </c>
      <c r="F26" s="102">
        <f>Inventory!F8</f>
        <v/>
      </c>
      <c r="G26" s="115">
        <f>Inventory!I8</f>
        <v/>
      </c>
      <c r="H26" s="106">
        <f>Inventory!J8</f>
        <v/>
      </c>
      <c r="I26" s="106">
        <f>BFR_Calculator!J8</f>
        <v/>
      </c>
    </row>
    <row r="27" ht="24" customHeight="1" s="69">
      <c r="B27" s="108" t="inlineStr">
        <is>
          <t>143 12</t>
        </is>
      </c>
      <c r="C27" s="106">
        <f>IFERROR(VLOOKUP(B27,CCN_TABLE,2,FALSE()),"")</f>
        <v/>
      </c>
      <c r="D27" s="105">
        <f>IFERROR(VLOOKUP(B27,CCN_TABLE,3,FALSE()),"")</f>
        <v/>
      </c>
      <c r="E27" s="102">
        <f>Inventory!E9</f>
        <v/>
      </c>
      <c r="F27" s="102">
        <f>Inventory!F9</f>
        <v/>
      </c>
      <c r="G27" s="115">
        <f>Inventory!I9</f>
        <v/>
      </c>
      <c r="H27" s="106">
        <f>Inventory!J9</f>
        <v/>
      </c>
      <c r="I27" s="106">
        <f>BFR_Calculator!J9</f>
        <v/>
      </c>
    </row>
    <row r="28" ht="24" customHeight="1" s="69">
      <c r="B28" s="108" t="inlineStr">
        <is>
          <t>143 24</t>
        </is>
      </c>
      <c r="C28" s="106">
        <f>IFERROR(VLOOKUP(B28,CCN_TABLE,2,FALSE()),"")</f>
        <v/>
      </c>
      <c r="D28" s="105">
        <f>IFERROR(VLOOKUP(B28,CCN_TABLE,3,FALSE()),"")</f>
        <v/>
      </c>
      <c r="E28" s="102">
        <f>Inventory!E10</f>
        <v/>
      </c>
      <c r="F28" s="102">
        <f>Inventory!F10</f>
        <v/>
      </c>
      <c r="G28" s="115">
        <f>Inventory!I10</f>
        <v/>
      </c>
      <c r="H28" s="106">
        <f>Inventory!J10</f>
        <v/>
      </c>
      <c r="I28" s="106">
        <f>BFR_Calculator!J10</f>
        <v/>
      </c>
    </row>
    <row r="29" ht="24" customHeight="1" s="69">
      <c r="B29" s="108" t="inlineStr">
        <is>
          <t>143 45</t>
        </is>
      </c>
      <c r="C29" s="106">
        <f>IFERROR(VLOOKUP(B29,CCN_TABLE,2,FALSE()),"")</f>
        <v/>
      </c>
      <c r="D29" s="105">
        <f>IFERROR(VLOOKUP(B29,CCN_TABLE,3,FALSE()),"")</f>
        <v/>
      </c>
      <c r="E29" s="102">
        <f>Inventory!E11</f>
        <v/>
      </c>
      <c r="F29" s="102">
        <f>Inventory!F11</f>
        <v/>
      </c>
      <c r="G29" s="115">
        <f>Inventory!I11</f>
        <v/>
      </c>
      <c r="H29" s="106">
        <f>Inventory!J11</f>
        <v/>
      </c>
      <c r="I29" s="106">
        <f>BFR_Calculator!J11</f>
        <v/>
      </c>
    </row>
    <row r="30" ht="24" customHeight="1" s="69">
      <c r="B30" s="108" t="inlineStr">
        <is>
          <t>143 46</t>
        </is>
      </c>
      <c r="C30" s="106">
        <f>IFERROR(VLOOKUP(B30,CCN_TABLE,2,FALSE()),"")</f>
        <v/>
      </c>
      <c r="D30" s="105">
        <f>IFERROR(VLOOKUP(B30,CCN_TABLE,3,FALSE()),"")</f>
        <v/>
      </c>
      <c r="E30" s="102">
        <f>Inventory!E12</f>
        <v/>
      </c>
      <c r="F30" s="102">
        <f>Inventory!F12</f>
        <v/>
      </c>
      <c r="G30" s="115">
        <f>Inventory!I12</f>
        <v/>
      </c>
      <c r="H30" s="106">
        <f>Inventory!J12</f>
        <v/>
      </c>
      <c r="I30" s="106">
        <f>BFR_Calculator!J12</f>
        <v/>
      </c>
    </row>
    <row r="31" ht="24" customHeight="1" s="69">
      <c r="B31" s="108" t="inlineStr">
        <is>
          <t>171 10</t>
        </is>
      </c>
      <c r="C31" s="106">
        <f>IFERROR(VLOOKUP(B31,CCN_TABLE,2,FALSE()),"")</f>
        <v/>
      </c>
      <c r="D31" s="105">
        <f>IFERROR(VLOOKUP(B31,CCN_TABLE,3,FALSE()),"")</f>
        <v/>
      </c>
      <c r="E31" s="102">
        <f>Inventory!E13</f>
        <v/>
      </c>
      <c r="F31" s="102">
        <f>Inventory!F13</f>
        <v/>
      </c>
      <c r="G31" s="115">
        <f>Inventory!I13</f>
        <v/>
      </c>
      <c r="H31" s="106">
        <f>Inventory!J13</f>
        <v/>
      </c>
      <c r="I31" s="106">
        <f>BFR_Calculator!J13</f>
        <v/>
      </c>
    </row>
    <row r="32" ht="24" customHeight="1" s="69">
      <c r="B32" s="108" t="inlineStr">
        <is>
          <t>171 20</t>
        </is>
      </c>
      <c r="C32" s="106">
        <f>IFERROR(VLOOKUP(B32,CCN_TABLE,2,FALSE()),"")</f>
        <v/>
      </c>
      <c r="D32" s="105">
        <f>IFERROR(VLOOKUP(B32,CCN_TABLE,3,FALSE()),"")</f>
        <v/>
      </c>
      <c r="E32" s="102">
        <f>Inventory!E14</f>
        <v/>
      </c>
      <c r="F32" s="102">
        <f>Inventory!F14</f>
        <v/>
      </c>
      <c r="G32" s="115">
        <f>Inventory!I14</f>
        <v/>
      </c>
      <c r="H32" s="106">
        <f>Inventory!J14</f>
        <v/>
      </c>
      <c r="I32" s="106">
        <f>BFR_Calculator!J14</f>
        <v/>
      </c>
    </row>
    <row r="33" ht="24" customHeight="1" s="69">
      <c r="B33" s="108" t="inlineStr">
        <is>
          <t>171 50</t>
        </is>
      </c>
      <c r="C33" s="106">
        <f>IFERROR(VLOOKUP(B33,CCN_TABLE,2,FALSE()),"")</f>
        <v/>
      </c>
      <c r="D33" s="105">
        <f>IFERROR(VLOOKUP(B33,CCN_TABLE,3,FALSE()),"")</f>
        <v/>
      </c>
      <c r="E33" s="102">
        <f>Inventory!E15</f>
        <v/>
      </c>
      <c r="F33" s="102">
        <f>Inventory!F15</f>
        <v/>
      </c>
      <c r="G33" s="115">
        <f>Inventory!I15</f>
        <v/>
      </c>
      <c r="H33" s="106">
        <f>Inventory!J15</f>
        <v/>
      </c>
      <c r="I33" s="106">
        <f>BFR_Calculator!J15</f>
        <v/>
      </c>
    </row>
    <row r="34" ht="24" customHeight="1" s="69">
      <c r="B34" s="108" t="inlineStr">
        <is>
          <t>173 10</t>
        </is>
      </c>
      <c r="C34" s="106">
        <f>IFERROR(VLOOKUP(B34,CCN_TABLE,2,FALSE()),"")</f>
        <v/>
      </c>
      <c r="D34" s="105">
        <f>IFERROR(VLOOKUP(B34,CCN_TABLE,3,FALSE()),"")</f>
        <v/>
      </c>
      <c r="E34" s="102">
        <f>Inventory!E16</f>
        <v/>
      </c>
      <c r="F34" s="102">
        <f>Inventory!F16</f>
        <v/>
      </c>
      <c r="G34" s="115">
        <f>Inventory!I16</f>
        <v/>
      </c>
      <c r="H34" s="106">
        <f>Inventory!J16</f>
        <v/>
      </c>
      <c r="I34" s="106">
        <f>BFR_Calculator!J16</f>
        <v/>
      </c>
    </row>
    <row r="35" ht="24" customHeight="1" s="69">
      <c r="B35" s="108" t="inlineStr">
        <is>
          <t>173 11</t>
        </is>
      </c>
      <c r="C35" s="106">
        <f>IFERROR(VLOOKUP(B35,CCN_TABLE,2,FALSE()),"")</f>
        <v/>
      </c>
      <c r="D35" s="105">
        <f>IFERROR(VLOOKUP(B35,CCN_TABLE,3,FALSE()),"")</f>
        <v/>
      </c>
      <c r="E35" s="102">
        <f>Inventory!E17</f>
        <v/>
      </c>
      <c r="F35" s="102">
        <f>Inventory!F17</f>
        <v/>
      </c>
      <c r="G35" s="115">
        <f>Inventory!I17</f>
        <v/>
      </c>
      <c r="H35" s="106">
        <f>Inventory!J17</f>
        <v/>
      </c>
      <c r="I35" s="106">
        <f>BFR_Calculator!J17</f>
        <v/>
      </c>
    </row>
    <row r="36" ht="24" customHeight="1" s="69">
      <c r="B36" s="108" t="inlineStr">
        <is>
          <t>179 60</t>
        </is>
      </c>
      <c r="C36" s="106">
        <f>IFERROR(VLOOKUP(B36,CCN_TABLE,2,FALSE()),"")</f>
        <v/>
      </c>
      <c r="D36" s="105">
        <f>IFERROR(VLOOKUP(B36,CCN_TABLE,3,FALSE()),"")</f>
        <v/>
      </c>
      <c r="E36" s="102">
        <f>Inventory!E18</f>
        <v/>
      </c>
      <c r="F36" s="102">
        <f>Inventory!F18</f>
        <v/>
      </c>
      <c r="G36" s="115">
        <f>Inventory!I18</f>
        <v/>
      </c>
      <c r="H36" s="106">
        <f>Inventory!J18</f>
        <v/>
      </c>
      <c r="I36" s="106">
        <f>BFR_Calculator!J18</f>
        <v/>
      </c>
    </row>
    <row r="37" ht="24" customHeight="1" s="69">
      <c r="B37" s="108" t="inlineStr">
        <is>
          <t>179 91</t>
        </is>
      </c>
      <c r="C37" s="106">
        <f>IFERROR(VLOOKUP(B37,CCN_TABLE,2,FALSE()),"")</f>
        <v/>
      </c>
      <c r="D37" s="105">
        <f>IFERROR(VLOOKUP(B37,CCN_TABLE,3,FALSE()),"")</f>
        <v/>
      </c>
      <c r="E37" s="102">
        <f>Inventory!E19</f>
        <v/>
      </c>
      <c r="F37" s="102">
        <f>Inventory!F19</f>
        <v/>
      </c>
      <c r="G37" s="115">
        <f>Inventory!I19</f>
        <v/>
      </c>
      <c r="H37" s="106">
        <f>Inventory!J19</f>
        <v/>
      </c>
      <c r="I37" s="106">
        <f>BFR_Calculator!J19</f>
        <v/>
      </c>
    </row>
    <row r="38" ht="24" customHeight="1" s="69">
      <c r="B38" s="108" t="inlineStr">
        <is>
          <t>179 92</t>
        </is>
      </c>
      <c r="C38" s="106">
        <f>IFERROR(VLOOKUP(B38,CCN_TABLE,2,FALSE()),"")</f>
        <v/>
      </c>
      <c r="D38" s="105">
        <f>IFERROR(VLOOKUP(B38,CCN_TABLE,3,FALSE()),"")</f>
        <v/>
      </c>
      <c r="E38" s="102">
        <f>Inventory!E20</f>
        <v/>
      </c>
      <c r="F38" s="102">
        <f>Inventory!F20</f>
        <v/>
      </c>
      <c r="G38" s="115">
        <f>Inventory!I20</f>
        <v/>
      </c>
      <c r="H38" s="106">
        <f>Inventory!J20</f>
        <v/>
      </c>
      <c r="I38" s="106">
        <f>BFR_Calculator!J20</f>
        <v/>
      </c>
    </row>
    <row r="41" ht="21.75" customHeight="1" s="69">
      <c r="B41" s="72" t="inlineStr">
        <is>
          <t>Cost Roll-up (Programming)</t>
        </is>
      </c>
    </row>
    <row r="42" ht="27.75" customHeight="1" s="69">
      <c r="B42" s="107" t="inlineStr">
        <is>
          <t>CCN</t>
        </is>
      </c>
      <c r="C42" s="107" t="inlineStr">
        <is>
          <t>Facility Name</t>
        </is>
      </c>
      <c r="D42" s="107" t="inlineStr">
        <is>
          <t>UM</t>
        </is>
      </c>
      <c r="E42" s="107" t="inlineStr">
        <is>
          <t>Required</t>
        </is>
      </c>
      <c r="F42" s="107" t="inlineStr">
        <is>
          <t>Unit Cost ($/UM)</t>
        </is>
      </c>
      <c r="G42" s="107" t="inlineStr">
        <is>
          <t>Bare Cost</t>
        </is>
      </c>
      <c r="H42" s="107" t="inlineStr">
        <is>
          <t>ACF</t>
        </is>
      </c>
      <c r="I42" s="107" t="inlineStr">
        <is>
          <t>SIOH</t>
        </is>
      </c>
      <c r="J42" s="107" t="inlineStr">
        <is>
          <t>Programmed Cost</t>
        </is>
      </c>
    </row>
    <row r="43" ht="21.75" customHeight="1" s="69">
      <c r="B43" s="108" t="inlineStr">
        <is>
          <t>143 10</t>
        </is>
      </c>
      <c r="C43" s="106">
        <f>IFERROR(VLOOKUP(B43,CCN_TABLE,2,FALSE()),"")</f>
        <v/>
      </c>
      <c r="D43" s="105">
        <f>IFERROR(VLOOKUP(B43,CCN_TABLE,3,FALSE()),"")</f>
        <v/>
      </c>
      <c r="E43" s="102">
        <f>MAX(Inventory!I7*-1,0)</f>
        <v/>
      </c>
      <c r="F43" s="119" t="n">
        <v>425</v>
      </c>
      <c r="G43" s="120">
        <f>E43*F43</f>
        <v/>
      </c>
      <c r="H43" s="121">
        <f>Okinawa_Navy_ACF</f>
        <v/>
      </c>
      <c r="I43" s="121">
        <f>SIOH</f>
        <v/>
      </c>
      <c r="J43" s="122">
        <f>G43*H43*I43*Contingency*Esc_Factor*PD_Factor*HF</f>
        <v/>
      </c>
    </row>
    <row r="44" ht="21.75" customHeight="1" s="69">
      <c r="B44" s="108" t="inlineStr">
        <is>
          <t>143 11</t>
        </is>
      </c>
      <c r="C44" s="106">
        <f>IFERROR(VLOOKUP(B44,CCN_TABLE,2,FALSE()),"")</f>
        <v/>
      </c>
      <c r="D44" s="105">
        <f>IFERROR(VLOOKUP(B44,CCN_TABLE,3,FALSE()),"")</f>
        <v/>
      </c>
      <c r="E44" s="102">
        <f>MAX(Inventory!I8*-1,0)</f>
        <v/>
      </c>
      <c r="F44" s="119" t="n">
        <v>425</v>
      </c>
      <c r="G44" s="120">
        <f>E44*F44</f>
        <v/>
      </c>
      <c r="H44" s="121">
        <f>Okinawa_Navy_ACF</f>
        <v/>
      </c>
      <c r="I44" s="121">
        <f>SIOH</f>
        <v/>
      </c>
      <c r="J44" s="122">
        <f>G44*H44*I44*Contingency*Esc_Factor*PD_Factor*HF</f>
        <v/>
      </c>
    </row>
    <row r="45" ht="21.75" customHeight="1" s="69">
      <c r="B45" s="108" t="inlineStr">
        <is>
          <t>143 12</t>
        </is>
      </c>
      <c r="C45" s="106">
        <f>IFERROR(VLOOKUP(B45,CCN_TABLE,2,FALSE()),"")</f>
        <v/>
      </c>
      <c r="D45" s="105">
        <f>IFERROR(VLOOKUP(B45,CCN_TABLE,3,FALSE()),"")</f>
        <v/>
      </c>
      <c r="E45" s="102">
        <f>MAX(Inventory!I9*-1,0)</f>
        <v/>
      </c>
      <c r="F45" s="119" t="n">
        <v>110</v>
      </c>
      <c r="G45" s="120">
        <f>E45*F45</f>
        <v/>
      </c>
      <c r="H45" s="121">
        <f>Okinawa_Navy_ACF</f>
        <v/>
      </c>
      <c r="I45" s="121">
        <f>SIOH</f>
        <v/>
      </c>
      <c r="J45" s="122">
        <f>G45*H45*I45*Contingency*Esc_Factor*PD_Factor*HF</f>
        <v/>
      </c>
    </row>
    <row r="46" ht="21.75" customHeight="1" s="69">
      <c r="B46" s="108" t="inlineStr">
        <is>
          <t>143 24</t>
        </is>
      </c>
      <c r="C46" s="106">
        <f>IFERROR(VLOOKUP(B46,CCN_TABLE,2,FALSE()),"")</f>
        <v/>
      </c>
      <c r="D46" s="105">
        <f>IFERROR(VLOOKUP(B46,CCN_TABLE,3,FALSE()),"")</f>
        <v/>
      </c>
      <c r="E46" s="102">
        <f>MAX(Inventory!I10*-1,0)</f>
        <v/>
      </c>
      <c r="F46" s="119" t="n">
        <v>525</v>
      </c>
      <c r="G46" s="120">
        <f>E46*F46</f>
        <v/>
      </c>
      <c r="H46" s="121">
        <f>Okinawa_Navy_ACF</f>
        <v/>
      </c>
      <c r="I46" s="121">
        <f>SIOH</f>
        <v/>
      </c>
      <c r="J46" s="122">
        <f>G46*H46*I46*Contingency*Esc_Factor*PD_Factor*HF</f>
        <v/>
      </c>
    </row>
    <row r="47" ht="21.75" customHeight="1" s="69">
      <c r="B47" s="108" t="inlineStr">
        <is>
          <t>143 45</t>
        </is>
      </c>
      <c r="C47" s="106">
        <f>IFERROR(VLOOKUP(B47,CCN_TABLE,2,FALSE()),"")</f>
        <v/>
      </c>
      <c r="D47" s="105">
        <f>IFERROR(VLOOKUP(B47,CCN_TABLE,3,FALSE()),"")</f>
        <v/>
      </c>
      <c r="E47" s="102">
        <f>MAX(Inventory!I11*-1,0)</f>
        <v/>
      </c>
      <c r="F47" s="119" t="n">
        <v>525</v>
      </c>
      <c r="G47" s="120">
        <f>E47*F47</f>
        <v/>
      </c>
      <c r="H47" s="121">
        <f>Okinawa_Navy_ACF</f>
        <v/>
      </c>
      <c r="I47" s="121">
        <f>SIOH</f>
        <v/>
      </c>
      <c r="J47" s="122">
        <f>G47*H47*I47*Contingency*Esc_Factor*PD_Factor*HF</f>
        <v/>
      </c>
    </row>
    <row r="48" ht="21.75" customHeight="1" s="69">
      <c r="B48" s="108" t="inlineStr">
        <is>
          <t>143 46</t>
        </is>
      </c>
      <c r="C48" s="106">
        <f>IFERROR(VLOOKUP(B48,CCN_TABLE,2,FALSE()),"")</f>
        <v/>
      </c>
      <c r="D48" s="105">
        <f>IFERROR(VLOOKUP(B48,CCN_TABLE,3,FALSE()),"")</f>
        <v/>
      </c>
      <c r="E48" s="102">
        <f>MAX(Inventory!I12*-1,0)</f>
        <v/>
      </c>
      <c r="F48" s="119" t="n">
        <v>380</v>
      </c>
      <c r="G48" s="120">
        <f>E48*F48</f>
        <v/>
      </c>
      <c r="H48" s="121">
        <f>Okinawa_Navy_ACF</f>
        <v/>
      </c>
      <c r="I48" s="121">
        <f>SIOH</f>
        <v/>
      </c>
      <c r="J48" s="122">
        <f>G48*H48*I48*Contingency*Esc_Factor*PD_Factor*HF</f>
        <v/>
      </c>
    </row>
    <row r="49" ht="21.75" customHeight="1" s="69">
      <c r="B49" s="108" t="inlineStr">
        <is>
          <t>171 10</t>
        </is>
      </c>
      <c r="C49" s="106">
        <f>IFERROR(VLOOKUP(B49,CCN_TABLE,2,FALSE()),"")</f>
        <v/>
      </c>
      <c r="D49" s="105">
        <f>IFERROR(VLOOKUP(B49,CCN_TABLE,3,FALSE()),"")</f>
        <v/>
      </c>
      <c r="E49" s="102">
        <f>MAX(Inventory!I13*-1,0)</f>
        <v/>
      </c>
      <c r="F49" s="119" t="n">
        <v>510</v>
      </c>
      <c r="G49" s="120">
        <f>E49*F49</f>
        <v/>
      </c>
      <c r="H49" s="121">
        <f>Okinawa_Navy_ACF</f>
        <v/>
      </c>
      <c r="I49" s="121">
        <f>SIOH</f>
        <v/>
      </c>
      <c r="J49" s="122">
        <f>G49*H49*I49*Contingency*Esc_Factor*PD_Factor*HF</f>
        <v/>
      </c>
    </row>
    <row r="50" ht="21.75" customHeight="1" s="69">
      <c r="B50" s="108" t="inlineStr">
        <is>
          <t>171 20</t>
        </is>
      </c>
      <c r="C50" s="106">
        <f>IFERROR(VLOOKUP(B50,CCN_TABLE,2,FALSE()),"")</f>
        <v/>
      </c>
      <c r="D50" s="105">
        <f>IFERROR(VLOOKUP(B50,CCN_TABLE,3,FALSE()),"")</f>
        <v/>
      </c>
      <c r="E50" s="102">
        <f>MAX(Inventory!I14*-1,0)</f>
        <v/>
      </c>
      <c r="F50" s="119" t="n">
        <v>525</v>
      </c>
      <c r="G50" s="120">
        <f>E50*F50</f>
        <v/>
      </c>
      <c r="H50" s="121">
        <f>Okinawa_Navy_ACF</f>
        <v/>
      </c>
      <c r="I50" s="121">
        <f>SIOH</f>
        <v/>
      </c>
      <c r="J50" s="122">
        <f>G50*H50*I50*Contingency*Esc_Factor*PD_Factor*HF</f>
        <v/>
      </c>
    </row>
    <row r="51" ht="21.75" customHeight="1" s="69">
      <c r="B51" s="108" t="inlineStr">
        <is>
          <t>171 50</t>
        </is>
      </c>
      <c r="C51" s="106">
        <f>IFERROR(VLOOKUP(B51,CCN_TABLE,2,FALSE()),"")</f>
        <v/>
      </c>
      <c r="D51" s="105">
        <f>IFERROR(VLOOKUP(B51,CCN_TABLE,3,FALSE()),"")</f>
        <v/>
      </c>
      <c r="E51" s="102">
        <f>MAX(Inventory!I15*-1,0)</f>
        <v/>
      </c>
      <c r="F51" s="119" t="n">
        <v>700</v>
      </c>
      <c r="G51" s="120">
        <f>E51*F51</f>
        <v/>
      </c>
      <c r="H51" s="121">
        <f>Okinawa_Navy_ACF</f>
        <v/>
      </c>
      <c r="I51" s="121">
        <f>SIOH</f>
        <v/>
      </c>
      <c r="J51" s="122">
        <f>G51*H51*I51*Contingency*Esc_Factor*PD_Factor*HF</f>
        <v/>
      </c>
    </row>
    <row r="52" ht="21.75" customHeight="1" s="69">
      <c r="B52" s="108" t="inlineStr">
        <is>
          <t>173 10</t>
        </is>
      </c>
      <c r="C52" s="106">
        <f>IFERROR(VLOOKUP(B52,CCN_TABLE,2,FALSE()),"")</f>
        <v/>
      </c>
      <c r="D52" s="105">
        <f>IFERROR(VLOOKUP(B52,CCN_TABLE,3,FALSE()),"")</f>
        <v/>
      </c>
      <c r="E52" s="102">
        <f>MAX(Inventory!I16*-1,0)</f>
        <v/>
      </c>
      <c r="F52" s="119" t="n">
        <v>425</v>
      </c>
      <c r="G52" s="120">
        <f>E52*F52</f>
        <v/>
      </c>
      <c r="H52" s="121">
        <f>Okinawa_Navy_ACF</f>
        <v/>
      </c>
      <c r="I52" s="121">
        <f>SIOH</f>
        <v/>
      </c>
      <c r="J52" s="122">
        <f>G52*H52*I52*Contingency*Esc_Factor*PD_Factor*HF</f>
        <v/>
      </c>
    </row>
    <row r="53" ht="21.75" customHeight="1" s="69">
      <c r="B53" s="108" t="inlineStr">
        <is>
          <t>173 11</t>
        </is>
      </c>
      <c r="C53" s="106">
        <f>IFERROR(VLOOKUP(B53,CCN_TABLE,2,FALSE()),"")</f>
        <v/>
      </c>
      <c r="D53" s="105">
        <f>IFERROR(VLOOKUP(B53,CCN_TABLE,3,FALSE()),"")</f>
        <v/>
      </c>
      <c r="E53" s="102">
        <f>MAX(Inventory!I17*-1,0)</f>
        <v/>
      </c>
      <c r="F53" s="119" t="n">
        <v>425</v>
      </c>
      <c r="G53" s="120">
        <f>E53*F53</f>
        <v/>
      </c>
      <c r="H53" s="121">
        <f>Okinawa_Navy_ACF</f>
        <v/>
      </c>
      <c r="I53" s="121">
        <f>SIOH</f>
        <v/>
      </c>
      <c r="J53" s="122">
        <f>G53*H53*I53*Contingency*Esc_Factor*PD_Factor*HF</f>
        <v/>
      </c>
    </row>
    <row r="54" ht="21.75" customHeight="1" s="69">
      <c r="B54" s="108" t="inlineStr">
        <is>
          <t>179 60</t>
        </is>
      </c>
      <c r="C54" s="106">
        <f>IFERROR(VLOOKUP(B54,CCN_TABLE,2,FALSE()),"")</f>
        <v/>
      </c>
      <c r="D54" s="105">
        <f>IFERROR(VLOOKUP(B54,CCN_TABLE,3,FALSE()),"")</f>
        <v/>
      </c>
      <c r="E54" s="102">
        <f>MAX(Inventory!I18*-1,0)</f>
        <v/>
      </c>
      <c r="F54" s="119" t="n">
        <v>5500</v>
      </c>
      <c r="G54" s="120">
        <f>E54*F54</f>
        <v/>
      </c>
      <c r="H54" s="121">
        <f>Okinawa_Navy_ACF</f>
        <v/>
      </c>
      <c r="I54" s="121">
        <f>SIOH</f>
        <v/>
      </c>
      <c r="J54" s="122">
        <f>G54*H54*I54*Contingency*Esc_Factor*PD_Factor*HF</f>
        <v/>
      </c>
    </row>
    <row r="55" ht="21.75" customHeight="1" s="69">
      <c r="B55" s="108" t="inlineStr">
        <is>
          <t>179 91</t>
        </is>
      </c>
      <c r="C55" s="106">
        <f>IFERROR(VLOOKUP(B55,CCN_TABLE,2,FALSE()),"")</f>
        <v/>
      </c>
      <c r="D55" s="105">
        <f>IFERROR(VLOOKUP(B55,CCN_TABLE,3,FALSE()),"")</f>
        <v/>
      </c>
      <c r="E55" s="102">
        <f>MAX(Inventory!I19*-1,0)</f>
        <v/>
      </c>
      <c r="F55" s="119" t="n">
        <v>250000</v>
      </c>
      <c r="G55" s="120">
        <f>E55*F55</f>
        <v/>
      </c>
      <c r="H55" s="121">
        <f>Okinawa_Navy_ACF</f>
        <v/>
      </c>
      <c r="I55" s="121">
        <f>SIOH</f>
        <v/>
      </c>
      <c r="J55" s="122">
        <f>G55*H55*I55*Contingency*Esc_Factor*PD_Factor*HF</f>
        <v/>
      </c>
    </row>
    <row r="56" ht="21.75" customHeight="1" s="69">
      <c r="B56" s="108" t="inlineStr">
        <is>
          <t>179 92</t>
        </is>
      </c>
      <c r="C56" s="106">
        <f>IFERROR(VLOOKUP(B56,CCN_TABLE,2,FALSE()),"")</f>
        <v/>
      </c>
      <c r="D56" s="105">
        <f>IFERROR(VLOOKUP(B56,CCN_TABLE,3,FALSE()),"")</f>
        <v/>
      </c>
      <c r="E56" s="102">
        <f>MAX(Inventory!I20*-1,0)</f>
        <v/>
      </c>
      <c r="F56" s="119" t="n">
        <v>175000</v>
      </c>
      <c r="G56" s="120">
        <f>E56*F56</f>
        <v/>
      </c>
      <c r="H56" s="121">
        <f>Okinawa_Navy_ACF</f>
        <v/>
      </c>
      <c r="I56" s="121">
        <f>SIOH</f>
        <v/>
      </c>
      <c r="J56" s="122">
        <f>G56*H56*I56*Contingency*Esc_Factor*PD_Factor*HF</f>
        <v/>
      </c>
    </row>
    <row r="57" ht="15" customHeight="1" s="69">
      <c r="B57" s="103" t="inlineStr">
        <is>
          <t>PROGRAM TOTAL</t>
        </is>
      </c>
      <c r="C57" s="75" t="n"/>
      <c r="D57" s="75" t="n"/>
      <c r="E57" s="75" t="n"/>
      <c r="F57" s="75" t="n"/>
      <c r="G57" s="75" t="n"/>
      <c r="H57" s="75" t="n"/>
      <c r="I57" s="96" t="n"/>
      <c r="J57" s="122">
        <f>SUM(J43:J56)</f>
        <v/>
      </c>
    </row>
    <row r="60" ht="21.75" customHeight="1" s="69">
      <c r="B60" s="72" t="inlineStr">
        <is>
          <t>Mission Justification &amp; Narrative</t>
        </is>
      </c>
    </row>
    <row r="61" ht="15" customHeight="1" s="69">
      <c r="B61" s="123">
        <f>("This Basic Facility Requirement supports "&amp;TENANT_UNIT&amp;" at "&amp;INSTALLATION&amp;" under MCIPAC. Total personnel loading is "&amp;TEXT(PN_TOTAL,"#,##0")&amp;" PN ("&amp;TEXT(PN_MIL,"#,##0")&amp;" military). Requirements are computed in accordance with FC 2-000-05N Series 100. Existing assets per iNFADS have been compared against the required allowance to identify deficits; programmed cost reflects the Okinawa MILCON Area Cost Factor of "&amp;TEXT(Okinawa_Navy_ACF,"0.00")&amp;" per UFS 3-701-01 Table 4-1. ATFP (UFC 4-010-01), seismic design (Okinawa moderate seismic / typhoon Vult ≈ 170 mph), and host-nation siting requirements have been reviewed in the Okinawa_Adj checklist.")</f>
        <v/>
      </c>
      <c r="C61" s="124" t="n"/>
      <c r="D61" s="124" t="n"/>
      <c r="E61" s="124" t="n"/>
      <c r="F61" s="124" t="n"/>
      <c r="G61" s="124" t="n"/>
      <c r="H61" s="124" t="n"/>
      <c r="I61" s="124" t="n"/>
    </row>
    <row r="62" ht="15" customHeight="1" s="69">
      <c r="B62" s="125" t="n"/>
    </row>
    <row r="63" ht="15" customHeight="1" s="69">
      <c r="B63" s="125" t="n"/>
    </row>
    <row r="64" ht="15" customHeight="1" s="69">
      <c r="B64" s="125" t="n"/>
    </row>
    <row r="65" ht="15" customHeight="1" s="69">
      <c r="B65" s="125" t="n"/>
    </row>
    <row r="66" ht="15" customHeight="1" s="69">
      <c r="B66" s="125" t="n"/>
    </row>
    <row r="67" ht="15" customHeight="1" s="69">
      <c r="B67" s="125" t="n"/>
    </row>
    <row r="68" ht="15" customHeight="1" s="69">
      <c r="B68" s="125" t="n"/>
    </row>
    <row r="70" ht="21.75" customHeight="1" s="69">
      <c r="B70" s="72" t="inlineStr">
        <is>
          <t>Endorsements</t>
        </is>
      </c>
    </row>
    <row r="71" ht="27.75" customHeight="1" s="69">
      <c r="B71" s="100" t="inlineStr">
        <is>
          <t>Role</t>
        </is>
      </c>
      <c r="C71" s="100" t="inlineStr">
        <is>
          <t>Name</t>
        </is>
      </c>
      <c r="D71" s="75" t="n"/>
      <c r="E71" s="96" t="n"/>
      <c r="F71" s="100" t="inlineStr">
        <is>
          <t>Signature</t>
        </is>
      </c>
      <c r="G71" s="75" t="n"/>
      <c r="H71" s="96" t="n"/>
      <c r="I71" s="100" t="inlineStr">
        <is>
          <t>Date</t>
        </is>
      </c>
    </row>
    <row r="72" ht="27.75" customHeight="1" s="69">
      <c r="B72" s="73" t="inlineStr">
        <is>
          <t>Tenant Unit CO / OIC</t>
        </is>
      </c>
      <c r="C72" s="91" t="n"/>
      <c r="D72" s="75" t="n"/>
      <c r="E72" s="96" t="n"/>
      <c r="F72" s="91" t="n"/>
      <c r="G72" s="75" t="n"/>
      <c r="H72" s="96" t="n"/>
      <c r="I72" s="91" t="n"/>
    </row>
    <row r="73" ht="27.75" customHeight="1" s="69">
      <c r="B73" s="73" t="inlineStr">
        <is>
          <t>MCIPAC G-F (Facilities)</t>
        </is>
      </c>
      <c r="C73" s="91" t="n"/>
      <c r="D73" s="75" t="n"/>
      <c r="E73" s="96" t="n"/>
      <c r="F73" s="91" t="n"/>
      <c r="G73" s="75" t="n"/>
      <c r="H73" s="96" t="n"/>
      <c r="I73" s="91" t="n"/>
    </row>
    <row r="74" ht="27.75" customHeight="1" s="69">
      <c r="B74" s="73" t="inlineStr">
        <is>
          <t>MCIPAC Region (Validation)</t>
        </is>
      </c>
      <c r="C74" s="91" t="n"/>
      <c r="D74" s="75" t="n"/>
      <c r="E74" s="96" t="n"/>
      <c r="F74" s="91" t="n"/>
      <c r="G74" s="75" t="n"/>
      <c r="H74" s="96" t="n"/>
      <c r="I74" s="91" t="n"/>
    </row>
    <row r="75" ht="27.75" customHeight="1" s="69">
      <c r="B75" s="73" t="inlineStr">
        <is>
          <t>ADC I&amp;L (LF) / COMMCICOM (Variance only)</t>
        </is>
      </c>
      <c r="C75" s="91" t="n"/>
      <c r="D75" s="75" t="n"/>
      <c r="E75" s="96" t="n"/>
      <c r="F75" s="91" t="n"/>
      <c r="G75" s="75" t="n"/>
      <c r="H75" s="96" t="n"/>
      <c r="I75" s="91" t="n"/>
    </row>
  </sheetData>
  <mergeCells count="36">
    <mergeCell ref="C20:E20"/>
    <mergeCell ref="G19:I19"/>
    <mergeCell ref="C75:E75"/>
    <mergeCell ref="C8:I8"/>
    <mergeCell ref="B3:I3"/>
    <mergeCell ref="G18:I18"/>
    <mergeCell ref="F75:H75"/>
    <mergeCell ref="C7:I7"/>
    <mergeCell ref="B61:I68"/>
    <mergeCell ref="B70:I70"/>
    <mergeCell ref="C13:I13"/>
    <mergeCell ref="F72:H72"/>
    <mergeCell ref="C71:E71"/>
    <mergeCell ref="B2:I2"/>
    <mergeCell ref="F71:H71"/>
    <mergeCell ref="C6:I6"/>
    <mergeCell ref="G20:I20"/>
    <mergeCell ref="B60:I60"/>
    <mergeCell ref="C15:I15"/>
    <mergeCell ref="B23:I23"/>
    <mergeCell ref="B57:I57"/>
    <mergeCell ref="B17:I17"/>
    <mergeCell ref="C14:I14"/>
    <mergeCell ref="C72:E72"/>
    <mergeCell ref="C19:E19"/>
    <mergeCell ref="C18:E18"/>
    <mergeCell ref="F73:H73"/>
    <mergeCell ref="C10:I10"/>
    <mergeCell ref="C9:I9"/>
    <mergeCell ref="C74:E74"/>
    <mergeCell ref="C73:E73"/>
    <mergeCell ref="C12:I12"/>
    <mergeCell ref="B5:I5"/>
    <mergeCell ref="F74:H74"/>
    <mergeCell ref="B41:I41"/>
    <mergeCell ref="C11:I11"/>
  </mergeCells>
  <printOptions horizontalCentered="1" verticalCentered="0" headings="0" gridLines="0" gridLinesSet="1"/>
  <pageMargins left="0.75" right="0.75" top="1" bottom="1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B2:I3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baseColWidth="8" defaultColWidth="8.6796875" defaultRowHeight="15" customHeight="1" zeroHeight="0" outlineLevelRow="0"/>
  <cols>
    <col width="3" customWidth="1" style="68" min="1" max="2"/>
    <col width="10" customWidth="1" style="68" min="3" max="3"/>
    <col width="42" customWidth="1" style="68" min="4" max="4"/>
    <col width="8" customWidth="1" style="68" min="5" max="5"/>
    <col width="18" customWidth="1" style="68" min="6" max="6"/>
    <col width="50" customWidth="1" style="68" min="7" max="7"/>
    <col width="12" customWidth="1" style="68" min="8" max="8"/>
    <col width="40" customWidth="1" style="68" min="9" max="9"/>
  </cols>
  <sheetData>
    <row r="1" ht="7.5" customHeight="1" s="69"/>
    <row r="2" ht="30" customHeight="1" s="69">
      <c r="B2" s="70" t="inlineStr">
        <is>
          <t>Series 100 Category Code Library</t>
        </is>
      </c>
    </row>
    <row r="3" ht="18" customHeight="1" s="69">
      <c r="B3" s="71" t="inlineStr">
        <is>
          <t>FC 2-000-05N — Operational and Training Facilities (Marine Corps relevant CCNs).</t>
        </is>
      </c>
    </row>
    <row r="5" ht="15" customHeight="1" s="69">
      <c r="C5" s="107" t="inlineStr">
        <is>
          <t>CCN</t>
        </is>
      </c>
      <c r="D5" s="107" t="inlineStr">
        <is>
          <t>Facility Name</t>
        </is>
      </c>
      <c r="E5" s="107" t="inlineStr">
        <is>
          <t>UM</t>
        </is>
      </c>
      <c r="F5" s="107" t="inlineStr">
        <is>
          <t>Default Factor</t>
        </is>
      </c>
      <c r="G5" s="107" t="inlineStr">
        <is>
          <t>Factor Notes / Formula</t>
        </is>
      </c>
      <c r="H5" s="107" t="inlineStr">
        <is>
          <t>NTG</t>
        </is>
      </c>
      <c r="I5" s="107" t="inlineStr">
        <is>
          <t>Driver Description</t>
        </is>
      </c>
    </row>
    <row r="6" ht="27.75" customHeight="1" s="69">
      <c r="C6" s="126" t="inlineStr">
        <is>
          <t>141 70</t>
        </is>
      </c>
      <c r="D6" s="127" t="inlineStr">
        <is>
          <t>Air Traffic Control Tower</t>
        </is>
      </c>
      <c r="E6" s="128" t="inlineStr">
        <is>
          <t>SF</t>
        </is>
      </c>
      <c r="F6" s="129" t="n">
        <v>2956</v>
      </c>
      <c r="G6" s="127" t="inlineStr">
        <is>
          <t>Standard 6-floor tower &amp; cab; add levels for height.</t>
        </is>
      </c>
      <c r="H6" s="130" t="n">
        <v>1.1</v>
      </c>
      <c r="I6" s="127" t="inlineStr">
        <is>
          <t>Each tower</t>
        </is>
      </c>
    </row>
    <row r="7" ht="27.75" customHeight="1" s="69">
      <c r="C7" s="108" t="inlineStr">
        <is>
          <t>143 10</t>
        </is>
      </c>
      <c r="D7" s="131" t="inlineStr">
        <is>
          <t>Emergency Vehicle Garage</t>
        </is>
      </c>
      <c r="E7" s="132" t="inlineStr">
        <is>
          <t>SF</t>
        </is>
      </c>
      <c r="F7" s="133" t="inlineStr">
        <is>
          <t>see notes</t>
        </is>
      </c>
      <c r="G7" s="131" t="inlineStr">
        <is>
          <t>Vehicle area + 3 ft clearance/side × NTG 1.05.</t>
        </is>
      </c>
      <c r="H7" s="134" t="n">
        <v>1.05</v>
      </c>
      <c r="I7" s="131" t="inlineStr">
        <is>
          <t>Sum of vehicle plan-areas</t>
        </is>
      </c>
    </row>
    <row r="8" ht="27.75" customHeight="1" s="69">
      <c r="C8" s="126" t="inlineStr">
        <is>
          <t>143 11</t>
        </is>
      </c>
      <c r="D8" s="127" t="inlineStr">
        <is>
          <t>Operational Vehicle Garage</t>
        </is>
      </c>
      <c r="E8" s="128" t="inlineStr">
        <is>
          <t>SF</t>
        </is>
      </c>
      <c r="F8" s="135" t="inlineStr">
        <is>
          <t>see notes</t>
        </is>
      </c>
      <c r="G8" s="127" t="inlineStr">
        <is>
          <t>Per Table 14311-1 (Type A 108 NSF … Type G 888 NSF) + 250 SF mech rm.</t>
        </is>
      </c>
      <c r="H8" s="130" t="n">
        <v>1.2</v>
      </c>
      <c r="I8" s="127" t="inlineStr">
        <is>
          <t># of vehicles by Type A–G</t>
        </is>
      </c>
    </row>
    <row r="9" ht="27.75" customHeight="1" s="69">
      <c r="C9" s="108" t="inlineStr">
        <is>
          <t>143 12</t>
        </is>
      </c>
      <c r="D9" s="131" t="inlineStr">
        <is>
          <t>Operational Vehicle Laydown Area</t>
        </is>
      </c>
      <c r="E9" s="132" t="inlineStr">
        <is>
          <t>SY</t>
        </is>
      </c>
      <c r="F9" s="133" t="inlineStr">
        <is>
          <t>see notes</t>
        </is>
      </c>
      <c r="G9" s="131" t="inlineStr">
        <is>
          <t>Per Table 14312-1 (Type A 19 GSY … Type G 99 GSY).</t>
        </is>
      </c>
      <c r="H9" s="134" t="n">
        <v>1</v>
      </c>
      <c r="I9" s="131" t="inlineStr">
        <is>
          <t># of vehicles by Type A–G</t>
        </is>
      </c>
    </row>
    <row r="10" ht="27.75" customHeight="1" s="69">
      <c r="C10" s="126" t="inlineStr">
        <is>
          <t>143 13</t>
        </is>
      </c>
      <c r="D10" s="127" t="inlineStr">
        <is>
          <t>Operational Vehicle/Equipment Canopy</t>
        </is>
      </c>
      <c r="E10" s="128" t="inlineStr">
        <is>
          <t>SF</t>
        </is>
      </c>
      <c r="F10" s="135" t="inlineStr">
        <is>
          <t>see notes</t>
        </is>
      </c>
      <c r="G10" s="127" t="inlineStr">
        <is>
          <t>Vehicle/equip area + circulation (drip line).</t>
        </is>
      </c>
      <c r="H10" s="130" t="n">
        <v>1</v>
      </c>
      <c r="I10" s="127" t="inlineStr">
        <is>
          <t>Sum of vehicle plan-areas</t>
        </is>
      </c>
    </row>
    <row r="11" ht="27.75" customHeight="1" s="69">
      <c r="C11" s="108" t="inlineStr">
        <is>
          <t>143 24</t>
        </is>
      </c>
      <c r="D11" s="131" t="inlineStr">
        <is>
          <t>Marine Corps EOD Facility</t>
        </is>
      </c>
      <c r="E11" s="132" t="inlineStr">
        <is>
          <t>SF</t>
        </is>
      </c>
      <c r="F11" s="136" t="n">
        <v>7000</v>
      </c>
      <c r="G11" s="131" t="inlineStr">
        <is>
          <t>7,000 GSF EOD bldg + 204 GSF Haz/Flam + magazines as required.</t>
        </is>
      </c>
      <c r="H11" s="134" t="n">
        <v>1</v>
      </c>
      <c r="I11" s="131" t="inlineStr">
        <is>
          <t>Each EOD facility</t>
        </is>
      </c>
    </row>
    <row r="12" ht="27.75" customHeight="1" s="69">
      <c r="C12" s="126" t="inlineStr">
        <is>
          <t>143 26</t>
        </is>
      </c>
      <c r="D12" s="127" t="inlineStr">
        <is>
          <t>Marine Corps EOD Company Facility</t>
        </is>
      </c>
      <c r="E12" s="128" t="inlineStr">
        <is>
          <t>SF</t>
        </is>
      </c>
      <c r="F12" s="135" t="inlineStr">
        <is>
          <t>see notes</t>
        </is>
      </c>
      <c r="G12" s="127" t="inlineStr">
        <is>
          <t>NSF per function × NTG 1.40 (Admin 1,910 SF; classrooms via 171 10).</t>
        </is>
      </c>
      <c r="H12" s="130" t="n">
        <v>1.4</v>
      </c>
      <c r="I12" s="127" t="inlineStr">
        <is>
          <t>Engineering analysis per function</t>
        </is>
      </c>
    </row>
    <row r="13" ht="27.75" customHeight="1" s="69">
      <c r="C13" s="108" t="inlineStr">
        <is>
          <t>143 45</t>
        </is>
      </c>
      <c r="D13" s="131" t="inlineStr">
        <is>
          <t>Armory</t>
        </is>
      </c>
      <c r="E13" s="132" t="inlineStr">
        <is>
          <t>SF</t>
        </is>
      </c>
      <c r="F13" s="133" t="inlineStr">
        <is>
          <t>see notes</t>
        </is>
      </c>
      <c r="G13" s="131" t="inlineStr">
        <is>
          <t>Per Table 14345-1 (1–2K strength: 576 GSF; &gt;10K: +0.1 SF/PN).</t>
        </is>
      </c>
      <c r="H13" s="134" t="n">
        <v>1</v>
      </c>
      <c r="I13" s="131" t="inlineStr">
        <is>
          <t>Military strength + weapons</t>
        </is>
      </c>
    </row>
    <row r="14" ht="27.75" customHeight="1" s="69">
      <c r="C14" s="126" t="inlineStr">
        <is>
          <t>143 46</t>
        </is>
      </c>
      <c r="D14" s="127" t="inlineStr">
        <is>
          <t>Marine Barracks - General Purpose</t>
        </is>
      </c>
      <c r="E14" s="128" t="inlineStr">
        <is>
          <t>SF</t>
        </is>
      </c>
      <c r="F14" s="135" t="inlineStr">
        <is>
          <t>see notes</t>
        </is>
      </c>
      <c r="G14" s="127" t="inlineStr">
        <is>
          <t>Per Table 14346-1 (1–50: 75 GSF/PN; 201+: +30 GSF/PN).</t>
        </is>
      </c>
      <c r="H14" s="130" t="n">
        <v>1</v>
      </c>
      <c r="I14" s="127" t="inlineStr">
        <is>
          <t># of personnel barracked</t>
        </is>
      </c>
    </row>
    <row r="15" ht="27.75" customHeight="1" s="69">
      <c r="C15" s="108" t="inlineStr">
        <is>
          <t>143 47</t>
        </is>
      </c>
      <c r="D15" s="131" t="inlineStr">
        <is>
          <t>Alert Force Building</t>
        </is>
      </c>
      <c r="E15" s="132" t="inlineStr">
        <is>
          <t>SF</t>
        </is>
      </c>
      <c r="F15" s="133" t="inlineStr">
        <is>
          <t>see notes</t>
        </is>
      </c>
      <c r="G15" s="131" t="inlineStr">
        <is>
          <t>Engineering analysis (barracks + messing + duty + weapons stg).</t>
        </is>
      </c>
      <c r="H15" s="134" t="n">
        <v>1</v>
      </c>
      <c r="I15" s="131" t="inlineStr">
        <is>
          <t>Alert force size</t>
        </is>
      </c>
    </row>
    <row r="16" ht="27.75" customHeight="1" s="69">
      <c r="C16" s="126" t="inlineStr">
        <is>
          <t>171 10</t>
        </is>
      </c>
      <c r="D16" s="127" t="inlineStr">
        <is>
          <t>Academic Instruction Building</t>
        </is>
      </c>
      <c r="E16" s="128" t="inlineStr">
        <is>
          <t>SF</t>
        </is>
      </c>
      <c r="F16" s="129" t="n">
        <v>45</v>
      </c>
      <c r="G16" s="127" t="inlineStr">
        <is>
          <t>Per Table 17110-1 (broad: 45 GSF/student station, 75 GSF if modified). NTG 1.33.</t>
        </is>
      </c>
      <c r="H16" s="130" t="n">
        <v>1.33</v>
      </c>
      <c r="I16" s="127" t="inlineStr">
        <is>
          <t># of student stations</t>
        </is>
      </c>
    </row>
    <row r="17" ht="27.75" customHeight="1" s="69">
      <c r="C17" s="108" t="inlineStr">
        <is>
          <t>171 15</t>
        </is>
      </c>
      <c r="D17" s="131" t="inlineStr">
        <is>
          <t>Navy/Marine Corps Reserve Training</t>
        </is>
      </c>
      <c r="E17" s="132" t="inlineStr">
        <is>
          <t>SF</t>
        </is>
      </c>
      <c r="F17" s="133" t="inlineStr">
        <is>
          <t>see notes</t>
        </is>
      </c>
      <c r="G17" s="131" t="inlineStr">
        <is>
          <t>Via NOSC Space Program Spreadsheet (Tables 17115-1…9).</t>
        </is>
      </c>
      <c r="H17" s="134" t="n">
        <v>1.3</v>
      </c>
      <c r="I17" s="131" t="inlineStr">
        <is>
          <t>Reserve unit composition</t>
        </is>
      </c>
    </row>
    <row r="18" ht="27.75" customHeight="1" s="69">
      <c r="C18" s="126" t="inlineStr">
        <is>
          <t>171 20</t>
        </is>
      </c>
      <c r="D18" s="127" t="inlineStr">
        <is>
          <t>Applied Instruction Building</t>
        </is>
      </c>
      <c r="E18" s="128" t="inlineStr">
        <is>
          <t>SF</t>
        </is>
      </c>
      <c r="F18" s="129" t="n">
        <v>150</v>
      </c>
      <c r="G18" s="127" t="inlineStr">
        <is>
          <t>150 GSF/student station (broad); specialized (e.g., Flight Briefing 125 GSF).</t>
        </is>
      </c>
      <c r="H18" s="130" t="n">
        <v>1.25</v>
      </c>
      <c r="I18" s="127" t="inlineStr">
        <is>
          <t># of student stations</t>
        </is>
      </c>
    </row>
    <row r="19" ht="27.75" customHeight="1" s="69">
      <c r="C19" s="108" t="inlineStr">
        <is>
          <t>171 30</t>
        </is>
      </c>
      <c r="D19" s="131" t="inlineStr">
        <is>
          <t>Physical Education Facility</t>
        </is>
      </c>
      <c r="E19" s="132" t="inlineStr">
        <is>
          <t>SF</t>
        </is>
      </c>
      <c r="F19" s="133" t="inlineStr">
        <is>
          <t>see notes</t>
        </is>
      </c>
      <c r="G19" s="131" t="inlineStr">
        <is>
          <t>Engineering analysis required.</t>
        </is>
      </c>
      <c r="H19" s="134" t="n">
        <v>1</v>
      </c>
      <c r="I19" s="131" t="inlineStr">
        <is>
          <t>Engineering analysis</t>
        </is>
      </c>
    </row>
    <row r="20" ht="27.75" customHeight="1" s="69">
      <c r="C20" s="126" t="inlineStr">
        <is>
          <t>171 50</t>
        </is>
      </c>
      <c r="D20" s="127" t="inlineStr">
        <is>
          <t>Small Arms Range — Indoor</t>
        </is>
      </c>
      <c r="E20" s="128" t="inlineStr">
        <is>
          <t>SF</t>
        </is>
      </c>
      <c r="F20" s="135" t="inlineStr">
        <is>
          <t>see notes</t>
        </is>
      </c>
      <c r="G20" s="127" t="inlineStr">
        <is>
          <t>Capacity = personnel trained ÷ (sessions × hrs/session × 180 days).</t>
        </is>
      </c>
      <c r="H20" s="130" t="n">
        <v>1</v>
      </c>
      <c r="I20" s="127" t="inlineStr">
        <is>
          <t># of firing points</t>
        </is>
      </c>
    </row>
    <row r="21" ht="27.75" customHeight="1" s="69">
      <c r="C21" s="108" t="inlineStr">
        <is>
          <t>173 10</t>
        </is>
      </c>
      <c r="D21" s="131" t="inlineStr">
        <is>
          <t>Range Operations Building</t>
        </is>
      </c>
      <c r="E21" s="132" t="inlineStr">
        <is>
          <t>SF</t>
        </is>
      </c>
      <c r="F21" s="133" t="inlineStr">
        <is>
          <t>see notes</t>
        </is>
      </c>
      <c r="G21" s="131" t="inlineStr">
        <is>
          <t>Case-by-case (admin, storage, maintenance).</t>
        </is>
      </c>
      <c r="H21" s="134" t="n">
        <v>1</v>
      </c>
      <c r="I21" s="131" t="inlineStr">
        <is>
          <t>Engineering analysis</t>
        </is>
      </c>
    </row>
    <row r="22" ht="27.75" customHeight="1" s="69">
      <c r="C22" s="126" t="inlineStr">
        <is>
          <t>173 11</t>
        </is>
      </c>
      <c r="D22" s="127" t="inlineStr">
        <is>
          <t>Range Support Building</t>
        </is>
      </c>
      <c r="E22" s="128" t="inlineStr">
        <is>
          <t>SF</t>
        </is>
      </c>
      <c r="F22" s="135" t="inlineStr">
        <is>
          <t>see notes</t>
        </is>
      </c>
      <c r="G22" s="127" t="inlineStr">
        <is>
          <t>Case-by-case (billets, classrooms, AAR).</t>
        </is>
      </c>
      <c r="H22" s="130" t="n">
        <v>1</v>
      </c>
      <c r="I22" s="127" t="inlineStr">
        <is>
          <t>Engineering analysis</t>
        </is>
      </c>
    </row>
    <row r="23" ht="27.75" customHeight="1" s="69">
      <c r="C23" s="108" t="inlineStr">
        <is>
          <t>179 01</t>
        </is>
      </c>
      <c r="D23" s="131" t="inlineStr">
        <is>
          <t>Bayonet Assault Course</t>
        </is>
      </c>
      <c r="E23" s="132" t="inlineStr">
        <is>
          <t>EA</t>
        </is>
      </c>
      <c r="F23" s="136" t="n">
        <v>1</v>
      </c>
      <c r="G23" s="131" t="inlineStr">
        <is>
          <t>1 EA per prepared path/set of targets.</t>
        </is>
      </c>
      <c r="H23" s="134" t="n">
        <v>1</v>
      </c>
      <c r="I23" s="131" t="inlineStr">
        <is>
          <t># of paths</t>
        </is>
      </c>
    </row>
    <row r="24" ht="27.75" customHeight="1" s="69">
      <c r="C24" s="126" t="inlineStr">
        <is>
          <t>179 17</t>
        </is>
      </c>
      <c r="D24" s="127" t="inlineStr">
        <is>
          <t>Rappelling Training Area</t>
        </is>
      </c>
      <c r="E24" s="128" t="inlineStr">
        <is>
          <t>EA</t>
        </is>
      </c>
      <c r="F24" s="129" t="n">
        <v>1</v>
      </c>
      <c r="G24" s="127" t="inlineStr">
        <is>
          <t>Case-by-case (≥1 structure).</t>
        </is>
      </c>
      <c r="H24" s="130" t="n">
        <v>1</v>
      </c>
      <c r="I24" s="127" t="inlineStr">
        <is>
          <t># of training areas</t>
        </is>
      </c>
    </row>
    <row r="25" ht="27.75" customHeight="1" s="69">
      <c r="C25" s="108" t="inlineStr">
        <is>
          <t>179 60</t>
        </is>
      </c>
      <c r="D25" s="131" t="inlineStr">
        <is>
          <t>Parade and Drill Field</t>
        </is>
      </c>
      <c r="E25" s="132" t="inlineStr">
        <is>
          <t>AC</t>
        </is>
      </c>
      <c r="F25" s="133" t="inlineStr">
        <is>
          <t>see notes</t>
        </is>
      </c>
      <c r="G25" s="131" t="inlineStr">
        <is>
          <t>1 AC per 125 personnel.</t>
        </is>
      </c>
      <c r="H25" s="134" t="n">
        <v>1</v>
      </c>
      <c r="I25" s="131" t="inlineStr">
        <is>
          <t>Personnel using field</t>
        </is>
      </c>
    </row>
    <row r="26" ht="27.75" customHeight="1" s="69">
      <c r="C26" s="126" t="inlineStr">
        <is>
          <t>179 81</t>
        </is>
      </c>
      <c r="D26" s="127" t="inlineStr">
        <is>
          <t>Infiltration Course</t>
        </is>
      </c>
      <c r="E26" s="128" t="inlineStr">
        <is>
          <t>AC</t>
        </is>
      </c>
      <c r="F26" s="135" t="inlineStr">
        <is>
          <t>see notes</t>
        </is>
      </c>
      <c r="G26" s="127" t="inlineStr">
        <is>
          <t>1 firing position per path/trail for 1 Marine.</t>
        </is>
      </c>
      <c r="H26" s="130" t="n">
        <v>1</v>
      </c>
      <c r="I26" s="127" t="inlineStr">
        <is>
          <t># of firing positions</t>
        </is>
      </c>
    </row>
    <row r="27" ht="27.75" customHeight="1" s="69">
      <c r="C27" s="108" t="inlineStr">
        <is>
          <t>179 91</t>
        </is>
      </c>
      <c r="D27" s="131" t="inlineStr">
        <is>
          <t>Confidence Course</t>
        </is>
      </c>
      <c r="E27" s="132" t="inlineStr">
        <is>
          <t>AC</t>
        </is>
      </c>
      <c r="F27" s="136" t="n">
        <v>1</v>
      </c>
      <c r="G27" s="131" t="inlineStr">
        <is>
          <t>1 EA per complete course.</t>
        </is>
      </c>
      <c r="H27" s="134" t="n">
        <v>1</v>
      </c>
      <c r="I27" s="131" t="inlineStr">
        <is>
          <t># of courses</t>
        </is>
      </c>
    </row>
    <row r="28" ht="27.75" customHeight="1" s="69">
      <c r="C28" s="126" t="inlineStr">
        <is>
          <t>179 92</t>
        </is>
      </c>
      <c r="D28" s="127" t="inlineStr">
        <is>
          <t>Obstacle Course</t>
        </is>
      </c>
      <c r="E28" s="128" t="inlineStr">
        <is>
          <t>AC</t>
        </is>
      </c>
      <c r="F28" s="135" t="inlineStr">
        <is>
          <t>see notes</t>
        </is>
      </c>
      <c r="G28" s="127" t="inlineStr">
        <is>
          <t>Case-by-case.</t>
        </is>
      </c>
      <c r="H28" s="130" t="n">
        <v>1</v>
      </c>
      <c r="I28" s="127" t="inlineStr">
        <is>
          <t># of courses</t>
        </is>
      </c>
    </row>
    <row r="31" ht="21.75" customHeight="1" s="69">
      <c r="B31" s="72" t="inlineStr">
        <is>
          <t>Helper Table — CCN 143 11 / 143 12 Vehicle Type Factors</t>
        </is>
      </c>
    </row>
    <row r="32" ht="41.25" customHeight="1" s="69">
      <c r="C32" s="100" t="inlineStr">
        <is>
          <t>Type</t>
        </is>
      </c>
      <c r="D32" s="100" t="inlineStr">
        <is>
          <t>Description</t>
        </is>
      </c>
      <c r="E32" s="100" t="inlineStr">
        <is>
          <t>Garage NSF (143 11)</t>
        </is>
      </c>
      <c r="F32" s="100" t="inlineStr">
        <is>
          <t>Laydown GSY (143 12)</t>
        </is>
      </c>
    </row>
    <row r="33" ht="15" customHeight="1" s="69">
      <c r="C33" s="111" t="inlineStr">
        <is>
          <t>A</t>
        </is>
      </c>
      <c r="D33" s="112" t="inlineStr">
        <is>
          <t>Sedan / light truck</t>
        </is>
      </c>
      <c r="E33" s="113" t="n">
        <v>108</v>
      </c>
      <c r="F33" s="113" t="n">
        <v>19</v>
      </c>
    </row>
    <row r="34" ht="15" customHeight="1" s="69">
      <c r="C34" s="111" t="inlineStr">
        <is>
          <t>B</t>
        </is>
      </c>
      <c r="D34" s="112" t="inlineStr">
        <is>
          <t>Pickup / 4-pass van</t>
        </is>
      </c>
      <c r="E34" s="113" t="n">
        <v>180</v>
      </c>
      <c r="F34" s="113" t="n">
        <v>29</v>
      </c>
    </row>
    <row r="35" ht="15" customHeight="1" s="69">
      <c r="C35" s="111" t="inlineStr">
        <is>
          <t>C</t>
        </is>
      </c>
      <c r="D35" s="112" t="inlineStr">
        <is>
          <t>Cargo / shop van / 7-ton</t>
        </is>
      </c>
      <c r="E35" s="113" t="n">
        <v>288</v>
      </c>
      <c r="F35" s="113" t="n">
        <v>42</v>
      </c>
    </row>
    <row r="36" ht="15" customHeight="1" s="69">
      <c r="C36" s="111" t="inlineStr">
        <is>
          <t>D</t>
        </is>
      </c>
      <c r="D36" s="112" t="inlineStr">
        <is>
          <t>Bus / box truck</t>
        </is>
      </c>
      <c r="E36" s="113" t="n">
        <v>420</v>
      </c>
      <c r="F36" s="113" t="n">
        <v>57</v>
      </c>
    </row>
    <row r="37" ht="15" customHeight="1" s="69">
      <c r="C37" s="111" t="inlineStr">
        <is>
          <t>E</t>
        </is>
      </c>
      <c r="D37" s="112" t="inlineStr">
        <is>
          <t>Tractor + trailer / wrecker</t>
        </is>
      </c>
      <c r="E37" s="113" t="n">
        <v>588</v>
      </c>
      <c r="F37" s="113" t="n">
        <v>71</v>
      </c>
    </row>
    <row r="38" ht="15" customHeight="1" s="69">
      <c r="C38" s="111" t="inlineStr">
        <is>
          <t>F</t>
        </is>
      </c>
      <c r="D38" s="112" t="inlineStr">
        <is>
          <t>HEMTT / heavy wrecker</t>
        </is>
      </c>
      <c r="E38" s="113" t="n">
        <v>720</v>
      </c>
      <c r="F38" s="113" t="n">
        <v>85</v>
      </c>
    </row>
    <row r="39" ht="15" customHeight="1" s="69">
      <c r="C39" s="111" t="inlineStr">
        <is>
          <t>G</t>
        </is>
      </c>
      <c r="D39" s="112" t="inlineStr">
        <is>
          <t>Oversize / specialty</t>
        </is>
      </c>
      <c r="E39" s="113" t="n">
        <v>888</v>
      </c>
      <c r="F39" s="113" t="n">
        <v>99</v>
      </c>
    </row>
  </sheetData>
  <mergeCells count="3">
    <mergeCell ref="B3:I3"/>
    <mergeCell ref="B2:I2"/>
    <mergeCell ref="B31:I3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2026-04-28T08:15:37Z</dcterms:created>
  <dcterms:modified xsi:type="dcterms:W3CDTF">2026-04-28T11:16:30Z</dcterms:modified>
  <cp:revision>0</cp:revision>
</cp:coreProperties>
</file>